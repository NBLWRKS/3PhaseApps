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honeywellprod.sharepoint.com/teams/AmazonHOU3-InstallTeam/Shared Documents/Amazon HOU3 - Install Team/PM Folder - Schedule Action Item CP Tracker/"/>
    </mc:Choice>
  </mc:AlternateContent>
  <xr:revisionPtr revIDLastSave="0" documentId="8_{8ABDAEFC-A87D-46D6-8190-7FDDB4CF0608}" xr6:coauthVersionLast="47" xr6:coauthVersionMax="47" xr10:uidLastSave="{00000000-0000-0000-0000-000000000000}"/>
  <bookViews>
    <workbookView xWindow="-110" yWindow="-110" windowWidth="38620" windowHeight="21100" firstSheet="8" xr2:uid="{00000000-000D-0000-FFFF-FFFF00000000}"/>
  </bookViews>
  <sheets>
    <sheet name="CP Tracker Dashboard" sheetId="1" r:id="rId1"/>
    <sheet name="CP40 (2)" sheetId="13" state="hidden" r:id="rId2"/>
    <sheet name="CP40 (2) Pivot" sheetId="14" state="hidden" r:id="rId3"/>
    <sheet name="AP Tracker Mechanical Dashboard" sheetId="16" r:id="rId4"/>
    <sheet name="CP40" sheetId="2" r:id="rId5"/>
    <sheet name="CP41" sheetId="4" r:id="rId6"/>
    <sheet name="CP42" sheetId="6" r:id="rId7"/>
    <sheet name="CP50" sheetId="5" r:id="rId8"/>
    <sheet name="CP51" sheetId="15" r:id="rId9"/>
    <sheet name="CP52" sheetId="19" r:id="rId10"/>
    <sheet name="CP-09" sheetId="20" r:id="rId11"/>
    <sheet name="CP09" sheetId="18" r:id="rId12"/>
  </sheets>
  <definedNames>
    <definedName name="_xlnm._FilterDatabase" localSheetId="4" hidden="1">'CP40'!$A$2:$AQ$134</definedName>
    <definedName name="_xlnm._FilterDatabase" localSheetId="5" hidden="1">'CP41'!$A$2:$AQ$121</definedName>
    <definedName name="_xlnm._FilterDatabase" localSheetId="6" hidden="1">'CP42'!$A$2:$AQ$42</definedName>
    <definedName name="_xlnm._FilterDatabase" localSheetId="8" hidden="1">'CP51'!$A$2:$AQ$218</definedName>
    <definedName name="_xlnm._FilterDatabase" localSheetId="9" hidden="1">'CP52'!$A$2:$AQ$401</definedName>
  </definedNames>
  <calcPr calcId="191028"/>
  <pivotCaches>
    <pivotCache cacheId="29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8" i="15" l="1"/>
  <c r="C36" i="20"/>
  <c r="C35" i="20"/>
  <c r="C34" i="20"/>
  <c r="C33" i="20"/>
  <c r="C32" i="20"/>
  <c r="C31" i="20"/>
  <c r="C30" i="20"/>
  <c r="B37" i="20"/>
  <c r="C37" i="20"/>
  <c r="AL25" i="20"/>
  <c r="D36" i="20" s="1"/>
  <c r="E36" i="20" s="1"/>
  <c r="AG25" i="20"/>
  <c r="D35" i="20" s="1"/>
  <c r="E35" i="20" s="1"/>
  <c r="AB25" i="20"/>
  <c r="D34" i="20" s="1"/>
  <c r="E34" i="20" s="1"/>
  <c r="W25" i="20"/>
  <c r="D33" i="20" s="1"/>
  <c r="E33" i="20" s="1"/>
  <c r="R25" i="20"/>
  <c r="D32" i="20" s="1"/>
  <c r="E32" i="20" s="1"/>
  <c r="M25" i="20"/>
  <c r="D31" i="20" s="1"/>
  <c r="E31" i="20" s="1"/>
  <c r="H25" i="20"/>
  <c r="D30" i="20" s="1"/>
  <c r="C25" i="20"/>
  <c r="D45" i="18"/>
  <c r="B413" i="19"/>
  <c r="C413" i="19"/>
  <c r="C407" i="19"/>
  <c r="C408" i="19"/>
  <c r="C409" i="19"/>
  <c r="C410" i="19"/>
  <c r="C411" i="19"/>
  <c r="C412" i="19"/>
  <c r="C406" i="19"/>
  <c r="C401" i="19"/>
  <c r="AL401" i="19"/>
  <c r="D412" i="19" s="1"/>
  <c r="E412" i="19" s="1"/>
  <c r="AG401" i="19"/>
  <c r="D411" i="19" s="1"/>
  <c r="E411" i="19" s="1"/>
  <c r="AB401" i="19"/>
  <c r="D410" i="19" s="1"/>
  <c r="E410" i="19" s="1"/>
  <c r="W401" i="19"/>
  <c r="D409" i="19" s="1"/>
  <c r="E409" i="19" s="1"/>
  <c r="R401" i="19"/>
  <c r="D408" i="19" s="1"/>
  <c r="E408" i="19" s="1"/>
  <c r="M401" i="19"/>
  <c r="D407" i="19" s="1"/>
  <c r="E407" i="19" s="1"/>
  <c r="H401" i="19"/>
  <c r="D406" i="19" s="1"/>
  <c r="C223" i="15"/>
  <c r="C224" i="15"/>
  <c r="C225" i="15"/>
  <c r="C226" i="15"/>
  <c r="C227" i="15"/>
  <c r="C228" i="15"/>
  <c r="D228" i="15"/>
  <c r="E228" i="15" s="1"/>
  <c r="D227" i="15"/>
  <c r="D226" i="15"/>
  <c r="E226" i="15" s="1"/>
  <c r="D225" i="15"/>
  <c r="E225" i="15" s="1"/>
  <c r="D224" i="15"/>
  <c r="E224" i="15" s="1"/>
  <c r="D223" i="15"/>
  <c r="D222" i="15"/>
  <c r="C222" i="15"/>
  <c r="C229" i="15" s="1"/>
  <c r="D129" i="5"/>
  <c r="D128" i="5"/>
  <c r="D127" i="5"/>
  <c r="D126" i="5"/>
  <c r="D130" i="5"/>
  <c r="D131" i="5"/>
  <c r="C126" i="5"/>
  <c r="D125" i="5"/>
  <c r="D132" i="5" s="1"/>
  <c r="C131" i="5"/>
  <c r="C130" i="5"/>
  <c r="C129" i="5"/>
  <c r="C128" i="5"/>
  <c r="C127" i="5"/>
  <c r="C125" i="5"/>
  <c r="C132" i="5" s="1"/>
  <c r="D52" i="6"/>
  <c r="D51" i="6"/>
  <c r="D50" i="6"/>
  <c r="D49" i="6"/>
  <c r="D48" i="6"/>
  <c r="D131" i="4"/>
  <c r="D130" i="4"/>
  <c r="D129" i="4"/>
  <c r="D128" i="4"/>
  <c r="D126" i="4"/>
  <c r="D127" i="4"/>
  <c r="D47" i="6"/>
  <c r="D139" i="2"/>
  <c r="C47" i="6"/>
  <c r="C48" i="6"/>
  <c r="E48" i="6" s="1"/>
  <c r="C49" i="6"/>
  <c r="C50" i="6"/>
  <c r="C51" i="6"/>
  <c r="C52" i="6"/>
  <c r="C46" i="6"/>
  <c r="D140" i="2"/>
  <c r="E52" i="6"/>
  <c r="M42" i="6"/>
  <c r="M121" i="4"/>
  <c r="C126" i="4"/>
  <c r="C127" i="4"/>
  <c r="C128" i="4"/>
  <c r="C129" i="4"/>
  <c r="C130" i="4"/>
  <c r="C131" i="4"/>
  <c r="C125" i="4"/>
  <c r="C139" i="2"/>
  <c r="D5" i="16" s="1"/>
  <c r="C140" i="2"/>
  <c r="C141" i="2"/>
  <c r="C142" i="2"/>
  <c r="C143" i="2"/>
  <c r="C144" i="2"/>
  <c r="C138" i="2"/>
  <c r="M134" i="2"/>
  <c r="D37" i="20" l="1"/>
  <c r="E37" i="20" s="1"/>
  <c r="E30" i="20"/>
  <c r="E222" i="15"/>
  <c r="E132" i="5"/>
  <c r="E126" i="5"/>
  <c r="E5" i="16"/>
  <c r="F5" i="16" s="1"/>
  <c r="D229" i="15"/>
  <c r="E229" i="15" s="1"/>
  <c r="E227" i="15"/>
  <c r="E223" i="15"/>
  <c r="E406" i="19"/>
  <c r="D413" i="19"/>
  <c r="E413" i="19" s="1"/>
  <c r="E131" i="5"/>
  <c r="E125" i="5"/>
  <c r="E127" i="5"/>
  <c r="E129" i="5"/>
  <c r="E128" i="5"/>
  <c r="E130" i="5"/>
  <c r="E50" i="6"/>
  <c r="E49" i="6"/>
  <c r="E51" i="6"/>
  <c r="E47" i="6"/>
  <c r="E139" i="2"/>
  <c r="C134" i="2" l="1"/>
  <c r="AP121" i="4"/>
  <c r="AL121" i="4"/>
  <c r="AG121" i="4"/>
  <c r="AB121" i="4"/>
  <c r="W121" i="4"/>
  <c r="R121" i="4"/>
  <c r="H121" i="4"/>
  <c r="C121" i="4"/>
  <c r="AP42" i="6"/>
  <c r="AL42" i="6"/>
  <c r="AG42" i="6"/>
  <c r="AB42" i="6"/>
  <c r="W42" i="6"/>
  <c r="R42" i="6"/>
  <c r="H42" i="6"/>
  <c r="C42" i="6"/>
  <c r="C11" i="16"/>
  <c r="D144" i="2"/>
  <c r="D143" i="2"/>
  <c r="D142" i="2"/>
  <c r="D141" i="2"/>
  <c r="D138" i="2"/>
  <c r="B145" i="2"/>
  <c r="D125" i="4"/>
  <c r="B132" i="4"/>
  <c r="D46" i="6"/>
  <c r="B53" i="6"/>
  <c r="AP134" i="2"/>
  <c r="AL134" i="2"/>
  <c r="AG134" i="2"/>
  <c r="AB134" i="2"/>
  <c r="W134" i="2"/>
  <c r="H134" i="2"/>
  <c r="E127" i="4" l="1"/>
  <c r="E129" i="4"/>
  <c r="E130" i="4"/>
  <c r="E131" i="4"/>
  <c r="E126" i="4"/>
  <c r="E128" i="4"/>
  <c r="D10" i="16"/>
  <c r="E144" i="2"/>
  <c r="D9" i="16"/>
  <c r="D8" i="16"/>
  <c r="D7" i="16"/>
  <c r="D6" i="16"/>
  <c r="D4" i="16"/>
  <c r="E141" i="2"/>
  <c r="E4" i="16"/>
  <c r="E140" i="2"/>
  <c r="C145" i="2"/>
  <c r="E138" i="2"/>
  <c r="E142" i="2"/>
  <c r="E143" i="2"/>
  <c r="C132" i="4"/>
  <c r="D145" i="2"/>
  <c r="E125" i="4"/>
  <c r="D53" i="6"/>
  <c r="C53" i="6"/>
  <c r="E46" i="6"/>
  <c r="E8" i="16" l="1"/>
  <c r="F8" i="16" s="1"/>
  <c r="E6" i="16"/>
  <c r="F6" i="16" s="1"/>
  <c r="E9" i="16"/>
  <c r="F9" i="16" s="1"/>
  <c r="D132" i="4"/>
  <c r="E132" i="4" s="1"/>
  <c r="E10" i="16"/>
  <c r="F10" i="16" s="1"/>
  <c r="E7" i="16"/>
  <c r="F7" i="16" s="1"/>
  <c r="E145" i="2"/>
  <c r="F4" i="16"/>
  <c r="D11" i="16"/>
  <c r="E53" i="6"/>
  <c r="E11" i="16" l="1"/>
  <c r="F11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tc={750FC797-0878-4F3D-8C42-42EF716D0F01}</author>
    <author>tc={974EF260-F111-4808-BDB9-4772FB5EC69E}</author>
    <author>tc={A782BBD6-9E8E-4D3E-8D55-0B46572C9FBE}</author>
    <author>tc={9EBFA1E4-96DB-4D95-9E54-C1BB4E7783DF}</author>
    <author>tc={56AEAA6B-A1E3-468A-8F49-1974EE11943B}</author>
    <author>tc={A0967263-C6A6-4B2E-A59C-170AC95F79E8}</author>
    <author>tc={7302793E-E0C7-40CD-A1EE-2D911C671FE0}</author>
    <author>tc={71145F1A-5482-48A4-B4C6-10AB683FE9CD}</author>
    <author>tc={84C6EE68-1E32-460D-AC77-5680E0B86B00}</author>
    <author>tc={74685D07-D09D-4329-850B-727BCE02C727}</author>
    <author>tc={9B607ECD-5F81-4C78-9435-808A29EBC988}</author>
    <author>tc={994717D2-3D6D-4FD6-AB40-55D338AC9FA9}</author>
    <author>tc={1C5791DB-467A-4B7F-908F-710E51CD88B1}</author>
    <author>tc={E03DE059-E40D-42D1-A933-416777057A3E}</author>
    <author>tc={6439B173-FC98-4B86-9FA1-3E14B1632CD3}</author>
    <author>tc={88EE0B26-E8D0-4DEB-988C-F93C63390E27}</author>
    <author>tc={804EF405-BEDD-43C9-B2D7-9CE87157755A}</author>
    <author>tc={824F9156-3006-4640-A631-DE23B39A3B70}</author>
    <author>tc={1BCFA94B-91B3-47B7-B6A8-8C434000CF32}</author>
    <author>tc={A11DC6CD-EE2A-478A-85DB-D6E1273CA069}</author>
    <author>tc={CE834129-286E-4FBC-A8F5-7EE93603409D}</author>
    <author>tc={76BE165E-F62A-4EC0-86EB-79C28035C5DA}</author>
    <author>tc={5AC22958-A4BB-408F-911C-003503455C3A}</author>
    <author>tc={F433CAE4-9EEC-4BB4-978B-F62BEBBA0FA6}</author>
    <author>tc={265FBC1D-D244-4A9B-B070-E006814C1AE5}</author>
    <author>tc={562F237D-81FF-43AD-B8E2-7606EA15D170}</author>
    <author>tc={537C1D42-9C74-4BB8-9AF9-92F424504BCD}</author>
    <author>tc={97133CBA-85DD-499C-AAEC-EF3B550591FF}</author>
    <author>tc={67C522EB-4494-49EF-A682-E1EF3652E5C7}</author>
    <author>tc={8D08D6A4-8B6E-466A-8756-DB1A95753340}</author>
    <author>tc={0DC6F3A9-4CED-493F-8EF6-BE898D449F17}</author>
    <author>tc={756B8A14-8F5D-4AE4-A8EE-F239E32A4888}</author>
    <author>tc={6D5DAE17-AF1C-4587-BD0B-A891F4B7A864}</author>
    <author>tc={B54C609F-42F0-4034-AA6F-4B5638E4AFD2}</author>
    <author>tc={B88B1392-F269-4131-B151-732C275ACE8A}</author>
    <author>tc={684E916F-E0FE-4847-9F97-9F3A0F506DB8}</author>
    <author>tc={2EDC4F17-1775-4993-8C7C-80C35698961D}</author>
    <author>tc={BF50E4A2-0A83-46B8-9295-C021390E3380}</author>
    <author>tc={E659A65C-42E2-4320-90DF-11460C65D27A}</author>
    <author>tc={48BD476A-B18B-49F2-A4FF-E571334F7BF8}</author>
    <author>tc={AEBEC00B-A127-4A91-8079-F19F34739A0E}</author>
    <author>tc={D91CE480-3DCB-4A74-AFC3-AF377C4E9B0A}</author>
    <author>tc={9B377D79-BF62-4766-A1D5-FE508D742742}</author>
    <author>tc={5757A7CB-5778-418D-8525-D9DE42F8600D}</author>
    <author>tc={5515741E-A7DB-4D42-AE8E-46B1188F29AF}</author>
    <author>tc={F0BEFFF2-2253-4E5B-9976-FDF17A5C9953}</author>
    <author>tc={46210807-CE77-4D15-BB15-B69095153F16}</author>
    <author>tc={E885A4AA-A56D-4228-A694-5DB2DEA11854}</author>
    <author>tc={5D68ED27-3C59-4112-A468-A224A2EF59C2}</author>
    <author>tc={A081FBAF-7F64-4BC9-B53D-3498F56882E6}</author>
    <author>tc={88F0C25C-4B17-4F09-9983-B38A848927EE}</author>
    <author>tc={EA050BDE-C8CD-43C7-A24C-66AEF700F225}</author>
    <author>tc={2E0557EF-FCC5-48EB-992E-C33C814D010E}</author>
    <author>tc={69E71E5F-4F0B-49E9-92AE-9A99758E704F}</author>
    <author>tc={F7636539-BE3F-452F-B782-711167F71197}</author>
    <author>tc={53FC1C51-C2C3-46F7-B6B6-B5951F31C24B}</author>
    <author>tc={65D90CA5-D17B-4864-9EC9-699D2F766668}</author>
    <author>tc={0B17BBF4-662E-4FE0-9FDD-9D92AB10B569}</author>
    <author>tc={301A2C9F-9547-457B-BEB1-71D14352239C}</author>
    <author>tc={9C7CB4C8-3C26-452B-8295-6B225D5DE98A}</author>
    <author>tc={C16622AB-C280-4D90-9B16-FA89F070E46B}</author>
    <author>tc={F78765C1-8504-4252-9354-2A4812C1FDB4}</author>
    <author>tc={102F1F1E-089D-48B5-AC44-3E0D2D9CF1CF}</author>
    <author>tc={8F308F4F-D3E1-4FA6-B139-21AC6BD15C59}</author>
    <author>tc={FFD09355-66A0-4F4F-966F-D8EE7141DD1C}</author>
    <author>tc={3F593299-A7ED-42BE-B527-949FC6BB2FD4}</author>
    <author>tc={4B4F0CC0-D29A-448F-8859-627E2688A4AF}</author>
    <author>tc={156D5188-D346-4E95-8FFE-3094C1082046}</author>
    <author>tc={A50BE63A-B6D1-44CA-AA3E-FED4AC65E6F8}</author>
    <author>tc={FF80F6F6-6CB6-4948-A4C6-F7FC5A82F264}</author>
    <author>tc={778BD850-C643-493A-9408-99C8A2774CF3}</author>
    <author>tc={9F19FA25-4D74-4D2D-83F8-1066DF9B2A34}</author>
    <author>tc={A4E3747C-8E4C-41AD-B9E5-B35F8DAFA91C}</author>
    <author>tc={885EF6CB-F07D-45E3-874B-B15450108A65}</author>
    <author>tc={9747F178-041E-413F-A979-AF21682B1613}</author>
    <author>tc={DF1CDD96-B4AB-490D-840F-D129BB9187F2}</author>
    <author>tc={A4ADDEA7-67B7-4BDA-9A3B-E61C1F06FAC6}</author>
    <author>tc={FC516914-5458-473A-A245-2345D02EA9F0}</author>
    <author>tc={DB452446-9A67-4E94-B243-725941FE183B}</author>
    <author>tc={E89B3D1F-3468-4CC3-9910-08D58B230C78}</author>
    <author>tc={D713833B-C935-4C02-994B-763ABF8B9EE2}</author>
    <author>tc={C37A2CBD-1BA7-4DEF-B5CB-E4DFD9B1EA83}</author>
    <author>tc={131175E3-9B3A-4567-9E5B-D6AEB7256BF3}</author>
    <author>tc={1F52A04A-18D1-4506-942F-96009DB6055C}</author>
    <author>tc={4337A1C4-48C4-4F67-AD2C-48D0B87CC820}</author>
    <author>tc={7A9C349E-C121-45EF-A235-D47512892BBD}</author>
    <author>tc={E7B1DA8A-B348-491B-AF5F-8314627F23E5}</author>
    <author>tc={AFEF284E-4925-4CDE-9FBE-FE3449770F61}</author>
    <author>tc={68DC5F7E-22D5-4A3B-BB92-4E4983E92412}</author>
    <author>tc={C7B27ABB-6D5F-4069-A867-EEE8775B4F04}</author>
    <author>tc={ACA1BEA4-A009-48CA-A22E-D45862A9623C}</author>
    <author>tc={DFB47E51-8370-447E-A1A5-256F42D4D66B}</author>
    <author>tc={90BBB123-BDE0-430B-B9E8-BF0F0EEADDB3}</author>
    <author>tc={71A3380C-73CB-42E9-A8FD-E9FE39D5008A}</author>
  </authors>
  <commentList>
    <comment ref="G12" authorId="0" shapeId="0" xr:uid="{750FC797-0878-4F3D-8C42-42EF716D0F01}">
      <text>
        <t>[Threaded comment]
Your version of Excel allows you to read this threaded comment; however, any edits to it will get removed if the file is opened in a newer version of Excel. Learn more: https://go.microsoft.com/fwlink/?linkid=870924
Comment:
    .611 IS ASSY.12-0.34"BF.RH.ADVANCED.2"CTRS.3 FT ZN OUTSIDE OPP SIDE.G196PR.RIVER GRAY</t>
      </text>
    </comment>
    <comment ref="G15" authorId="1" shapeId="0" xr:uid="{974EF260-F111-4808-BDB9-4772FB5EC69E}">
      <text>
        <t>[Threaded comment]
Your version of Excel allows you to read this threaded comment; however, any edits to it will get removed if the file is opened in a newer version of Excel. Learn more: https://go.microsoft.com/fwlink/?linkid=870924
Comment:
    .810 VB SKEW INT ASSY 2"C.RIGHT SKEW.72.34"BF.G196PR.RIVER GRAY</t>
      </text>
    </comment>
    <comment ref="G16" authorId="2" shapeId="0" xr:uid="{A782BBD6-9E8E-4D3E-8D55-0B46572C9FBE}">
      <text>
        <t>[Threaded comment]
Your version of Excel allows you to read this threaded comment; however, any edits to it will get removed if the file is opened in a newer version of Excel. Learn more: https://go.microsoft.com/fwlink/?linkid=870924
Comment:
    .810 VB END DRV ASSY UH.34BF.LH BELT.LH PU.STD DRV SHV.G196PR.BAL-2HP-460V-PREM.DGE-202-A-05-R-140.DVR-P30-8M-30-1210.DVN-P56-8M-30-2012.GB-HT200-1064-8M-30.430"LG BELT.RIVER GRAY</t>
      </text>
    </comment>
    <comment ref="G19" authorId="3" shapeId="0" xr:uid="{9EBFA1E4-96DB-4D95-9E54-C1BB4E7783DF}">
      <text>
        <t>[Threaded comment]
Your version of Excel allows you to read this threaded comment; however, any edits to it will get removed if the file is opened in a newer version of Excel. Learn more: https://go.microsoft.com/fwlink/?linkid=870924
Comment:
    .MDR NGFWB CART DEC LWR TRNS.34"BF.30"ZN, 3ZN.LH WIRE.RLR LOW.180FPM INT.PE SICK ZLD18 PNP RETRO 4PIN.HON2018.RMT CNTL.WH-496654.PREM HORZ BELT.PREM DEC BELT DGR HON HTSS BRK.RIVER GRAY
Reply:
    Missing materials</t>
      </text>
    </comment>
    <comment ref="G28" authorId="4" shapeId="0" xr:uid="{56AEAA6B-A1E3-468A-8F49-1974EE11943B}">
      <text>
        <t>[Threaded comment]
Your version of Excel allows you to read this threaded comment; however, any edits to it will get removed if the file is opened in a newer version of Excel. Learn more: https://go.microsoft.com/fwlink/?linkid=870924
Comment:
    .810 VB END DRV ASSY SM.40BF.RH BELT.LH PU.STD DRV SHV.G196AB.BAL-1HP-460V-PREM.DGE-202-A-15-L-140.DVR-P32-8M-30-1210.DVN-P40-8M-30-2012.GB-HT200-720-8M-30.270"LG BELT.RIVER GRAY
Reply:
    Drive is not on site</t>
      </text>
    </comment>
    <comment ref="G29" authorId="5" shapeId="0" xr:uid="{A0967263-C6A6-4B2E-A59C-170AC95F79E8}">
      <text>
        <t>[Threaded comment]
Your version of Excel allows you to read this threaded comment; however, any edits to it will get removed if the file is opened in a newer version of Excel. Learn more: https://go.microsoft.com/fwlink/?linkid=870924
Comment:
    · Crossover (wrong hand)
· End idler (wrong hand)
· Drive wrong hand (wrong hand)</t>
      </text>
    </comment>
    <comment ref="G36" authorId="6" shapeId="0" xr:uid="{7302793E-E0C7-40CD-A1EE-2D911C671FE0}">
      <text>
        <t>[Threaded comment]
Your version of Excel allows you to read this threaded comment; however, any edits to it will get removed if the file is opened in a newer version of Excel. Learn more: https://go.microsoft.com/fwlink/?linkid=870924
Comment:
    .810 VB END DRV ASSY UH.34BF.RH BELT.LH PU.STD DRV SHV.G196AB.BAL-1HP-460V-PREM.DGE-202-A-10-R-140.DVR-P32-8M-30-1210.DVN-P44-8M-30-2012.GB-HT200-1040-8M-30.405"LG BELT.RIVER GRAY</t>
      </text>
    </comment>
    <comment ref="G40" authorId="7" shapeId="0" xr:uid="{71145F1A-5482-48A4-B4C6-10AB683FE9CD}">
      <text>
        <t>[Threaded comment]
Your version of Excel allows you to read this threaded comment; however, any edits to it will get removed if the file is opened in a newer version of Excel. Learn more: https://go.microsoft.com/fwlink/?linkid=870924
Comment:
    .810 VB END IDL ASSY.40"BF.RH BELT.G196AB.RIVER GRAY</t>
      </text>
    </comment>
    <comment ref="G41" authorId="8" shapeId="0" xr:uid="{84C6EE68-1E32-460D-AC77-5680E0B86B00}">
      <text>
        <t>[Threaded comment]
Your version of Excel allows you to read this threaded comment; however, any edits to it will get removed if the file is opened in a newer version of Excel. Learn more: https://go.microsoft.com/fwlink/?linkid=870924
Comment:
    .810 VB END DRV ASSY SM.40BF.RH BELT.LH PU.STD DRV SHV.G196AB.BAL-1HP-460V-PREM.DGE-202-A-15-L-140.DVR-P32-8M-30-1210.DVN-P40-8M-30-2012.GB-HT200-720-8M-30.270"LG BELT.RIVER GRAY
Reply:
    Drive is not on site</t>
      </text>
    </comment>
    <comment ref="G42" authorId="9" shapeId="0" xr:uid="{74685D07-D09D-4329-850B-727BCE02C727}">
      <text>
        <t>[Threaded comment]
Your version of Excel allows you to read this threaded comment; however, any edits to it will get removed if the file is opened in a newer version of Excel. Learn more: https://go.microsoft.com/fwlink/?linkid=870924
Comment:
    · Crossover (wrong hand)
· End idler (wrong hand)
· Drive wrong hand (wrong hand)</t>
      </text>
    </comment>
    <comment ref="G43" authorId="10" shapeId="0" xr:uid="{9B607ECD-5F81-4C78-9435-808A29EBC988}">
      <text>
        <t>[Threaded comment]
Your version of Excel allows you to read this threaded comment; however, any edits to it will get removed if the file is opened in a newer version of Excel. Learn more: https://go.microsoft.com/fwlink/?linkid=870924
Comment:
    It won't be installed with the current plans while waiting for the new design by M.E</t>
      </text>
    </comment>
    <comment ref="G44" authorId="11" shapeId="0" xr:uid="{994717D2-3D6D-4FD6-AB40-55D338AC9FA9}">
      <text>
        <t>[Threaded comment]
Your version of Excel allows you to read this threaded comment; however, any edits to it will get removed if the file is opened in a newer version of Excel. Learn more: https://go.microsoft.com/fwlink/?linkid=870924
Comment:
    It won't be installed with the current plans while waiting for the new design by M.E</t>
      </text>
    </comment>
    <comment ref="G45" authorId="12" shapeId="0" xr:uid="{1C5791DB-467A-4B7F-908F-710E51CD88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won't be installed with the current plans while waiting for the new design by M.E
</t>
      </text>
    </comment>
    <comment ref="G46" authorId="13" shapeId="0" xr:uid="{E03DE059-E40D-42D1-A933-416777057A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won't be installed with the current plans while waiting for the new design by M.E
</t>
      </text>
    </comment>
    <comment ref="G47" authorId="14" shapeId="0" xr:uid="{6439B173-FC98-4B86-9FA1-3E14B1632C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won't be installed with the current plans while waiting for the new design by M.E
</t>
      </text>
    </comment>
    <comment ref="G48" authorId="15" shapeId="0" xr:uid="{88EE0B26-E8D0-4DEB-988C-F93C63390E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won't be installed with the current plans while waiting for the new design by M.E
</t>
      </text>
    </comment>
    <comment ref="G49" authorId="16" shapeId="0" xr:uid="{804EF405-BEDD-43C9-B2D7-9CE8715775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won't be installed with the current plans while waiting for the new design by M.E
</t>
      </text>
    </comment>
    <comment ref="G52" authorId="17" shapeId="0" xr:uid="{824F9156-3006-4640-A631-DE23B39A3B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won't be installed with the current plans while waiting for the new design by M.E
</t>
      </text>
    </comment>
    <comment ref="G53" authorId="18" shapeId="0" xr:uid="{1BCFA94B-91B3-47B7-B6A8-8C434000CF32}">
      <text>
        <t>[Threaded comment]
Your version of Excel allows you to read this threaded comment; however, any edits to it will get removed if the file is opened in a newer version of Excel. Learn more: https://go.microsoft.com/fwlink/?linkid=870924
Comment:
    It won't be installed with the current plans while waiting for the new design by M.E</t>
      </text>
    </comment>
    <comment ref="G54" authorId="19" shapeId="0" xr:uid="{A11DC6CD-EE2A-478A-85DB-D6E1273CA069}">
      <text>
        <t>[Threaded comment]
Your version of Excel allows you to read this threaded comment; however, any edits to it will get removed if the file is opened in a newer version of Excel. Learn more: https://go.microsoft.com/fwlink/?linkid=870924
Comment:
    It won't be installed with the current plans while waiting for the new design by M.E</t>
      </text>
    </comment>
    <comment ref="G57" authorId="20" shapeId="0" xr:uid="{CE834129-286E-4FBC-A8F5-7EE93603409D}">
      <text>
        <t>[Threaded comment]
Your version of Excel allows you to read this threaded comment; however, any edits to it will get removed if the file is opened in a newer version of Excel. Learn more: https://go.microsoft.com/fwlink/?linkid=870924
Comment:
    .MDR 710 JCT 30D LM.34"BF.3"CTRS.U83A CVR JCT HON STSS.RLR LOW.50LB WHL.180FPM INT.HON2018.RMT CNTL.BNR X2X.WH-490027.RIVER GRAY</t>
      </text>
    </comment>
    <comment ref="G58" authorId="21" shapeId="0" xr:uid="{76BE165E-F62A-4EC0-86EB-79C28035C5D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59" authorId="22" shapeId="0" xr:uid="{5AC22958-A4BB-408F-911C-003503455C3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60" authorId="23" shapeId="0" xr:uid="{F433CAE4-9EEC-4BB4-978B-F62BEBBA0FA6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61" authorId="24" shapeId="0" xr:uid="{265FBC1D-D244-4A9B-B070-E006814C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62" authorId="25" shapeId="0" xr:uid="{562F237D-81FF-43AD-B8E2-7606EA15D17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63" authorId="26" shapeId="0" xr:uid="{537C1D42-9C74-4BB8-9AF9-92F424504BCD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64" authorId="27" shapeId="0" xr:uid="{97133CBA-85DD-499C-AAEC-EF3B550591FF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65" authorId="28" shapeId="0" xr:uid="{67C522EB-4494-49EF-A682-E1EF3652E5C7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66" authorId="29" shapeId="0" xr:uid="{8D08D6A4-8B6E-466A-8756-DB1A9575334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67" authorId="30" shapeId="0" xr:uid="{0DC6F3A9-4CED-493F-8EF6-BE898D449F17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68" authorId="31" shapeId="0" xr:uid="{756B8A14-8F5D-4AE4-A8EE-F239E32A4888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69" authorId="32" shapeId="0" xr:uid="{6D5DAE17-AF1C-4587-BD0B-A891F4B7A864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70" authorId="33" shapeId="0" xr:uid="{B54C609F-42F0-4034-AA6F-4B5638E4AFD2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71" authorId="34" shapeId="0" xr:uid="{B88B1392-F269-4131-B151-732C275ACE8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72" authorId="35" shapeId="0" xr:uid="{684E916F-E0FE-4847-9F97-9F3A0F506DB8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73" authorId="36" shapeId="0" xr:uid="{2EDC4F17-1775-4993-8C7C-80C35698961D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74" authorId="37" shapeId="0" xr:uid="{BF50E4A2-0A83-46B8-9295-C021390E338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75" authorId="38" shapeId="0" xr:uid="{E659A65C-42E2-4320-90DF-11460C65D27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76" authorId="39" shapeId="0" xr:uid="{48BD476A-B18B-49F2-A4FF-E571334F7BF8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77" authorId="40" shapeId="0" xr:uid="{AEBEC00B-A127-4A91-8079-F19F34739A0E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78" authorId="41" shapeId="0" xr:uid="{D91CE480-3DCB-4A74-AFC3-AF377C4E9B0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79" authorId="42" shapeId="0" xr:uid="{9B377D79-BF62-4766-A1D5-FE508D742742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80" authorId="43" shapeId="0" xr:uid="{5757A7CB-5778-418D-8525-D9DE42F8600D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81" authorId="44" shapeId="0" xr:uid="{5515741E-A7DB-4D42-AE8E-46B1188F29AF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82" authorId="45" shapeId="0" xr:uid="{F0BEFFF2-2253-4E5B-9976-FDF17A5C9953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83" authorId="46" shapeId="0" xr:uid="{46210807-CE77-4D15-BB15-B69095153F16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84" authorId="47" shapeId="0" xr:uid="{E885A4AA-A56D-4228-A694-5DB2DEA11854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85" authorId="48" shapeId="0" xr:uid="{5D68ED27-3C59-4112-A468-A224A2EF59C2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86" authorId="49" shapeId="0" xr:uid="{A081FBAF-7F64-4BC9-B53D-3498F56882E6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87" authorId="50" shapeId="0" xr:uid="{88F0C25C-4B17-4F09-9983-B38A848927EE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88" authorId="51" shapeId="0" xr:uid="{EA050BDE-C8CD-43C7-A24C-66AEF700F225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89" authorId="52" shapeId="0" xr:uid="{2E0557EF-FCC5-48EB-992E-C33C814D010E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90" authorId="53" shapeId="0" xr:uid="{69E71E5F-4F0B-49E9-92AE-9A99758E704F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91" authorId="54" shapeId="0" xr:uid="{F7636539-BE3F-452F-B782-711167F71197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92" authorId="55" shapeId="0" xr:uid="{53FC1C51-C2C3-46F7-B6B6-B5951F31C24B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93" authorId="56" shapeId="0" xr:uid="{65D90CA5-D17B-4864-9EC9-699D2F76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94" authorId="57" shapeId="0" xr:uid="{0B17BBF4-662E-4FE0-9FDD-9D92AB10B569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95" authorId="58" shapeId="0" xr:uid="{301A2C9F-9547-457B-BEB1-71D14352239C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96" authorId="59" shapeId="0" xr:uid="{9C7CB4C8-3C26-452B-8295-6B225D5DE98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97" authorId="60" shapeId="0" xr:uid="{C16622AB-C280-4D90-9B16-FA89F070E46B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98" authorId="61" shapeId="0" xr:uid="{F78765C1-8504-4252-9354-2A4812C1FDB4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99" authorId="62" shapeId="0" xr:uid="{102F1F1E-089D-48B5-AC44-3E0D2D9CF1CF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00" authorId="63" shapeId="0" xr:uid="{8F308F4F-D3E1-4FA6-B139-21AC6BD15C59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01" authorId="64" shapeId="0" xr:uid="{FFD09355-66A0-4F4F-966F-D8EE7141DD1C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02" authorId="65" shapeId="0" xr:uid="{3F593299-A7ED-42BE-B527-949FC6BB2FD4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03" authorId="66" shapeId="0" xr:uid="{4B4F0CC0-D29A-448F-8859-627E2688A4AF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04" authorId="67" shapeId="0" xr:uid="{156D5188-D346-4E95-8FFE-3094C1082046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05" authorId="68" shapeId="0" xr:uid="{A50BE63A-B6D1-44CA-AA3E-FED4AC65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06" authorId="69" shapeId="0" xr:uid="{FF80F6F6-6CB6-4948-A4C6-F7FC5A82F264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07" authorId="70" shapeId="0" xr:uid="{778BD850-C643-493A-9408-99C8A2774CF3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08" authorId="71" shapeId="0" xr:uid="{9F19FA25-4D74-4D2D-83F8-1066DF9B2A34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09" authorId="72" shapeId="0" xr:uid="{A4E3747C-8E4C-41AD-B9E5-B35F8DAFA91C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10" authorId="73" shapeId="0" xr:uid="{885EF6CB-F07D-45E3-874B-B15450108A65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11" authorId="74" shapeId="0" xr:uid="{9747F178-041E-413F-A979-AF21682B1613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12" authorId="75" shapeId="0" xr:uid="{DF1CDD96-B4AB-490D-840F-D129BB9187F2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13" authorId="76" shapeId="0" xr:uid="{A4ADDEA7-67B7-4BDA-9A3B-E61C1F06FAC6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14" authorId="77" shapeId="0" xr:uid="{FC516914-5458-473A-A245-2345D02EA9F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15" authorId="78" shapeId="0" xr:uid="{DB452446-9A67-4E94-B243-725941FE183B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16" authorId="79" shapeId="0" xr:uid="{E89B3D1F-3468-4CC3-9910-08D58B230C78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17" authorId="80" shapeId="0" xr:uid="{D713833B-C935-4C02-994B-763ABF8B9EE2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18" authorId="81" shapeId="0" xr:uid="{C37A2CBD-1BA7-4DEF-B5CB-E4DFD9B1EA83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19" authorId="82" shapeId="0" xr:uid="{131175E3-9B3A-4567-9E5B-D6AEB7256BF3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20" authorId="83" shapeId="0" xr:uid="{1F52A04A-18D1-4506-942F-96009DB6055C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21" authorId="84" shapeId="0" xr:uid="{4337A1C4-48C4-4F67-AD2C-48D0B87CC82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22" authorId="85" shapeId="0" xr:uid="{7A9C349E-C121-45EF-A235-D47512892BBD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23" authorId="86" shapeId="0" xr:uid="{E7B1DA8A-B348-491B-AF5F-8314627F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24" authorId="87" shapeId="0" xr:uid="{AFEF284E-4925-4CDE-9FBE-FE3449770F61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G125" authorId="88" shapeId="0" xr:uid="{68DC5F7E-22D5-4A3B-BB92-4E4983E924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Work Station
</t>
      </text>
    </comment>
    <comment ref="G126" authorId="89" shapeId="0" xr:uid="{C7B27ABB-6D5F-4069-A867-EEE8775B4F04}">
      <text>
        <t>[Threaded comment]
Your version of Excel allows you to read this threaded comment; however, any edits to it will get removed if the file is opened in a newer version of Excel. Learn more: https://go.microsoft.com/fwlink/?linkid=870924
Comment:
    .611 IQ DIRECT CTR DRV ASSY.40"BF.9-0.LH.DIRECT DRIVE.AIR TRANS.2"CTRS.G196AB-BK.BAL-3HP-460V-PREM.DGE-30-A-15-H-180.DODGE A30.RIVER GRAY</t>
      </text>
    </comment>
    <comment ref="G127" authorId="90" shapeId="0" xr:uid="{ACA1BEA4-A009-48CA-A22E-D45862A9623C}">
      <text>
        <t>[Threaded comment]
Your version of Excel allows you to read this threaded comment; however, any edits to it will get removed if the file is opened in a newer version of Excel. Learn more: https://go.microsoft.com/fwlink/?linkid=870924
Comment:
    .611 IS ASSY.12-0.40"BF.LH.AIR TRANS.2"CTRS.G196AB-BK.RIVER GRAY</t>
      </text>
    </comment>
    <comment ref="G128" authorId="91" shapeId="0" xr:uid="{DFB47E51-8370-447E-A1A5-256F42D4D66B}">
      <text>
        <t>[Threaded comment]
Your version of Excel allows you to read this threaded comment; however, any edits to it will get removed if the file is opened in a newer version of Excel. Learn more: https://go.microsoft.com/fwlink/?linkid=870924
Comment:
    .810 VB SKEW INF ED ASSY UH.40"BF.LH BELT.RH PU.STD DRV SHV.G196AB.RH SKEW.BAL-2HP-460V-PREM.DGE-202-A-10-L-140.DVR-P40-8M-30-2012.DVN-P48-8M-30-2012.GB-HT200-1064-8M-30.605"LG BELT.RIVER GRAY</t>
      </text>
    </comment>
    <comment ref="G129" authorId="92" shapeId="0" xr:uid="{90BBB123-BDE0-430B-B9E8-BF0F0EEADDB3}">
      <text>
        <t>[Threaded comment]
Your version of Excel allows you to read this threaded comment; however, any edits to it will get removed if the file is opened in a newer version of Excel. Learn more: https://go.microsoft.com/fwlink/?linkid=870924
Comment:
    .MDR NGFWB CART DEC UPR TRNS.34"BF.30"ZN, 3ZN.RH WIRE.RLR LOW.180FPM INT.PE SICK ZLD18 PNP RETRO 4PIN.HON2018.RMT CNTL.WH-496655.PREM HORZ BELT DGR HON HTSS.PREM DEC BELT DGR HON HTSS BRK.RIVER GRAY</t>
      </text>
    </comment>
    <comment ref="G130" authorId="93" shapeId="0" xr:uid="{71A3380C-73CB-42E9-A8FD-E9FE39D5008A}">
      <text>
        <t>[Threaded comment]
Your version of Excel allows you to read this threaded comment; however, any edits to it will get removed if the file is opened in a newer version of Excel. Learn more: https://go.microsoft.com/fwlink/?linkid=870924
Comment:
    .MDR NGFWB CART DEC LWR TRNS.34"BF.30"ZN, 3ZN.RH WIRE.RLR LOW.180FPM INT.PE SICK ZLD18 PNP RETRO 4PIN.HON2018.RMT CNTL.WH-496654.PREM HORZ BELT.PREM DEC BELT DGR HON HTSS BRK.RIVER GRAY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tc={5F810F90-3A58-4855-A7EF-3351E117C07E}</author>
    <author>tc={410ED182-941C-437B-8A45-33B2B0AA1C47}</author>
    <author>tc={59DBC354-2BB1-40CF-B40A-96F78298DF18}</author>
    <author>tc={EDC1E713-9470-48BA-B982-4842D786E142}</author>
    <author>tc={C8479CE9-0565-48C7-BA34-A0FE67EC32FB}</author>
    <author>tc={22247A3E-C222-417A-94CD-5B66764050AD}</author>
    <author>tc={558ED183-1FFB-4008-850A-A648A893402C}</author>
    <author>tc={A32C9D76-B798-4AE7-981E-F55DF4B2DBFC}</author>
    <author>tc={D0222937-4C7E-4181-8C46-362BD0FAC07D}</author>
    <author>tc={F372A2B3-EF4E-4CC2-84DE-923BF5F0CE63}</author>
    <author>tc={DF53661E-7BB9-4E23-8E81-CDC82ACBDFE6}</author>
    <author>tc={C69757FA-E893-4268-B7B6-2BAFF2E4F6E8}</author>
    <author>tc={F9D163E4-9AEA-4CE7-91B2-DCF75BBCD432}</author>
    <author>tc={C82B3D0F-8F2C-4314-818B-192CD35F8703}</author>
    <author>tc={CACEDE0D-805E-40BD-8229-11CF0102BA42}</author>
    <author>tc={2BC7CB4E-B7F5-4E6B-B019-DDB0AF2DBF3A}</author>
    <author>tc={C6A4F1EF-8B44-4BD9-8A5D-7615264B09E8}</author>
    <author>tc={1BB6C932-488B-4D67-9545-5808852E8823}</author>
    <author>tc={79309D9A-F657-4FD1-83AF-C9548C4B6F12}</author>
    <author>tc={D72F8C2A-1C01-4322-9DBE-250F1E8C9B04}</author>
    <author>tc={80474E16-3660-458F-A143-BB30169FE55C}</author>
    <author>tc={78A4795F-4035-460D-A0CF-826648C978CD}</author>
    <author>tc={4BDB7699-6B58-4096-AEEF-6AD90A01967E}</author>
    <author>tc={E4DA57F1-63D8-46E0-8A1A-E8800A20DAE1}</author>
    <author>tc={F5C046BD-4EF8-44AE-A409-48DF2CC267C9}</author>
    <author>tc={2B57101E-4B8A-4185-B6B3-21AFFA481CAA}</author>
    <author>tc={3DE4AC0F-1E02-4E70-878A-FEE54F7F9A6C}</author>
    <author>tc={50EDAFDD-FE1E-4F67-A224-44726EB13C59}</author>
    <author>tc={8D2C9C3D-A883-42D6-B4D0-80D8791684FC}</author>
    <author>tc={4D82F337-6A2C-4263-9323-45E620ABBFE7}</author>
    <author>tc={1CC51C3D-135B-4A47-80A0-5068BA093EFF}</author>
    <author>tc={1E79177C-5F0F-497C-99FE-116C24100E02}</author>
    <author>tc={6EA37829-FC63-4D36-920B-ABA3822F2751}</author>
    <author>tc={972694EA-26AA-4D5C-A510-6675FB0D5E81}</author>
    <author>tc={B09B3155-8245-49E6-B9C3-D227AB8014BE}</author>
    <author>tc={38B79716-2D35-4EF2-9288-83F23FB8F1F0}</author>
    <author>tc={149A44B6-E26B-4195-BEEC-A740B064B9BE}</author>
    <author>tc={072F9711-948F-4A00-A672-5C19C86C92A5}</author>
    <author>tc={EB295959-25B3-46A3-9BBE-5EAE79A78C71}</author>
    <author>tc={59EBE211-B751-42CE-B5F2-D0D54AFCF80D}</author>
    <author>tc={AC052114-273E-4981-ABE2-8AC4992F2051}</author>
    <author>tc={F3AC381F-BAB6-411B-9953-34ECB8E32D09}</author>
    <author>tc={4AB23ED1-823E-4B84-9E27-8DF51973EAE7}</author>
    <author>tc={45BC0855-5733-4FA0-924C-C3D61291BDA9}</author>
    <author>tc={E946D94B-F7D3-4341-942D-FAB616FBBA5C}</author>
    <author>tc={7E5ACF54-CD32-49D5-817B-1D07EABD1AE1}</author>
    <author>tc={8CA1443D-93BB-4AF0-B471-5921173FB85F}</author>
    <author>tc={0CC765B1-C019-430A-BDCB-9BA61F674DFB}</author>
    <author>tc={4E094082-F34C-4BE8-B7CA-E526B9C0D2EF}</author>
    <author>tc={E56D000D-D489-4774-A278-80BCFB437B67}</author>
    <author>tc={A8C52718-CCF8-4E9A-99BE-254718FF228A}</author>
    <author>tc={2BC47867-0583-4162-A77F-3985CE1C069B}</author>
    <author>tc={6B6EA8D2-B4EF-402D-8683-7EB3DB533E97}</author>
    <author>tc={4DE8A037-C438-4079-A630-39B3C83433D6}</author>
    <author>tc={962956CF-0C76-4A5F-82B7-D06C5737E8FA}</author>
    <author>tc={1FD74AA7-B69F-41DE-809C-23401E39CECC}</author>
    <author>tc={D563EB34-362C-41CD-A696-AE30A1901FA0}</author>
    <author>tc={93BA6F2B-796D-4711-A748-47A8FB4A116C}</author>
    <author>tc={3D2FDF97-7B2A-40BA-A3F3-30A16238CB69}</author>
    <author>tc={DD9D739E-511D-43BB-A606-D5F0186E9F82}</author>
    <author>tc={77EC6198-07B8-4A1A-94E0-AEDCF31F4C75}</author>
    <author>tc={666AD683-7C43-4B1C-A976-979B9CB7BFF1}</author>
    <author>tc={EBFFD123-0916-4623-ACD1-C8CAC968835A}</author>
    <author>tc={85FFAA7A-62B3-4549-B83B-9FD4FF2B6D90}</author>
    <author>tc={54323525-D685-41E8-AEC3-8A6D007C101C}</author>
    <author>tc={8C23DAAC-4455-4535-8BDA-95865E69E0C7}</author>
    <author>tc={3692165B-2551-49BC-AD33-49B29F0264E4}</author>
    <author>tc={848FE483-1DC7-44C1-91C5-ABA2977C377E}</author>
    <author>tc={C3F7EA7F-D9B1-4DEF-88B0-FD68F6361DBF}</author>
    <author>tc={B5AEB03E-DE2A-4741-A3E8-34156E135E00}</author>
  </authors>
  <commentList>
    <comment ref="G3" authorId="0" shapeId="0" xr:uid="{5F810F90-3A58-4855-A7EF-3351E117C07E}">
      <text>
        <t>[Threaded comment]
Your version of Excel allows you to read this threaded comment; however, any edits to it will get removed if the file is opened in a newer version of Excel. Learn more: https://go.microsoft.com/fwlink/?linkid=870924
Comment:
    It couldn't be completed due to IQZF 3'0 extra length on the unit.
This was caused because the Drive came with a wrong length intermediate (12'0 instead of 9'0).
Parts numbers match with ISC.</t>
      </text>
    </comment>
    <comment ref="F14" authorId="1" shapeId="0" xr:uid="{410ED182-941C-437B-8A45-33B2B0AA1C47}">
      <text>
        <t>[Threaded comment]
Your version of Excel allows you to read this threaded comment; however, any edits to it will get removed if the file is opened in a newer version of Excel. Learn more: https://go.microsoft.com/fwlink/?linkid=870924
Comment:
    PBC</t>
      </text>
    </comment>
    <comment ref="F16" authorId="2" shapeId="0" xr:uid="{59DBC354-2BB1-40CF-B40A-96F78298DF18}">
      <text>
        <t>[Threaded comment]
Your version of Excel allows you to read this threaded comment; however, any edits to it will get removed if the file is opened in a newer version of Excel. Learn more: https://go.microsoft.com/fwlink/?linkid=870924
Comment:
    PBC</t>
      </text>
    </comment>
    <comment ref="F19" authorId="3" shapeId="0" xr:uid="{EDC1E713-9470-48BA-B982-4842D786E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PBC</t>
      </text>
    </comment>
    <comment ref="G22" authorId="4" shapeId="0" xr:uid="{C8479CE9-0565-48C7-BA34-A0FE67EC32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CURVES (PBC) 
</t>
      </text>
    </comment>
    <comment ref="F25" authorId="5" shapeId="0" xr:uid="{22247A3E-C222-417A-94CD-5B66764050AD}">
      <text>
        <t>[Threaded comment]
Your version of Excel allows you to read this threaded comment; however, any edits to it will get removed if the file is opened in a newer version of Excel. Learn more: https://go.microsoft.com/fwlink/?linkid=870924
Comment:
    PBC</t>
      </text>
    </comment>
    <comment ref="G28" authorId="6" shapeId="0" xr:uid="{558ED183-1FFB-4008-850A-A648A893402C}">
      <text>
        <t>[Threaded comment]
Your version of Excel allows you to read this threaded comment; however, any edits to it will get removed if the file is opened in a newer version of Excel. Learn more: https://go.microsoft.com/fwlink/?linkid=870924
Comment:
    .01 .02 .03</t>
      </text>
    </comment>
    <comment ref="F30" authorId="7" shapeId="0" xr:uid="{A32C9D76-B798-4AE7-981E-F55DF4B2DBFC}">
      <text>
        <t>[Threaded comment]
Your version of Excel allows you to read this threaded comment; however, any edits to it will get removed if the file is opened in a newer version of Excel. Learn more: https://go.microsoft.com/fwlink/?linkid=870924
Comment:
    PBC</t>
      </text>
    </comment>
    <comment ref="F36" authorId="8" shapeId="0" xr:uid="{D0222937-4C7E-4181-8C46-362BD0FAC07D}">
      <text>
        <t>[Threaded comment]
Your version of Excel allows you to read this threaded comment; however, any edits to it will get removed if the file is opened in a newer version of Excel. Learn more: https://go.microsoft.com/fwlink/?linkid=870924
Comment:
    PBC</t>
      </text>
    </comment>
    <comment ref="F40" authorId="9" shapeId="0" xr:uid="{F372A2B3-EF4E-4CC2-84DE-923BF5F0CE63}">
      <text>
        <t>[Threaded comment]
Your version of Excel allows you to read this threaded comment; however, any edits to it will get removed if the file is opened in a newer version of Excel. Learn more: https://go.microsoft.com/fwlink/?linkid=870924
Comment:
    PBC</t>
      </text>
    </comment>
    <comment ref="F44" authorId="10" shapeId="0" xr:uid="{DF53661E-7BB9-4E23-8E81-CDC82ACBDFE6}">
      <text>
        <t>[Threaded comment]
Your version of Excel allows you to read this threaded comment; however, any edits to it will get removed if the file is opened in a newer version of Excel. Learn more: https://go.microsoft.com/fwlink/?linkid=870924
Comment:
    PBC</t>
      </text>
    </comment>
    <comment ref="F49" authorId="11" shapeId="0" xr:uid="{C69757FA-E893-4268-B7B6-2BAFF2E4F6E8}">
      <text>
        <t>[Threaded comment]
Your version of Excel allows you to read this threaded comment; however, any edits to it will get removed if the file is opened in a newer version of Excel. Learn more: https://go.microsoft.com/fwlink/?linkid=870924
Comment:
    PBC</t>
      </text>
    </comment>
    <comment ref="F52" authorId="12" shapeId="0" xr:uid="{F9D163E4-9AEA-4CE7-91B2-DCF75BBCD432}">
      <text>
        <t>[Threaded comment]
Your version of Excel allows you to read this threaded comment; however, any edits to it will get removed if the file is opened in a newer version of Excel. Learn more: https://go.microsoft.com/fwlink/?linkid=870924
Comment:
    PBC</t>
      </text>
    </comment>
    <comment ref="G53" authorId="13" shapeId="0" xr:uid="{C82B3D0F-8F2C-4314-818B-192CD35F8703}">
      <text>
        <t>[Threaded comment]
Your version of Excel allows you to read this threaded comment; however, any edits to it will get removed if the file is opened in a newer version of Excel. Learn more: https://go.microsoft.com/fwlink/?linkid=870924
Comment:
    PBC</t>
      </text>
    </comment>
    <comment ref="F55" authorId="14" shapeId="0" xr:uid="{CACEDE0D-805E-40BD-8229-11CF0102BA42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56" authorId="15" shapeId="0" xr:uid="{2BC7CB4E-B7F5-4E6B-B019-DDB0AF2DBF3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57" authorId="16" shapeId="0" xr:uid="{C6A4F1EF-8B44-4BD9-8A5D-7615264B09E8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58" authorId="17" shapeId="0" xr:uid="{1BB6C932-488B-4D67-9545-5808852E8823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59" authorId="18" shapeId="0" xr:uid="{79309D9A-F657-4FD1-83AF-C9548C4B6F12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60" authorId="19" shapeId="0" xr:uid="{D72F8C2A-1C01-4322-9DBE-250F1E8C9B04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
Reply:
    Work Station</t>
      </text>
    </comment>
    <comment ref="F61" authorId="20" shapeId="0" xr:uid="{80474E16-3660-458F-A143-BB30169FE55C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62" authorId="21" shapeId="0" xr:uid="{78A4795F-4035-460D-A0CF-826648C978CD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63" authorId="22" shapeId="0" xr:uid="{4BDB7699-6B58-4096-AEEF-6AD90A01967E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64" authorId="23" shapeId="0" xr:uid="{E4DA57F1-63D8-46E0-8A1A-E8800A20DAE1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65" authorId="24" shapeId="0" xr:uid="{F5C046BD-4EF8-44AE-A409-48DF2CC267C9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66" authorId="25" shapeId="0" xr:uid="{2B57101E-4B8A-4185-B6B3-21AFFA481CA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67" authorId="26" shapeId="0" xr:uid="{3DE4AC0F-1E02-4E70-878A-FEE54F7F9A6C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68" authorId="27" shapeId="0" xr:uid="{50EDAFDD-FE1E-4F67-A224-44726EB13C59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69" authorId="28" shapeId="0" xr:uid="{8D2C9C3D-A883-42D6-B4D0-80D8791684FC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70" authorId="29" shapeId="0" xr:uid="{4D82F337-6A2C-4263-9323-45E620ABBFE7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71" authorId="30" shapeId="0" xr:uid="{1CC51C3D-135B-4A47-80A0-5068BA093EFF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72" authorId="31" shapeId="0" xr:uid="{1E79177C-5F0F-497C-99FE-116C24100E02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73" authorId="32" shapeId="0" xr:uid="{6EA37829-FC63-4D36-920B-ABA3822F2751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74" authorId="33" shapeId="0" xr:uid="{972694EA-26AA-4D5C-A510-6675FB0D5E81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75" authorId="34" shapeId="0" xr:uid="{B09B3155-8245-49E6-B9C3-D227AB8014BE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76" authorId="35" shapeId="0" xr:uid="{38B79716-2D35-4EF2-9288-83F23FB8F1F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77" authorId="36" shapeId="0" xr:uid="{149A44B6-E26B-4195-BEEC-A740B064B9BE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78" authorId="37" shapeId="0" xr:uid="{072F9711-948F-4A00-A672-5C19C86C92A5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79" authorId="38" shapeId="0" xr:uid="{EB295959-25B3-46A3-9BBE-5EAE79A78C71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80" authorId="39" shapeId="0" xr:uid="{59EBE211-B751-42CE-B5F2-D0D54AFCF80D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81" authorId="40" shapeId="0" xr:uid="{AC052114-273E-4981-ABE2-8AC4992F2051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82" authorId="41" shapeId="0" xr:uid="{F3AC381F-BAB6-411B-9953-34ECB8E32D09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83" authorId="42" shapeId="0" xr:uid="{4AB23ED1-823E-4B84-9E27-8DF51973EAE7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84" authorId="43" shapeId="0" xr:uid="{45BC0855-5733-4FA0-924C-C3D61291BDA9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85" authorId="44" shapeId="0" xr:uid="{E946D94B-F7D3-4341-942D-FAB616FBBA5C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86" authorId="45" shapeId="0" xr:uid="{7E5ACF54-CD32-49D5-817B-1D07EABD1AE1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87" authorId="46" shapeId="0" xr:uid="{8CA1443D-93BB-4AF0-B471-5921173FB85F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88" authorId="47" shapeId="0" xr:uid="{0CC765B1-C019-430A-BDCB-9BA61F674DFB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89" authorId="48" shapeId="0" xr:uid="{4E094082-F34C-4BE8-B7CA-E526B9C0D2EF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90" authorId="49" shapeId="0" xr:uid="{E56D000D-D489-4774-A278-80BCFB437B67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91" authorId="50" shapeId="0" xr:uid="{A8C52718-CCF8-4E9A-99BE-254718FF228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92" authorId="51" shapeId="0" xr:uid="{2BC47867-0583-4162-A77F-3985CE1C069B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93" authorId="52" shapeId="0" xr:uid="{6B6EA8D2-B4EF-402D-8683-7EB3DB533E97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94" authorId="53" shapeId="0" xr:uid="{4DE8A037-C438-4079-A630-39B3C83433D6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95" authorId="54" shapeId="0" xr:uid="{962956CF-0C76-4A5F-82B7-D06C5737E8F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96" authorId="55" shapeId="0" xr:uid="{1FD74AA7-B69F-41DE-809C-23401E39CECC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97" authorId="56" shapeId="0" xr:uid="{D563EB34-362C-41CD-A696-AE30A1901FA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98" authorId="57" shapeId="0" xr:uid="{93BA6F2B-796D-4711-A748-47A8FB4A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99" authorId="58" shapeId="0" xr:uid="{3D2FDF97-7B2A-40BA-A3F3-30A16238CB69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100" authorId="59" shapeId="0" xr:uid="{DD9D739E-511D-43BB-A606-D5F0186E9F82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101" authorId="60" shapeId="0" xr:uid="{77EC6198-07B8-4A1A-94E0-AEDCF31F4C75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102" authorId="61" shapeId="0" xr:uid="{666AD683-7C43-4B1C-A976-979B9CB7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103" authorId="62" shapeId="0" xr:uid="{EBFFD123-0916-4623-ACD1-C8CAC968835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104" authorId="63" shapeId="0" xr:uid="{85FFAA7A-62B3-4549-B83B-9FD4FF2B6D9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105" authorId="64" shapeId="0" xr:uid="{54323525-D685-41E8-AEC3-8A6D007C101C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106" authorId="65" shapeId="0" xr:uid="{8C23DAAC-4455-4535-8BDA-95865E69E0C7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107" authorId="66" shapeId="0" xr:uid="{3692165B-2551-49BC-AD33-49B29F0264E4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108" authorId="67" shapeId="0" xr:uid="{848FE483-1DC7-44C1-91C5-ABA2977C377E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109" authorId="68" shapeId="0" xr:uid="{C3F7EA7F-D9B1-4DEF-88B0-FD68F6361DBF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  <comment ref="F110" authorId="69" shapeId="0" xr:uid="{B5AEB03E-DE2A-4741-A3E8-34156E135E00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 Station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tc={F00CD494-3D15-455C-8F84-E915429BD177}</author>
    <author>tc={107480A8-4E8E-402D-B057-0002F3996F8E}</author>
    <author>tc={6F7761A4-EE4D-4B5C-AF29-6CBAC0A7E664}</author>
    <author>tc={B85B7C16-92A0-4FAC-A98E-21E674D92ED9}</author>
    <author>tc={C179AA0E-78DB-41B7-A049-272DCE9D05A2}</author>
    <author>tc={F27107AB-79F3-4B30-9C1D-3F2D6A44620A}</author>
    <author>tc={B6E42997-CF67-4829-8C0B-5DBDC018B27E}</author>
    <author>tc={16B6E6CA-26C7-4FB3-AAA3-61C8A0EF163B}</author>
    <author>tc={A5C97663-842E-4740-85BC-9100879CFA4C}</author>
    <author>tc={B2CF0192-E2AE-4A76-99DB-2416AEA3565F}</author>
    <author>tc={089BCB35-CBD8-461B-8A6D-1F0C9CDFDA5A}</author>
    <author>tc={57068AD1-BE09-40F1-98D2-BD433359FDE4}</author>
    <author>tc={EF1E460D-327B-406E-A1BC-6F254CEF787C}</author>
    <author>tc={85BAC138-7752-4B84-9041-947530AC88FA}</author>
    <author>tc={A62ED4E2-5E00-4866-A382-44C9E7456BD1}</author>
    <author>tc={DF3EE52E-433A-4E71-B1B5-50DECBB3F798}</author>
    <author>tc={F553AA21-6E56-431B-A813-778C01D314A3}</author>
    <author>tc={6CEF2A26-9F8F-4038-9312-F828C4D524BB}</author>
    <author>tc={7A4E1E09-0908-40B1-BD0B-A811C5A08ECF}</author>
    <author>tc={46EAD7CE-0C5A-40CA-B011-3D920E7DA78F}</author>
    <author>tc={B899EB63-3077-4D9F-BB56-AE538146F947}</author>
    <author>tc={C8BE55D0-870A-4ADB-B6A8-DF112CC2A92C}</author>
    <author>tc={4FA4A0E7-C9D7-48EF-BD45-7E0D87665EC8}</author>
    <author>tc={323685E0-8809-4FC2-BA6F-497F95C9CF75}</author>
    <author>tc={12F67C30-A89F-4F23-BCD7-8EC74AECD331}</author>
    <author>tc={04035466-D430-4653-81DC-BF28636F5749}</author>
    <author>tc={BA5196CA-5A62-4258-B510-FB4EFB06C18A}</author>
  </authors>
  <commentList>
    <comment ref="Q4" authorId="0" shapeId="0" xr:uid="{F00CD494-3D15-455C-8F84-E915429BD177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a new design (short supports) </t>
      </text>
    </comment>
    <comment ref="G5" authorId="1" shapeId="0" xr:uid="{107480A8-4E8E-402D-B057-0002F3996F8E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BAND</t>
      </text>
    </comment>
    <comment ref="G6" authorId="2" shapeId="0" xr:uid="{6F7761A4-EE4D-4B5C-AF29-6CBAC0A7E664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BAND</t>
      </text>
    </comment>
    <comment ref="G7" authorId="3" shapeId="0" xr:uid="{B85B7C16-92A0-4FAC-A98E-21E674D92ED9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BAND</t>
      </text>
    </comment>
    <comment ref="G8" authorId="4" shapeId="0" xr:uid="{C179AA0E-78DB-41B7-A049-272DCE9D05A2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BAND</t>
      </text>
    </comment>
    <comment ref="G9" authorId="5" shapeId="0" xr:uid="{F27107AB-79F3-4B30-9C1D-3F2D6A44620A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BAND</t>
      </text>
    </comment>
    <comment ref="G11" authorId="6" shapeId="0" xr:uid="{B6E42997-CF67-4829-8C0B-5DBDC018B27E}">
      <text>
        <t>[Threaded comment]
Your version of Excel allows you to read this threaded comment; however, any edits to it will get removed if the file is opened in a newer version of Excel. Learn more: https://go.microsoft.com/fwlink/?linkid=870924
Comment:
    LACKS SUPPORT</t>
      </text>
    </comment>
    <comment ref="Q11" authorId="7" shapeId="0" xr:uid="{16B6E6CA-26C7-4FB3-AAA3-61C8A0EF163B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a new design (short supports) </t>
      </text>
    </comment>
    <comment ref="Q12" authorId="8" shapeId="0" xr:uid="{A5C97663-842E-4740-85BC-9100879CFA4C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a new design (short supports) </t>
      </text>
    </comment>
    <comment ref="G13" authorId="9" shapeId="0" xr:uid="{B2CF0192-E2AE-4A76-99DB-2416AEA3565F}">
      <text>
        <t>[Threaded comment]
Your version of Excel allows you to read this threaded comment; however, any edits to it will get removed if the file is opened in a newer version of Excel. Learn more: https://go.microsoft.com/fwlink/?linkid=870924
Comment:
    LACKS SUPPORT</t>
      </text>
    </comment>
    <comment ref="Q13" authorId="10" shapeId="0" xr:uid="{089BCB35-CBD8-461B-8A6D-1F0C9CDFDA5A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a new design (short supports) </t>
      </text>
    </comment>
    <comment ref="G14" authorId="11" shapeId="0" xr:uid="{57068AD1-BE09-40F1-98D2-BD433359FDE4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BAND</t>
      </text>
    </comment>
    <comment ref="G15" authorId="12" shapeId="0" xr:uid="{EF1E460D-327B-406E-A1BC-6F254CEF787C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doesn't have a band </t>
      </text>
    </comment>
    <comment ref="G16" authorId="13" shapeId="0" xr:uid="{85BAC138-7752-4B84-9041-947530AC88FA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doesn't have a band </t>
      </text>
    </comment>
    <comment ref="G17" authorId="14" shapeId="0" xr:uid="{A62ED4E2-5E00-4866-A382-44C9E7456B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doesn't have a band </t>
      </text>
    </comment>
    <comment ref="G18" authorId="15" shapeId="0" xr:uid="{DF3EE52E-433A-4E71-B1B5-50DECBB3F798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doesn't have a band </t>
      </text>
    </comment>
    <comment ref="G20" authorId="16" shapeId="0" xr:uid="{F553AA21-6E56-431B-A813-778C01D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Drive isn't the one that arrived, it's incorrect, there's no information in the ISC </t>
      </text>
    </comment>
    <comment ref="G24" authorId="17" shapeId="0" xr:uid="{6CEF2A26-9F8F-4038-9312-F828C4D524BB}">
      <text>
        <t>[Threaded comment]
Your version of Excel allows you to read this threaded comment; however, any edits to it will get removed if the file is opened in a newer version of Excel. Learn more: https://go.microsoft.com/fwlink/?linkid=870924
Comment:
    upstream conveyor 42210 missing the drive</t>
      </text>
    </comment>
    <comment ref="Q24" authorId="18" shapeId="0" xr:uid="{7A4E1E09-0908-40B1-BD0B-A811C5A08ECF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for upstrem conveyor to install</t>
      </text>
    </comment>
    <comment ref="G25" authorId="19" shapeId="0" xr:uid="{46EAD7CE-0C5A-40CA-B011-3D920E7DA78F}">
      <text>
        <t>[Threaded comment]
Your version of Excel allows you to read this threaded comment; however, any edits to it will get removed if the file is opened in a newer version of Excel. Learn more: https://go.microsoft.com/fwlink/?linkid=870924
Comment:
    cut to fit not done due to upstream conveyor 42260 drive missing</t>
      </text>
    </comment>
    <comment ref="Q25" authorId="20" shapeId="0" xr:uid="{B899EB63-3077-4D9F-BB56-AE538146F947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for upstrem conveyor to install</t>
      </text>
    </comment>
    <comment ref="Q26" authorId="21" shapeId="0" xr:uid="{C8BE55D0-870A-4ADB-B6A8-DF112CC2A92C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 material (sent for powder coat &amp; Hat channles are ordered)</t>
      </text>
    </comment>
    <comment ref="Q34" authorId="22" shapeId="0" xr:uid="{4FA4A0E7-C9D7-48EF-BD45-7E0D87665EC8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 material (sent for powder coat &amp; Hat channles are ordered)</t>
      </text>
    </comment>
    <comment ref="G36" authorId="23" shapeId="0" xr:uid="{323685E0-8809-4FC2-BA6F-497F95C9CF75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BAND</t>
      </text>
    </comment>
    <comment ref="G37" authorId="24" shapeId="0" xr:uid="{12F67C30-A89F-4F23-BCD7-8EC74AECD331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BAND</t>
      </text>
    </comment>
    <comment ref="Q39" authorId="25" shapeId="0" xr:uid="{04035466-D430-4653-81DC-BF28636F5749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 material (sent for powder coat &amp; Hat channles are ordered)</t>
      </text>
    </comment>
    <comment ref="Q40" authorId="26" shapeId="0" xr:uid="{BA5196CA-5A62-4258-B510-FB4EFB06C18A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 material (sent for powder coat &amp; Hat channles are ordered)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tc={CDC5FAA6-6255-4813-A100-40ABFD8207DD}</author>
    <author>tc={29678602-1C78-4036-9765-897A66A96011}</author>
    <author>tc={83CFF26C-DEBA-45B3-A1E2-953B2EFE1719}</author>
    <author>tc={BD451775-8E96-4A73-A4D0-74B405F49FFD}</author>
    <author>tc={E95DD3AB-3BA8-4578-A4CA-6461CF6AA770}</author>
  </authors>
  <commentList>
    <comment ref="G3" authorId="0" shapeId="0" xr:uid="{CDC5FAA6-6255-4813-A100-40ABFD8207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200 BT 2PL LR MONOFILAMENT 20"W  </t>
      </text>
    </comment>
    <comment ref="G50" authorId="1" shapeId="0" xr:uid="{29678602-1C78-4036-9765-897A66A96011}">
      <text>
        <t>[Threaded comment]
Your version of Excel allows you to read this threaded comment; however, any edits to it will get removed if the file is opened in a newer version of Excel. Learn more: https://go.microsoft.com/fwlink/?linkid=870924
Comment:
    .MDR-710.MRG.BLNSE.EXT.30D.6.5.RIVER GRAY</t>
      </text>
    </comment>
    <comment ref="G54" authorId="2" shapeId="0" xr:uid="{83CFF26C-DEBA-45B3-A1E2-953B2EFE1719}">
      <text>
        <t>[Threaded comment]
Your version of Excel allows you to read this threaded comment; however, any edits to it will get removed if the file is opened in a newer version of Excel. Learn more: https://go.microsoft.com/fwlink/?linkid=870924
Comment:
    200 BT STD NEEDLED FELT 21"W</t>
      </text>
    </comment>
    <comment ref="G58" authorId="3" shapeId="0" xr:uid="{BD451775-8E96-4A73-A4D0-74B405F49FFD}">
      <text>
        <t>[Threaded comment]
Your version of Excel allows you to read this threaded comment; however, any edits to it will get removed if the file is opened in a newer version of Excel. Learn more: https://go.microsoft.com/fwlink/?linkid=870924
Comment:
    200 BT STD NEEDLED FELT 20"W</t>
      </text>
    </comment>
    <comment ref="G61" authorId="4" shapeId="0" xr:uid="{E95DD3AB-3BA8-4578-A4CA-6461CF6AA770}">
      <text>
        <t>[Threaded comment]
Your version of Excel allows you to read this threaded comment; however, any edits to it will get removed if the file is opened in a newer version of Excel. Learn more: https://go.microsoft.com/fwlink/?linkid=870924
Comment:
    200 BT 2PL LR MONOFILAMENT 20"W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tc={3A60DFCE-1C05-4241-A6AD-AEE9AB84287C}</author>
    <author>tc={E2F00F4F-69EE-43E9-9386-C29C17F17E54}</author>
    <author>tc={2A5CB170-ABA9-4ACA-B31A-762CBC80B9ED}</author>
    <author>tc={66C98302-A190-4B7F-9046-B9013330F4CD}</author>
    <author>tc={A2B26E6A-189C-43F9-814E-A84A0F3B6DA0}</author>
    <author>tc={95AC6FED-8DC2-4D96-A49A-D7D03EE3277A}</author>
    <author>tc={3D4BE195-0F14-4535-9468-6A6D48735395}</author>
    <author>tc={D913C134-C2E2-44C9-833D-A38E1F8EE520}</author>
    <author>tc={7DDDFD46-55BD-4ABE-9556-E9C4756654C6}</author>
    <author>tc={1E763452-D64A-4BE2-973B-B0D80A44F5CE}</author>
    <author>tc={51175741-B7CD-4DE4-9BA7-CC12AF5C26AF}</author>
    <author>tc={258D8360-083A-4F51-A327-5A999C20930B}</author>
    <author>tc={35EA41DC-5507-491E-9742-C725988E533F}</author>
    <author>tc={7EC8CC8F-46BE-4F2A-9963-404A5ED97DE4}</author>
    <author>tc={BD57EA80-58D9-45A0-B3C4-86B711E57930}</author>
    <author>tc={4C445299-D4E5-44A7-8ED4-BCD517F92C1B}</author>
    <author>tc={EC603724-13C1-49A1-B6B8-A0A0AF00D9E9}</author>
    <author>tc={E567E18E-BEA8-4CE0-BBE2-A7F40EEAD14E}</author>
    <author>tc={604A17D1-AE34-4B9A-BD85-87E14569C9AB}</author>
    <author>tc={2937FEF2-62D9-4180-95F3-32505CE53B11}</author>
    <author>tc={FBCD0DD1-5F2C-46C6-B11D-B9B91B13C075}</author>
    <author>tc={DA1230A8-0ACD-4D29-BF7F-45392C910384}</author>
    <author>tc={563076F4-DEBF-46BA-8796-D29430C7B832}</author>
    <author>tc={5A61EA9D-DD31-4464-A135-C1D205425281}</author>
    <author>tc={2E4D3BF8-7E7E-4F47-8E45-0618F7635B72}</author>
    <author>tc={AA0969EB-DF22-4391-A6D0-FCEC502C3041}</author>
    <author>tc={9D3E8C56-DA1F-45F0-8BB1-003A7A101C89}</author>
    <author>tc={C5C6E9B5-6B26-40B4-841B-F90F01ABE9D7}</author>
    <author>tc={F8EE384E-4FD2-4920-903B-5DE000F50245}</author>
    <author>tc={4843BE0E-5F82-4793-8BD4-CBCCBF35C101}</author>
    <author>tc={244923E1-09DD-4F2E-A2BF-8D425A78D5A7}</author>
    <author>tc={DC9645FF-DEC1-4B7D-A8CD-26C1CA8AE4A7}</author>
    <author>tc={90A9563D-3B76-45DE-BA6E-CEE22C7FDA27}</author>
    <author>tc={29C6B6F6-5E98-4063-A0B6-0C912ECB9CA5}</author>
    <author>tc={0DE60853-66E5-439A-9ABF-017123D1873D}</author>
    <author>tc={68382FCB-B7B9-4923-9FD2-0BF4965E4E18}</author>
    <author>tc={908479C5-510E-4FCB-88DF-5C54B5846270}</author>
    <author>tc={E5E4E87E-0660-4EA1-9AA5-2EC8D7F38E67}</author>
    <author>tc={A4CD6A6F-595F-4EAF-B960-9671B02E3B2C}</author>
    <author>tc={EFE2C6E9-DE66-474A-B4D8-B470FA2F56E3}</author>
    <author>tc={42FB0613-E444-4E7C-B5E7-5D9388F41D11}</author>
    <author>tc={EB084065-A063-44B1-86CD-BDDB209BA5AA}</author>
    <author>tc={2527ADFD-44DE-4C88-9652-09E7436C03F9}</author>
    <author>tc={16D33F36-2021-4B01-9305-07E612B0BF74}</author>
    <author>tc={8BA5F579-83FE-4D39-9E28-FFC1944D0272}</author>
    <author>tc={9D5E7B03-567B-4472-833A-40AD74D99E0A}</author>
  </authors>
  <commentList>
    <comment ref="G3" authorId="0" shapeId="0" xr:uid="{3A60DFCE-1C05-4241-A6AD-AEE9AB8428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.200 BELT CENTERDRIVE.22BF.RH PU.URETH PULLEY.ENCODER ROLLER.BAL-3HP-460V-PREM.DGE-26-A-10-R-180.DVR-P36-8M-50-1610.DVN-P56-8M-50-2517.GB-HT200-1224-8M-50.RIVER GRAY  </t>
      </text>
    </comment>
    <comment ref="G4" authorId="1" shapeId="0" xr:uid="{E2F00F4F-69EE-43E9-9386-C29C17F17E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.200 BELT CENTERDRIVE.22BF.RH PU.URETH PULLEY.ENCODER ROLLER.BAL-3HP-460V-PREM.DGE-26-A-10-R-180.DVR-P36-8M-50-1610.DVN-P56-8M-50-2517.GB-HT200-1224-8M-50.RIVER GRAY  </t>
      </text>
    </comment>
    <comment ref="G6" authorId="2" shapeId="0" xr:uid="{2A5CB170-ABA9-4ACA-B31A-762CBC80B9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200 BT 2PL LR MONOFILAMENT 20"W  </t>
      </text>
    </comment>
    <comment ref="G8" authorId="3" shapeId="0" xr:uid="{66C98302-A190-4B7F-9046-B9013330F4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200 BT 2PL LR MONOFILAMENT 20"W  </t>
      </text>
    </comment>
    <comment ref="G9" authorId="4" shapeId="0" xr:uid="{A2B26E6A-189C-43F9-814E-A84A0F3B6D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.810 VB CRV 60D ASSY TT 2"C.22"BF.TG254AB.9.75"HT.RIVER GRAY  </t>
      </text>
    </comment>
    <comment ref="G12" authorId="5" shapeId="0" xr:uid="{95AC6FED-8DC2-4D96-A49A-D7D03EE327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MDR 710 FRAME GROUNDING FLAT  </t>
      </text>
    </comment>
    <comment ref="G13" authorId="6" shapeId="0" xr:uid="{3D4BE195-0F14-4535-9468-6A6D487353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NGFWB CART INC UPR TRNS.22"BF.30"ZN, 2ZN.LH WIRE.RLR LOW.120FPM INT.PE SICK ZLD18 PNP RETRO 4PIN.HON2018.RMT CNTL.WH-496655.PREM HORZ BELT DGR HON HTSS.PREM INC BELT DGR HON HTSS.RIVER GRAY  </t>
      </text>
    </comment>
    <comment ref="G18" authorId="7" shapeId="0" xr:uid="{D913C134-C2E2-44C9-833D-A38E1F8EE5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.611 IQ DIRECT CTR DRV ASSY.22"BF.12-0.RH.DIRECT DRIVE.STANDARD.2"CTRS.3 FT ZN OUTSIDE OPP SIDE.G196AB-BK.BAL-3HP-460V-PREM.DGE-35-A-25-H-180.DODGE A35.RIVER GRAY  </t>
      </text>
    </comment>
    <comment ref="G19" authorId="8" shapeId="0" xr:uid="{7DDDFD46-55BD-4ABE-9556-E9C4756654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.611 IS ASSY.12-0.22"BF.RH.STANDARD.2"CTRS.3 FT ZN OUTSIDE OPP SIDE.G196AB-BK.RIVER GRAY  </t>
      </text>
    </comment>
    <comment ref="G20" authorId="9" shapeId="0" xr:uid="{1E763452-D64A-4BE2-973B-B0D80A44F5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200 BT HABASIT MAT TOP 4137 20"W  </t>
      </text>
    </comment>
    <comment ref="G27" authorId="10" shapeId="0" xr:uid="{51175741-B7CD-4DE4-9BA7-CC12AF5C26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NGFWB CART INC LWR TRNS.22"BF.30"ZN, 2ZN.RH WIRE.RLR LOW.120FPM INT.PE SICK ZLD18 PNP RETRO 4PIN.HON2018.RMT CNTL.WH-496654.PREM HORZ BELT DGR HON HTSS.PREM INC BELT DGR HON HTSS.RIVER GRAY </t>
      </text>
    </comment>
    <comment ref="G28" authorId="11" shapeId="0" xr:uid="{258D8360-083A-4F51-A327-5A999C2093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NGFWB CART INC LWR TRNS.22"BF.30"ZN, 2ZN.RH WIRE.RLR LOW.120FPM INT.PE SICK ZLD18 PNP RETRO 4PIN.HON2018.RMT CNTL.WH-496654.PREM HORZ BELT DGR HON HTSS.PREM INC BELT DGR HON HTSS.RIVER GRAY  </t>
      </text>
    </comment>
    <comment ref="G30" authorId="12" shapeId="0" xr:uid="{35EA41DC-5507-491E-9742-C725988E53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NGFWB CART INC UPR TRNS.22"BF.30"ZN, 2ZN.RH WIRE.RLR LOW.120FPM INT.PE SICK ZLD18 PNP RETRO 4PIN.HON2018.RMT CNTL.WH-496655.PREM HORZ BELT DGR HON HTSS.PREM INC BELT DGR HON HTSS.RIVER GRAY  </t>
      </text>
    </comment>
    <comment ref="G34" authorId="13" shapeId="0" xr:uid="{7EC8CC8F-46BE-4F2A-9963-404A5ED97D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200 BT HABASIT MAT TOP 4137 20"W  </t>
      </text>
    </comment>
    <comment ref="G36" authorId="14" shapeId="0" xr:uid="{BD57EA80-58D9-45A0-B3C4-86B711E579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.200 BELT INTERMEDIATE SB.3'LG.22"BF.CHAN-CHAN.RIVER GRAY  </t>
      </text>
    </comment>
    <comment ref="G37" authorId="15" shapeId="0" xr:uid="{4C445299-D4E5-44A7-8ED4-BCD517F92C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200 BT HABASIT MAT TOP 4137 20"W  </t>
      </text>
    </comment>
    <comment ref="G39" authorId="16" shapeId="0" xr:uid="{EC603724-13C1-49A1-B6B8-A0A0AF00D9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200 BT 2PL LR MONOFILAMENT 20"W  
</t>
      </text>
    </comment>
    <comment ref="G44" authorId="17" shapeId="0" xr:uid="{E567E18E-BEA8-4CE0-BBE2-A7F40EEAD1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NGFWB CART INC LWR TRNS.22"BF.30"ZN, 2ZN.RH WIRE.RLR LOW.120FPM INT.PE SICK ZLD18 PNP RETRO 4PIN.HON2018.RMT CNTL.WH-496654.PREM HORZ BELT DGR HON HTSS.PREM INC BELT DGR HON HTSS.RIVER GRAY  </t>
      </text>
    </comment>
    <comment ref="G45" authorId="18" shapeId="0" xr:uid="{604A17D1-AE34-4B9A-BD85-87E14569C9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FWB STRT INC ASSY.22"BF.30"ZN.RH WIRE.RLR LOW.120"OAL.120FPM INT.PE SICK ZLD18 PNP RETRO 4PIN.HON2018.RMT CNTL.WH-492186.PREM INC BELT DGR HON HTSS.RIVER GRAY  </t>
      </text>
    </comment>
    <comment ref="G46" authorId="19" shapeId="0" xr:uid="{2937FEF2-62D9-4180-95F3-32505CE53B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NGFWB CART INC UPR TRNS.22"BF.30"ZN, 2ZN.RH WIRE.RLR LOW.120FPM INT.PE SICK ZLD18 PNP RETRO 4PIN.HON2018.RMT CNTL.WH-496655.PREM HORZ BELT DGR HON HTSS.PREM INC BELT DGR HON HTSS.RIVER GRAY  </t>
      </text>
    </comment>
    <comment ref="G50" authorId="20" shapeId="0" xr:uid="{FBCD0DD1-5F2C-46C6-B11D-B9B91B13C075}">
      <text>
        <t>[Threaded comment]
Your version of Excel allows you to read this threaded comment; however, any edits to it will get removed if the file is opened in a newer version of Excel. Learn more: https://go.microsoft.com/fwlink/?linkid=870924
Comment:
    41044300</t>
      </text>
    </comment>
    <comment ref="G55" authorId="21" shapeId="0" xr:uid="{DA1230A8-0ACD-4D29-BF7F-45392C9103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200 BT HABASIT MAT TOP 4137 20"W  </t>
      </text>
    </comment>
    <comment ref="G56" authorId="22" shapeId="0" xr:uid="{563076F4-DEBF-46BA-8796-D29430C7B8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.200 BELT INTERMEDIATE SB.12'LG.22"BF.CHAN-CHAN.RIVER GRAY  </t>
      </text>
    </comment>
    <comment ref="G61" authorId="23" shapeId="0" xr:uid="{5A61EA9D-DD31-4464-A135-C1D2054252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710-PWDR INCR.22"BF.2"CTRS.RH WIRE.LH OBLT.RLR LOW.1-8.G196AB MDR DGR.STD TORQ DGR HON STSS.180FPM INT.HON2018.WH-491908.RIVER GRAY  </t>
      </text>
    </comment>
    <comment ref="G62" authorId="24" shapeId="0" xr:uid="{2E4D3BF8-7E7E-4F47-8E45-0618F7635B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NGFWB CART INC LWR TRNS.22"BF.30"ZN, 2ZN.RH WIRE.RLR LOW.120FPM INT.PE SICK ZLD18 PNP RETRO 4PIN.HON2018.RMT CNTL.WH-496654.PREM HORZ BELT DGR HON HTSS.PREM INC BELT DGR HON HTSS.RIVER GRAY  </t>
      </text>
    </comment>
    <comment ref="G63" authorId="25" shapeId="0" xr:uid="{AA0969EB-DF22-4391-A6D0-FCEC502C30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NGFWB CART INC LWR TRNS.22"BF.30"ZN, 2ZN.RH WIRE.RLR LOW.120FPM INT.PE SICK ZLD18 PNP RETRO 4PIN.HON2018.RMT CNTL.WH-496654.PREM HORZ BELT DGR HON HTSS.PREM INC BELT DGR HON HTSS.RIVER GRAY </t>
      </text>
    </comment>
    <comment ref="G64" authorId="26" shapeId="0" xr:uid="{9D3E8C56-DA1F-45F0-8BB1-003A7A101C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.MDR NGFWB CART INC LWR TRNS.22"BF.30"ZN, 2ZN.RH WIRE.RLR LOW.120FPM INT.PE SICK ZLD18 PNP RETRO 4PIN.HON2018.RMT CNTL.WH-496654.PREM HORZ BELT DGR HON HTSS.PREM INC BELT DGR HON HTSS.RIVER GRAY </t>
      </text>
    </comment>
    <comment ref="G68" authorId="27" shapeId="0" xr:uid="{C5C6E9B5-6B26-40B4-841B-F90F01ABE9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200 BT HABASIT MAT TOP 4137 20"W  </t>
      </text>
    </comment>
    <comment ref="G70" authorId="28" shapeId="0" xr:uid="{F8EE384E-4FD2-4920-903B-5DE000F502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710-CRV.RH CURVE LH WIRE.22"BF.CC.30"ZN.60D.48"IR.RLR LOW.STD TORQ DGR HON STSS.180FPM INT.PE SICK ZLD18 PNP RETRO 4PIN.HON2018.RMT CNTL.BNR X2X.WH-491910.RIVER GRAY  </t>
      </text>
    </comment>
    <comment ref="G72" authorId="29" shapeId="0" xr:uid="{4843BE0E-5F82-4793-8BD4-CBCCBF35C1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200 BT 2PL LR MONOFILAMENT 20"W  </t>
      </text>
    </comment>
    <comment ref="G78" authorId="30" shapeId="0" xr:uid="{244923E1-09DD-4F2E-A2BF-8D425A78D5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.MDR 710-INCR.22"BF.2"CTRS.RH WIRE.LH OBLT.RLR LOW.3"OAL.G196AB MDR DGR.RMT CNTL.BNR X2X.WH-491908.RIVER GRAY  </t>
      </text>
    </comment>
    <comment ref="G80" authorId="31" shapeId="0" xr:uid="{DC9645FF-DEC1-4B7D-A8CD-26C1CA8AE4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.611 IS ASSY.12-0.22"BF.RH.AIR TRANS.3"CTRS.G196AB-BK.RIVER GRAY  </t>
      </text>
    </comment>
    <comment ref="G81" authorId="32" shapeId="0" xr:uid="{90A9563D-3B76-45DE-BA6E-CEE22C7FDA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.MDR 710-CRV.LH CURVE RH WIRE.22"BF.CC.30"ZN.60D.48"IR.RLR LOW.STD TORQ DGR HON STSS.180FPM INT.PE SICK ZLD18 PNP RETRO 4PIN.HON2018.RMT CNTL.BNR X2X.WH-491910.RIVER GRAY  </t>
      </text>
    </comment>
    <comment ref="G82" authorId="33" shapeId="0" xr:uid="{29C6B6F6-5E98-4063-A0B6-0C912ECB9C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710-CRV.RH CURVE LH WIRE.22"BF.CC.30"ZN.60D.48"IR.RLR LOW.STD TORQ DGR HON STSS.180FPM INT.PE SICK ZLD18 PNP RETRO 4PIN.HON2018.RMT CNTL.BNR X2X.WH-491910.RIVER GRAY  </t>
      </text>
    </comment>
    <comment ref="G83" authorId="34" shapeId="0" xr:uid="{0DE60853-66E5-439A-9ABF-017123D187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NGFWB CART INC LWR TRNS.22"BF.30"ZN, 2ZN.LH WIRE.RLR LOW.120FPM INT.PE SICK ZLD18 PNP RETRO 4PIN.HON2018.RMT CNTL.WH-496654.PREM HORZ BELT DGR HON HTSS.PREM INC BELT DGR HON HTSS.RIVER GRAY  </t>
      </text>
    </comment>
    <comment ref="G84" authorId="35" shapeId="0" xr:uid="{68382FCB-B7B9-4923-9FD2-0BF4965E4E18}">
      <text>
        <t>[Threaded comment]
Your version of Excel allows you to read this threaded comment; however, any edits to it will get removed if the file is opened in a newer version of Excel. Learn more: https://go.microsoft.com/fwlink/?linkid=870924
Comment:
    .MDR NGFWB CART INC UPR TRNS.22"BF.30"ZN, 2ZN.LH WIRE.RLR LOW.120FPM INT.PE SICK ZLD18 PNP RETRO 4PIN.HON2018.RMT CNTL.WH-496655.PREM HORZ BELT DGR HON HTSS.PREM INC BELT DGR HON HTSS.RIVER GRAY</t>
      </text>
    </comment>
    <comment ref="G92" authorId="36" shapeId="0" xr:uid="{908479C5-510E-4FCB-88DF-5C54B58462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200 BT 2PL LR MONOFILAMENT 20"W  </t>
      </text>
    </comment>
    <comment ref="G93" authorId="37" shapeId="0" xr:uid="{E5E4E87E-0660-4EA1-9AA5-2EC8D7F38E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.810 VB END IDL ASSY.22"BF.LH BELT.G196AB.RIVER GRAY  </t>
      </text>
    </comment>
    <comment ref="G97" authorId="38" shapeId="0" xr:uid="{A4CD6A6F-595F-4EAF-B960-9671B02E3B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200 BT HABASIT MAT TOP 4137 20"W  </t>
      </text>
    </comment>
    <comment ref="G98" authorId="39" shapeId="0" xr:uid="{EFE2C6E9-DE66-474A-B4D8-B470FA2F56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200 BT LR NEEDLED FELT BACK 20"W </t>
      </text>
    </comment>
    <comment ref="G100" authorId="40" shapeId="0" xr:uid="{42FB0613-E444-4E7C-B5E7-5D9388F41D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710-CRV.RH CURVE LH WIRE.22"BF.CC.30"ZN.60D.48"IR.RLR LOW.STD TORQ DGR HON STSS.180FPM INT.PE SICK ZLD18 PNP RETRO 4PIN.HON2018.RMT CNTL.BNR X2X.WH-491910.RIVER GRAY  </t>
      </text>
    </comment>
    <comment ref="G101" authorId="41" shapeId="0" xr:uid="{EB084065-A063-44B1-86CD-BDDB209BA5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710-CRV.LH CURVE RH WIRE.22"BF.CC.30"ZN.60D.48"IR.RLR LOW.STD TORQ DGR HON STSS.180FPM INT.PE SICK ZLD18 PNP RETRO 4PIN.HON2018.RMT CNTL.BNR X2X.WH-491910.RIVER GRAY  </t>
      </text>
    </comment>
    <comment ref="G103" authorId="42" shapeId="0" xr:uid="{2527ADFD-44DE-4C88-9652-09E7436C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710-CRV.LH CURVE RH WIRE.22"BF.30"ZN.60D.48"IR.RLR LOW.TR 197 48.0"IR DGR AX7.STD TORQ DGR HON STSS.180FPM INT.PE SICK ZLD18 PNP RETRO 4PIN.HON2018.RMT CNTL.WH-491083.RIVER GRAY  </t>
      </text>
    </comment>
    <comment ref="G105" authorId="43" shapeId="0" xr:uid="{16D33F36-2021-4B01-9305-07E612B0BF74}">
      <text>
        <t>[Threaded comment]
Your version of Excel allows you to read this threaded comment; however, any edits to it will get removed if the file is opened in a newer version of Excel. Learn more: https://go.microsoft.com/fwlink/?linkid=870924
Comment:
     .MDR 710 JCT 30D LM.22"BF.3"CTRS.NON-CVR JCT HON STSS.RLR LOW.50LB WHL.180FPM INT.HON2018.RMT CNTL.BNR X2X.WH-490027.RIVER GRAY</t>
      </text>
    </comment>
    <comment ref="G115" authorId="44" shapeId="0" xr:uid="{8BA5F579-83FE-4D39-9E28-FFC1944D02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710-CRV.RH CURVE LH WIRE.22"BF.CC.30"ZN.60D.48"IR.RLR LOW.STD TORQ DGR HON STSS.180FPM INT.PE SICK ZLD18 PNP RETRO 4PIN.HON2018.RMT CNTL.BNR X2X.WH-491910.RIVER GRAY  </t>
      </text>
    </comment>
    <comment ref="G116" authorId="45" shapeId="0" xr:uid="{9D5E7B03-567B-4472-833A-40AD74D99E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.MDR 710-CRV.LH CURVE RH WIRE.22"BF.CC.30"ZN.60D.48"IR.RLR LOW.STD TORQ DGR HON STSS.180FPM INT.PE SICK ZLD18 PNP RETRO 4PIN.HON2018.RMT CNTL.BNR X2X.WH-491910.RIVER GRAY  </t>
      </text>
    </comment>
  </commentList>
</comments>
</file>

<file path=xl/sharedStrings.xml><?xml version="1.0" encoding="utf-8"?>
<sst xmlns="http://schemas.openxmlformats.org/spreadsheetml/2006/main" count="21468" uniqueCount="1139">
  <si>
    <t>Project_Number</t>
  </si>
  <si>
    <t>CP</t>
  </si>
  <si>
    <t>Conv Length</t>
  </si>
  <si>
    <t>Elec Device Count</t>
  </si>
  <si>
    <t>Mech Install</t>
  </si>
  <si>
    <t>Elect Install</t>
  </si>
  <si>
    <t>Path to Run-In</t>
  </si>
  <si>
    <t>Mech Finishing</t>
  </si>
  <si>
    <t>As of 6/17/26</t>
  </si>
  <si>
    <t>B-24-04663</t>
  </si>
  <si>
    <t>Total</t>
  </si>
  <si>
    <t>CP01</t>
  </si>
  <si>
    <t>CP02</t>
  </si>
  <si>
    <t>CP03</t>
  </si>
  <si>
    <t>CP09</t>
  </si>
  <si>
    <t>CP11</t>
  </si>
  <si>
    <t>CP40</t>
  </si>
  <si>
    <t>CP41</t>
  </si>
  <si>
    <t>CP42</t>
  </si>
  <si>
    <t>CP50</t>
  </si>
  <si>
    <t>CP51</t>
  </si>
  <si>
    <t>CP52</t>
  </si>
  <si>
    <t>CP80</t>
  </si>
  <si>
    <t>CP81</t>
  </si>
  <si>
    <t>CP91</t>
  </si>
  <si>
    <t>Asset</t>
  </si>
  <si>
    <t>Length</t>
  </si>
  <si>
    <t>Task Name</t>
  </si>
  <si>
    <t>Start</t>
  </si>
  <si>
    <t>Finish</t>
  </si>
  <si>
    <t>Status</t>
  </si>
  <si>
    <t>% Complete</t>
  </si>
  <si>
    <t>40255</t>
  </si>
  <si>
    <t>Staging &amp; Prep</t>
  </si>
  <si>
    <t>Complete</t>
  </si>
  <si>
    <t>40355</t>
  </si>
  <si>
    <t>40230</t>
  </si>
  <si>
    <t>40330</t>
  </si>
  <si>
    <t>40405</t>
  </si>
  <si>
    <t>40605</t>
  </si>
  <si>
    <t>Not Started</t>
  </si>
  <si>
    <t>40005</t>
  </si>
  <si>
    <t>40010</t>
  </si>
  <si>
    <t>40015</t>
  </si>
  <si>
    <t>40020</t>
  </si>
  <si>
    <t>40025</t>
  </si>
  <si>
    <t>40030</t>
  </si>
  <si>
    <t>40105</t>
  </si>
  <si>
    <t>40110</t>
  </si>
  <si>
    <t>40115</t>
  </si>
  <si>
    <t>40120</t>
  </si>
  <si>
    <t>40125</t>
  </si>
  <si>
    <t>40130</t>
  </si>
  <si>
    <t>40205</t>
  </si>
  <si>
    <t>40210</t>
  </si>
  <si>
    <t>40215</t>
  </si>
  <si>
    <t>40220</t>
  </si>
  <si>
    <t>40225</t>
  </si>
  <si>
    <t>40235</t>
  </si>
  <si>
    <t>40245</t>
  </si>
  <si>
    <t>40248</t>
  </si>
  <si>
    <t>40250</t>
  </si>
  <si>
    <t>40305</t>
  </si>
  <si>
    <t>40310</t>
  </si>
  <si>
    <t>40312</t>
  </si>
  <si>
    <t>40314</t>
  </si>
  <si>
    <t>40316</t>
  </si>
  <si>
    <t>40318</t>
  </si>
  <si>
    <t>40320</t>
  </si>
  <si>
    <t>40325</t>
  </si>
  <si>
    <t>`</t>
  </si>
  <si>
    <t>40335</t>
  </si>
  <si>
    <t>40345</t>
  </si>
  <si>
    <t>40348</t>
  </si>
  <si>
    <t>40350</t>
  </si>
  <si>
    <t>40410</t>
  </si>
  <si>
    <t>40415</t>
  </si>
  <si>
    <t>40420</t>
  </si>
  <si>
    <t>40425</t>
  </si>
  <si>
    <t>40430</t>
  </si>
  <si>
    <t>40610</t>
  </si>
  <si>
    <t>40615</t>
  </si>
  <si>
    <t>40620</t>
  </si>
  <si>
    <t>40625</t>
  </si>
  <si>
    <t>40630</t>
  </si>
  <si>
    <t>40703</t>
  </si>
  <si>
    <t>40704</t>
  </si>
  <si>
    <t>40705</t>
  </si>
  <si>
    <t>40706</t>
  </si>
  <si>
    <t>40707</t>
  </si>
  <si>
    <t>40708</t>
  </si>
  <si>
    <t>40709</t>
  </si>
  <si>
    <t>40710</t>
  </si>
  <si>
    <t>40711</t>
  </si>
  <si>
    <t>40712</t>
  </si>
  <si>
    <t>40713</t>
  </si>
  <si>
    <t>40714</t>
  </si>
  <si>
    <t>40715</t>
  </si>
  <si>
    <t>40716</t>
  </si>
  <si>
    <t>40717</t>
  </si>
  <si>
    <t>40718</t>
  </si>
  <si>
    <t>40719</t>
  </si>
  <si>
    <t>40720</t>
  </si>
  <si>
    <t>40721</t>
  </si>
  <si>
    <t>40722</t>
  </si>
  <si>
    <t>40723</t>
  </si>
  <si>
    <t>40724</t>
  </si>
  <si>
    <t>40725</t>
  </si>
  <si>
    <t>40726</t>
  </si>
  <si>
    <t>40727</t>
  </si>
  <si>
    <t>40728</t>
  </si>
  <si>
    <t>40729</t>
  </si>
  <si>
    <t>40730</t>
  </si>
  <si>
    <t>40731</t>
  </si>
  <si>
    <t>40732</t>
  </si>
  <si>
    <t>40733</t>
  </si>
  <si>
    <t>40734</t>
  </si>
  <si>
    <t>40735</t>
  </si>
  <si>
    <t>40736</t>
  </si>
  <si>
    <t>40737</t>
  </si>
  <si>
    <t>40738</t>
  </si>
  <si>
    <t>40739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</si>
  <si>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</si>
  <si>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</si>
  <si>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</si>
  <si>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</si>
  <si>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</si>
  <si>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</si>
  <si>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</si>
  <si>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</si>
  <si>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</si>
  <si>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40749</t>
  </si>
  <si>
    <t>40750</t>
  </si>
  <si>
    <t>40751</t>
  </si>
  <si>
    <t>40752</t>
  </si>
  <si>
    <t>40753</t>
  </si>
  <si>
    <t>40754</t>
  </si>
  <si>
    <t>40755</t>
  </si>
  <si>
    <t>40756</t>
  </si>
  <si>
    <t>40757</t>
  </si>
  <si>
    <t>40758</t>
  </si>
  <si>
    <t>40759</t>
  </si>
  <si>
    <t>40760</t>
  </si>
  <si>
    <t>40761</t>
  </si>
  <si>
    <t>40762</t>
  </si>
  <si>
    <t>40763</t>
  </si>
  <si>
    <t>40764</t>
  </si>
  <si>
    <t>40765</t>
  </si>
  <si>
    <t>40766</t>
  </si>
  <si>
    <t>40767</t>
  </si>
  <si>
    <t>40769</t>
  </si>
  <si>
    <t>40770</t>
  </si>
  <si>
    <t>40771</t>
  </si>
  <si>
    <t>40772</t>
  </si>
  <si>
    <t>40905</t>
  </si>
  <si>
    <t>40910</t>
  </si>
  <si>
    <t>40915</t>
  </si>
  <si>
    <t>40920</t>
  </si>
  <si>
    <t>40925</t>
  </si>
  <si>
    <t>40930</t>
  </si>
  <si>
    <t>Anchored &amp; Leveled</t>
  </si>
  <si>
    <t>Belting</t>
  </si>
  <si>
    <t>Bottom Pans</t>
  </si>
  <si>
    <t>Side Guide</t>
  </si>
  <si>
    <t>Netting</t>
  </si>
  <si>
    <t>Blocked</t>
  </si>
  <si>
    <t>Run-in</t>
  </si>
  <si>
    <t>Count of Status</t>
  </si>
  <si>
    <t>Column Labels</t>
  </si>
  <si>
    <t>Row Labels</t>
  </si>
  <si>
    <t>Grand Total</t>
  </si>
  <si>
    <t>Overall Totals (As of 6/30/26) - CP52 Not Included</t>
  </si>
  <si>
    <t>Task</t>
  </si>
  <si>
    <t>Weight</t>
  </si>
  <si>
    <t>Weighted Totals</t>
  </si>
  <si>
    <t>Complete %</t>
  </si>
  <si>
    <t>Prep</t>
  </si>
  <si>
    <t>Erected</t>
  </si>
  <si>
    <t xml:space="preserve">Anchored </t>
  </si>
  <si>
    <t>Total Completion</t>
  </si>
  <si>
    <t>Prep -10%</t>
  </si>
  <si>
    <t>Erected 30%</t>
  </si>
  <si>
    <t>Anchored 10%</t>
  </si>
  <si>
    <t>Belting - 20%</t>
  </si>
  <si>
    <t>Bottom Pans - 5%</t>
  </si>
  <si>
    <t>Side Guide - 20%</t>
  </si>
  <si>
    <t>Netting - 5%</t>
  </si>
  <si>
    <t>Notes</t>
  </si>
  <si>
    <t>Not installed by missing straddle supports</t>
  </si>
  <si>
    <t xml:space="preserve">Missing material Delivery (Straddle Support) </t>
  </si>
  <si>
    <t>NA</t>
  </si>
  <si>
    <t>Need to replace short supports with correct height</t>
  </si>
  <si>
    <t>3-Phase to confirm on Belt joining m/c</t>
  </si>
  <si>
    <t>     Missing drive</t>
  </si>
  <si>
    <t>Area Beyond Grid 8 ,not available for Install</t>
  </si>
  <si>
    <t>40036700-11209549</t>
  </si>
  <si>
    <t>  47039800-9636785</t>
  </si>
  <si>
    <t>47007400-11209515</t>
  </si>
  <si>
    <t>49253330-11554036</t>
  </si>
  <si>
    <t>Missing material Delivery</t>
  </si>
  <si>
    <t>PBC NO INFO ISC</t>
  </si>
  <si>
    <t>Missing material delivery (Transnorm Curve)</t>
  </si>
  <si>
    <t>47012000-11417507</t>
  </si>
  <si>
    <t>Upstream &amp; Downstream conveyor not installed</t>
  </si>
  <si>
    <t>Waiting for installation</t>
  </si>
  <si>
    <t xml:space="preserve">wrong hand </t>
  </si>
  <si>
    <t>47007400-11209531</t>
  </si>
  <si>
    <t>47006700-10347691</t>
  </si>
  <si>
    <t xml:space="preserve">In Progress </t>
  </si>
  <si>
    <t>It won't be installed with the current plans</t>
  </si>
  <si>
    <t>Expected Design Change</t>
  </si>
  <si>
    <t>Missing material Delivery (Powedercoated HD supports)</t>
  </si>
  <si>
    <t>Missing material delivery</t>
  </si>
  <si>
    <t>Missing material delivery (Powedercoated HD supports)</t>
  </si>
  <si>
    <t>3-Phase to confirm</t>
  </si>
  <si>
    <t>Missing Material Delivery</t>
  </si>
  <si>
    <t>49383930-11548787</t>
  </si>
  <si>
    <t>49253430-11211669</t>
  </si>
  <si>
    <t>Missing Material Delivery (SOPER'd MDR)</t>
  </si>
  <si>
    <t>No Info ISC</t>
  </si>
  <si>
    <t>40099300-11212065</t>
  </si>
  <si>
    <t>40036200-11212067</t>
  </si>
  <si>
    <t>In progress</t>
  </si>
  <si>
    <t>47140800-11212107</t>
  </si>
  <si>
    <t>49253530-11212053</t>
  </si>
  <si>
    <t xml:space="preserve">Missing material delivery </t>
  </si>
  <si>
    <t>49253330-11212051</t>
  </si>
  <si>
    <t>Upstrem &amp; downstrem conveyors are not installed</t>
  </si>
  <si>
    <t>Summary</t>
  </si>
  <si>
    <t>Netting Bracket - 5%</t>
  </si>
  <si>
    <t>Note</t>
  </si>
  <si>
    <t>B-24-04663-CP41</t>
  </si>
  <si>
    <t>In Progress</t>
  </si>
  <si>
    <t>Missing Material Delivery (IQ bed)</t>
  </si>
  <si>
    <t xml:space="preserve">Missing Material Delivery </t>
  </si>
  <si>
    <t>Need adjustment with scanner</t>
  </si>
  <si>
    <t xml:space="preserve">Not started </t>
  </si>
  <si>
    <t>41395</t>
  </si>
  <si>
    <t>41445</t>
  </si>
  <si>
    <t>41545</t>
  </si>
  <si>
    <t>Connected Transnoem not installed</t>
  </si>
  <si>
    <t>41645</t>
  </si>
  <si>
    <t>41745</t>
  </si>
  <si>
    <t xml:space="preserve">Connected Transnorm (PBC) not on site </t>
  </si>
  <si>
    <t>41032</t>
  </si>
  <si>
    <t>Need update from 3-phase</t>
  </si>
  <si>
    <t>41040</t>
  </si>
  <si>
    <t>Missing Material Delivery (VB)</t>
  </si>
  <si>
    <t>41045</t>
  </si>
  <si>
    <t>41065</t>
  </si>
  <si>
    <t>41085</t>
  </si>
  <si>
    <t>Missing Material Delivery (Transnorm)</t>
  </si>
  <si>
    <t>41115</t>
  </si>
  <si>
    <t>41120</t>
  </si>
  <si>
    <t>41125</t>
  </si>
  <si>
    <t>CRV (PBC) </t>
  </si>
  <si>
    <t xml:space="preserve">Missing Upstrem / Downstrem Conveyor installation </t>
  </si>
  <si>
    <t xml:space="preserve">MDR Belted Section </t>
  </si>
  <si>
    <t>NA-prefitted SG</t>
  </si>
  <si>
    <t>41330</t>
  </si>
  <si>
    <t>5’ 6” is not on site</t>
  </si>
  <si>
    <t>41335</t>
  </si>
  <si>
    <t>41340</t>
  </si>
  <si>
    <t xml:space="preserve">CRV (PBC) </t>
  </si>
  <si>
    <t>41345</t>
  </si>
  <si>
    <t>Wrong colour drive (VB)</t>
  </si>
  <si>
    <t>41375</t>
  </si>
  <si>
    <t>41380</t>
  </si>
  <si>
    <t>41385</t>
  </si>
  <si>
    <t>41390</t>
  </si>
  <si>
    <t>41425</t>
  </si>
  <si>
    <t>is not on site  </t>
  </si>
  <si>
    <t>41430</t>
  </si>
  <si>
    <t>41440</t>
  </si>
  <si>
    <t>41525</t>
  </si>
  <si>
    <t>Is not on site  </t>
  </si>
  <si>
    <t>41530</t>
  </si>
  <si>
    <t>41535</t>
  </si>
  <si>
    <t>41540</t>
  </si>
  <si>
    <t>41625</t>
  </si>
  <si>
    <t>01 .03 is not on site </t>
  </si>
  <si>
    <t>41630</t>
  </si>
  <si>
    <t>41635</t>
  </si>
  <si>
    <t>CURVES (PBC) </t>
  </si>
  <si>
    <t>41640</t>
  </si>
  <si>
    <t>41725</t>
  </si>
  <si>
    <t>.01 .03 is not on site</t>
  </si>
  <si>
    <t>41730</t>
  </si>
  <si>
    <t>41735</t>
  </si>
  <si>
    <t>41740</t>
  </si>
  <si>
    <t>41825</t>
  </si>
  <si>
    <t>Curve is not on site  </t>
  </si>
  <si>
    <t>41830</t>
  </si>
  <si>
    <t>41835</t>
  </si>
  <si>
    <t>41840</t>
  </si>
  <si>
    <t>9’ 0” is not on site</t>
  </si>
  <si>
    <t>41875</t>
  </si>
  <si>
    <t>41880</t>
  </si>
  <si>
    <t>41885</t>
  </si>
  <si>
    <t>41890</t>
  </si>
  <si>
    <t>41895</t>
  </si>
  <si>
    <t>41901</t>
  </si>
  <si>
    <t>Missing Material Delivery (MDR + Chute)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</si>
  <si>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</si>
  <si>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</si>
  <si>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</si>
  <si>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</si>
  <si>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</si>
  <si>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</si>
  <si>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</si>
  <si>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</si>
  <si>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</si>
  <si>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41911</t>
  </si>
  <si>
    <t>41912</t>
  </si>
  <si>
    <t>41913</t>
  </si>
  <si>
    <t>41914</t>
  </si>
  <si>
    <t>41915</t>
  </si>
  <si>
    <t>41916</t>
  </si>
  <si>
    <t>41917</t>
  </si>
  <si>
    <t>41918</t>
  </si>
  <si>
    <t>41919</t>
  </si>
  <si>
    <t>41920</t>
  </si>
  <si>
    <t>41921</t>
  </si>
  <si>
    <t>41922</t>
  </si>
  <si>
    <t>41923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</si>
  <si>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</si>
  <si>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</si>
  <si>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</si>
  <si>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</si>
  <si>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</si>
  <si>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</si>
  <si>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</si>
  <si>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</si>
  <si>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</si>
  <si>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</si>
  <si>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</si>
  <si>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41935</t>
  </si>
  <si>
    <t>41936</t>
  </si>
  <si>
    <t>41937</t>
  </si>
  <si>
    <t>41938</t>
  </si>
  <si>
    <t>41939</t>
  </si>
  <si>
    <t>41940</t>
  </si>
  <si>
    <t>41941</t>
  </si>
  <si>
    <t>41942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</si>
  <si>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</si>
  <si>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</si>
  <si>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</si>
  <si>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</si>
  <si>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</si>
  <si>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</si>
  <si>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</si>
  <si>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</si>
  <si>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</si>
  <si>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</si>
  <si>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</si>
  <si>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</si>
  <si>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</si>
  <si>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41956</t>
  </si>
  <si>
    <t>41050</t>
  </si>
  <si>
    <t>41320</t>
  </si>
  <si>
    <t>Is not on site</t>
  </si>
  <si>
    <t>NA- MDR</t>
  </si>
  <si>
    <t>3-phase to confirm</t>
  </si>
  <si>
    <t>41370</t>
  </si>
  <si>
    <t>41420</t>
  </si>
  <si>
    <t>41520</t>
  </si>
  <si>
    <t>41620</t>
  </si>
  <si>
    <t>41720</t>
  </si>
  <si>
    <t>41820</t>
  </si>
  <si>
    <t>41870</t>
  </si>
  <si>
    <t>B-24-04663-CP42</t>
  </si>
  <si>
    <t>42255</t>
  </si>
  <si>
    <t>end idler missing</t>
  </si>
  <si>
    <t xml:space="preserve">Will be a new design (short supports) </t>
  </si>
  <si>
    <t>Not anchored due to concrete joint and future change on the structure MPH13</t>
  </si>
  <si>
    <t>WIP</t>
  </si>
  <si>
    <t>missing material delivery</t>
  </si>
  <si>
    <t>Not started</t>
  </si>
  <si>
    <t>Waiting for new belt shipment</t>
  </si>
  <si>
    <t>Belts are not installed</t>
  </si>
  <si>
    <t>42405</t>
  </si>
  <si>
    <t>42505</t>
  </si>
  <si>
    <t>42605</t>
  </si>
  <si>
    <t>42705</t>
  </si>
  <si>
    <t>42805</t>
  </si>
  <si>
    <t>Waiting for material to be delivered (Hat channles)</t>
  </si>
  <si>
    <t>Waiting M.E</t>
  </si>
  <si>
    <t>42855</t>
  </si>
  <si>
    <t>42090</t>
  </si>
  <si>
    <t xml:space="preserve">DEEP END IDLER CONNECTION BRACKET O PLATE </t>
  </si>
  <si>
    <t>42092</t>
  </si>
  <si>
    <t>42094</t>
  </si>
  <si>
    <t>42096</t>
  </si>
  <si>
    <t>42098</t>
  </si>
  <si>
    <t>At the green-mile , should be on short supports on top of strucure</t>
  </si>
  <si>
    <t>42100</t>
  </si>
  <si>
    <t>42105</t>
  </si>
  <si>
    <t>42110</t>
  </si>
  <si>
    <t>42114</t>
  </si>
  <si>
    <t>42215</t>
  </si>
  <si>
    <t xml:space="preserve">Not complete due to cut to fit </t>
  </si>
  <si>
    <t>waiting for upstrem conveyor to install</t>
  </si>
  <si>
    <t>Not anchored due to concrete joint</t>
  </si>
  <si>
    <t>42265</t>
  </si>
  <si>
    <t>Missing 9'0 SB (Drive has to be intalled in this bed)</t>
  </si>
  <si>
    <t>Upstrem conveyor</t>
  </si>
  <si>
    <t xml:space="preserve">Missing  material </t>
  </si>
  <si>
    <t>42315</t>
  </si>
  <si>
    <t xml:space="preserve">No straddle supports on site </t>
  </si>
  <si>
    <t>No Straddle Supports on site</t>
  </si>
  <si>
    <t>42365</t>
  </si>
  <si>
    <t>42415</t>
  </si>
  <si>
    <t>42515</t>
  </si>
  <si>
    <t>42615</t>
  </si>
  <si>
    <t>42715</t>
  </si>
  <si>
    <t>42815</t>
  </si>
  <si>
    <t>42865</t>
  </si>
  <si>
    <t>42210</t>
  </si>
  <si>
    <t xml:space="preserve">drive wrong low profile </t>
  </si>
  <si>
    <t>42260</t>
  </si>
  <si>
    <t>Drive wrong</t>
  </si>
  <si>
    <t>Side Guide/Detail - 20%</t>
  </si>
  <si>
    <t> </t>
  </si>
  <si>
    <t>B-24-04663-CP50</t>
  </si>
  <si>
    <t>Waiting for Platform</t>
  </si>
  <si>
    <t>Not cooked</t>
  </si>
  <si>
    <t>No road blocks</t>
  </si>
  <si>
    <t>banda corta</t>
  </si>
  <si>
    <t>missing carga</t>
  </si>
  <si>
    <t>falta cocinar</t>
  </si>
  <si>
    <t xml:space="preserve">hss pendiente  </t>
  </si>
  <si>
    <t xml:space="preserve">ubicacion de motor </t>
  </si>
  <si>
    <t>Waiting for HHS prints</t>
  </si>
  <si>
    <t>Not needed for the line</t>
  </si>
  <si>
    <t>49379603-5575964</t>
  </si>
  <si>
    <t>pendiente hss</t>
  </si>
  <si>
    <t>MDR Workstations</t>
  </si>
  <si>
    <t>B-24-04663-CP51</t>
  </si>
  <si>
    <t>04663_51005</t>
  </si>
  <si>
    <t>41022800-11180652</t>
  </si>
  <si>
    <t>04663_51015</t>
  </si>
  <si>
    <t>04663_51020</t>
  </si>
  <si>
    <t>04663_51025</t>
  </si>
  <si>
    <t>04663_51028</t>
  </si>
  <si>
    <t>04663_51030</t>
  </si>
  <si>
    <t>47010500-9305734</t>
  </si>
  <si>
    <t>Not anchored</t>
  </si>
  <si>
    <t>04663_51035</t>
  </si>
  <si>
    <t> In Progress</t>
  </si>
  <si>
    <t>04663_51040</t>
  </si>
  <si>
    <t>04663_51045</t>
  </si>
  <si>
    <t>04663_51050</t>
  </si>
  <si>
    <t>492534430-11175596</t>
  </si>
  <si>
    <t>04663_51055</t>
  </si>
  <si>
    <t>04663_51060</t>
  </si>
  <si>
    <t>04663_51065</t>
  </si>
  <si>
    <t>04663_51105</t>
  </si>
  <si>
    <t>04663_51115</t>
  </si>
  <si>
    <t>40099300-11180602</t>
  </si>
  <si>
    <t>40036200-11175547</t>
  </si>
  <si>
    <t>04663_51120</t>
  </si>
  <si>
    <t>04663_51125</t>
  </si>
  <si>
    <t>04663_51128</t>
  </si>
  <si>
    <t>04663_51130</t>
  </si>
  <si>
    <t>04663_51135</t>
  </si>
  <si>
    <t>04663_51140</t>
  </si>
  <si>
    <t>04663_51145</t>
  </si>
  <si>
    <t>04663_51150</t>
  </si>
  <si>
    <t>49253230-11180618</t>
  </si>
  <si>
    <t>49383930-11175578</t>
  </si>
  <si>
    <t>49253430-11175584</t>
  </si>
  <si>
    <t>04663_51155</t>
  </si>
  <si>
    <t>04663_51160</t>
  </si>
  <si>
    <t>04663_51165</t>
  </si>
  <si>
    <t>04663_51205</t>
  </si>
  <si>
    <t>04663_51215</t>
  </si>
  <si>
    <t>04663_51220</t>
  </si>
  <si>
    <t>04663_51225</t>
  </si>
  <si>
    <t> Complete</t>
  </si>
  <si>
    <t> Not Started</t>
  </si>
  <si>
    <t>Not Started </t>
  </si>
  <si>
    <t>04663_51228</t>
  </si>
  <si>
    <t>04663_51230</t>
  </si>
  <si>
    <t>04663_51235</t>
  </si>
  <si>
    <t>04663_51240</t>
  </si>
  <si>
    <t>04663_51245</t>
  </si>
  <si>
    <t>04663_51250</t>
  </si>
  <si>
    <t>04663_51255</t>
  </si>
  <si>
    <t>04663_51260</t>
  </si>
  <si>
    <t>04663_51265</t>
  </si>
  <si>
    <t>04663_51305</t>
  </si>
  <si>
    <t>04663_51308</t>
  </si>
  <si>
    <t>04663_51310</t>
  </si>
  <si>
    <t>04663_51312</t>
  </si>
  <si>
    <t>04663_51315</t>
  </si>
  <si>
    <t>04663_51320</t>
  </si>
  <si>
    <t>  41169100-11025567</t>
  </si>
  <si>
    <t>04663_51325</t>
  </si>
  <si>
    <t>04663_51330</t>
  </si>
  <si>
    <t>04663_51335</t>
  </si>
  <si>
    <t>04663_51340</t>
  </si>
  <si>
    <t>04663_51345</t>
  </si>
  <si>
    <t>49175200-11417087</t>
  </si>
  <si>
    <t>04663_51350</t>
  </si>
  <si>
    <t>49383930-11175578  x 2</t>
  </si>
  <si>
    <t>04663_51355</t>
  </si>
  <si>
    <t>04663_51360</t>
  </si>
  <si>
    <t>04663_51365</t>
  </si>
  <si>
    <t>04663_51405</t>
  </si>
  <si>
    <t>04663_51408</t>
  </si>
  <si>
    <t>04663_51410</t>
  </si>
  <si>
    <t>49182200-11180682</t>
  </si>
  <si>
    <t>04663_51412</t>
  </si>
  <si>
    <t>04663_51414</t>
  </si>
  <si>
    <t>04663_51415</t>
  </si>
  <si>
    <t>04663_51420</t>
  </si>
  <si>
    <t>faltan soportes</t>
  </si>
  <si>
    <t>04663_51425</t>
  </si>
  <si>
    <t>04663_51430</t>
  </si>
  <si>
    <t>04663_51431</t>
  </si>
  <si>
    <t>04663_51432</t>
  </si>
  <si>
    <t>49175500-11548771</t>
  </si>
  <si>
    <t>04663_51435</t>
  </si>
  <si>
    <t>04663_51440</t>
  </si>
  <si>
    <t>40036200-11196914</t>
  </si>
  <si>
    <t>04663_51445</t>
  </si>
  <si>
    <t>  49182200-11180686</t>
  </si>
  <si>
    <t>  49182200-11180684</t>
  </si>
  <si>
    <t>04663_51450</t>
  </si>
  <si>
    <t xml:space="preserve">49253230-11175582 </t>
  </si>
  <si>
    <t>49253430-11175596</t>
  </si>
  <si>
    <t>04663_51455</t>
  </si>
  <si>
    <t>04663_51460</t>
  </si>
  <si>
    <t>04663_51465</t>
  </si>
  <si>
    <t>04663_51555</t>
  </si>
  <si>
    <t>Installed but not leveled or centered</t>
  </si>
  <si>
    <t>04663_51560</t>
  </si>
  <si>
    <t>04663_51565</t>
  </si>
  <si>
    <t>MISSING DRIVE</t>
  </si>
  <si>
    <t>04663_51570</t>
  </si>
  <si>
    <t>04663_51575</t>
  </si>
  <si>
    <t>04663_51580</t>
  </si>
  <si>
    <t>04663_51585</t>
  </si>
  <si>
    <t>falta una cama de 12'</t>
  </si>
  <si>
    <t>04663_51590</t>
  </si>
  <si>
    <t xml:space="preserve">motor danado </t>
  </si>
  <si>
    <t>04663_51595</t>
  </si>
  <si>
    <t>04663_51600</t>
  </si>
  <si>
    <t>04663_51605</t>
  </si>
  <si>
    <t>04663_51610</t>
  </si>
  <si>
    <t>49182200-11180680  x2</t>
  </si>
  <si>
    <t>04663_51650</t>
  </si>
  <si>
    <t>04663_51655</t>
  </si>
  <si>
    <t>49321700-11175574  x2</t>
  </si>
  <si>
    <t>04663_51660</t>
  </si>
  <si>
    <t>04663_51665</t>
  </si>
  <si>
    <t>49117101-11175588</t>
  </si>
  <si>
    <t>04663_51701</t>
  </si>
  <si>
    <t>04663_51702</t>
  </si>
  <si>
    <t>04663_51703</t>
  </si>
  <si>
    <t>04663_51704</t>
  </si>
  <si>
    <t>04663_51705</t>
  </si>
  <si>
    <t>04663_51706</t>
  </si>
  <si>
    <t>04663_51707</t>
  </si>
  <si>
    <t>04663_51708</t>
  </si>
  <si>
    <t>04663_51709</t>
  </si>
  <si>
    <t>04663_51710</t>
  </si>
  <si>
    <t>  49182200-11180682 X2</t>
  </si>
  <si>
    <t>  49182200-11180680 X2</t>
  </si>
  <si>
    <t>04663_51711</t>
  </si>
  <si>
    <t>04663_51712</t>
  </si>
  <si>
    <t>04663_51713</t>
  </si>
  <si>
    <t>04663_51714</t>
  </si>
  <si>
    <t>04663_51715</t>
  </si>
  <si>
    <t>04663_51716</t>
  </si>
  <si>
    <t>04663_51717</t>
  </si>
  <si>
    <t>04663_51718</t>
  </si>
  <si>
    <t>04663_51719</t>
  </si>
  <si>
    <t>04663_51720</t>
  </si>
  <si>
    <t>04663_51721</t>
  </si>
  <si>
    <t>04663_51722</t>
  </si>
  <si>
    <t>04663_51723</t>
  </si>
  <si>
    <t>04663_51724</t>
  </si>
  <si>
    <t>04663_51725</t>
  </si>
  <si>
    <t>04663_51726</t>
  </si>
  <si>
    <t>04663_51727</t>
  </si>
  <si>
    <t>04663_51728</t>
  </si>
  <si>
    <t>04663_51730</t>
  </si>
  <si>
    <t>04663_51731</t>
  </si>
  <si>
    <t>04663_51732</t>
  </si>
  <si>
    <t>04663_51733</t>
  </si>
  <si>
    <t>04663_51734</t>
  </si>
  <si>
    <t>04663_51735</t>
  </si>
  <si>
    <t>04663_51736</t>
  </si>
  <si>
    <t>04663_51737</t>
  </si>
  <si>
    <t>04663_51738</t>
  </si>
  <si>
    <t>04663_51739</t>
  </si>
  <si>
    <t>04663_51740</t>
  </si>
  <si>
    <t>04663_51741</t>
  </si>
  <si>
    <t>04663_51742</t>
  </si>
  <si>
    <t>04663_51743</t>
  </si>
  <si>
    <t>04663_51744</t>
  </si>
  <si>
    <t>04663_51745</t>
  </si>
  <si>
    <t>04663_51746</t>
  </si>
  <si>
    <t>04663_51747</t>
  </si>
  <si>
    <t>04663_51748</t>
  </si>
  <si>
    <t>04663_51749</t>
  </si>
  <si>
    <t>04663_51750</t>
  </si>
  <si>
    <t>04663_51751</t>
  </si>
  <si>
    <t>04663_51752</t>
  </si>
  <si>
    <t>04663_51753</t>
  </si>
  <si>
    <t>04663_51754</t>
  </si>
  <si>
    <t>04663_51755</t>
  </si>
  <si>
    <t>04663_51756</t>
  </si>
  <si>
    <t>04663_51757</t>
  </si>
  <si>
    <t>04663_51758</t>
  </si>
  <si>
    <t>04663_51759</t>
  </si>
  <si>
    <t>04663_51760</t>
  </si>
  <si>
    <t>04663_51761</t>
  </si>
  <si>
    <t>04663_51763</t>
  </si>
  <si>
    <t>04663_51764</t>
  </si>
  <si>
    <t>04663_51765</t>
  </si>
  <si>
    <t>04663_51766</t>
  </si>
  <si>
    <t>04663_51767</t>
  </si>
  <si>
    <t>04663_51768</t>
  </si>
  <si>
    <t>04663_51769</t>
  </si>
  <si>
    <t>04663_51770</t>
  </si>
  <si>
    <t>04663_51771</t>
  </si>
  <si>
    <t>04663_51772</t>
  </si>
  <si>
    <t>04663_51773</t>
  </si>
  <si>
    <t>04663_51774</t>
  </si>
  <si>
    <t>04663_51775</t>
  </si>
  <si>
    <t>04663_51776</t>
  </si>
  <si>
    <t>04663_51777</t>
  </si>
  <si>
    <t>04663_51778</t>
  </si>
  <si>
    <t>04663_51779</t>
  </si>
  <si>
    <t>04663_51780</t>
  </si>
  <si>
    <t>04663_51781</t>
  </si>
  <si>
    <t>04663_51782</t>
  </si>
  <si>
    <t>04663_51783</t>
  </si>
  <si>
    <t>04663_51784</t>
  </si>
  <si>
    <t>04663_51785</t>
  </si>
  <si>
    <t>04663_51786</t>
  </si>
  <si>
    <t>04663_51787</t>
  </si>
  <si>
    <t>04663_51788</t>
  </si>
  <si>
    <t>04663_51789</t>
  </si>
  <si>
    <t>04663_51790</t>
  </si>
  <si>
    <t>04663_51791</t>
  </si>
  <si>
    <t>04663_51792</t>
  </si>
  <si>
    <t>04663_51793</t>
  </si>
  <si>
    <t>04663_51794</t>
  </si>
  <si>
    <t>04663_51795</t>
  </si>
  <si>
    <t>04663_51796</t>
  </si>
  <si>
    <t>04663_51797</t>
  </si>
  <si>
    <t>04663_51798</t>
  </si>
  <si>
    <t>04663_51799</t>
  </si>
  <si>
    <t>04663_51800</t>
  </si>
  <si>
    <t>04663_51801</t>
  </si>
  <si>
    <t>04663_51802</t>
  </si>
  <si>
    <t>04663_51803</t>
  </si>
  <si>
    <t>04663_51804</t>
  </si>
  <si>
    <t>04663_51805</t>
  </si>
  <si>
    <t>04663_51806</t>
  </si>
  <si>
    <t>04663_51807</t>
  </si>
  <si>
    <t>04663_51808</t>
  </si>
  <si>
    <t>04663_51809</t>
  </si>
  <si>
    <t>04663_51810</t>
  </si>
  <si>
    <t>04663_51811</t>
  </si>
  <si>
    <t>04663_51812</t>
  </si>
  <si>
    <t>04663_51813</t>
  </si>
  <si>
    <t>B-24-04663-CP52</t>
  </si>
  <si>
    <t>52560</t>
  </si>
  <si>
    <t>52585</t>
  </si>
  <si>
    <t>52600</t>
  </si>
  <si>
    <t xml:space="preserve"> Not Started (Platform Conveyors) </t>
  </si>
  <si>
    <t xml:space="preserve">  Not Started (Platform Conveyors) </t>
  </si>
  <si>
    <t> Not Started (Platform Conveyors)  </t>
  </si>
  <si>
    <t>52610</t>
  </si>
  <si>
    <t>52010</t>
  </si>
  <si>
    <t xml:space="preserve"> Area Beyond Grid 8 - Not available for install </t>
  </si>
  <si>
    <t>52015</t>
  </si>
  <si>
    <t>In Progress </t>
  </si>
  <si>
    <t>In Progress  </t>
  </si>
  <si>
    <t xml:space="preserve">WIP- (Anchored Diagonally) </t>
  </si>
  <si>
    <t>52040</t>
  </si>
  <si>
    <t>52060</t>
  </si>
  <si>
    <t>52065</t>
  </si>
  <si>
    <t>52110</t>
  </si>
  <si>
    <t>52115</t>
  </si>
  <si>
    <t>52165</t>
  </si>
  <si>
    <t>52190</t>
  </si>
  <si>
    <t>52215</t>
  </si>
  <si>
    <t>52240</t>
  </si>
  <si>
    <t>52265</t>
  </si>
  <si>
    <t>52290</t>
  </si>
  <si>
    <t>52315</t>
  </si>
  <si>
    <t>52365</t>
  </si>
  <si>
    <t>52390</t>
  </si>
  <si>
    <t>52415</t>
  </si>
  <si>
    <t>52440</t>
  </si>
  <si>
    <t>52465</t>
  </si>
  <si>
    <t>52490</t>
  </si>
  <si>
    <t>52515</t>
  </si>
  <si>
    <t>52540</t>
  </si>
  <si>
    <t>52555</t>
  </si>
  <si>
    <t>52570</t>
  </si>
  <si>
    <t>falta carga</t>
  </si>
  <si>
    <t>52580</t>
  </si>
  <si>
    <t>52590</t>
  </si>
  <si>
    <t> Not Started (long straddle supports)</t>
  </si>
  <si>
    <t>52615</t>
  </si>
  <si>
    <t>52035</t>
  </si>
  <si>
    <t>52042</t>
  </si>
  <si>
    <t>52044</t>
  </si>
  <si>
    <t>52046</t>
  </si>
  <si>
    <t>52048</t>
  </si>
  <si>
    <t>52049</t>
  </si>
  <si>
    <t>52050</t>
  </si>
  <si>
    <t>52085</t>
  </si>
  <si>
    <t>52092</t>
  </si>
  <si>
    <t>52094</t>
  </si>
  <si>
    <t>52096</t>
  </si>
  <si>
    <t>52098</t>
  </si>
  <si>
    <t>52099</t>
  </si>
  <si>
    <t>52100</t>
  </si>
  <si>
    <t>52135</t>
  </si>
  <si>
    <t>52142</t>
  </si>
  <si>
    <t>52144</t>
  </si>
  <si>
    <t>52146</t>
  </si>
  <si>
    <t>52148</t>
  </si>
  <si>
    <t>52149</t>
  </si>
  <si>
    <t>52150</t>
  </si>
  <si>
    <t>52185</t>
  </si>
  <si>
    <t>52192</t>
  </si>
  <si>
    <t>52194</t>
  </si>
  <si>
    <t>52196</t>
  </si>
  <si>
    <t>52198</t>
  </si>
  <si>
    <t>52199</t>
  </si>
  <si>
    <t>52200</t>
  </si>
  <si>
    <t>52235</t>
  </si>
  <si>
    <t>52242</t>
  </si>
  <si>
    <t>52244</t>
  </si>
  <si>
    <t>52246</t>
  </si>
  <si>
    <t>52248</t>
  </si>
  <si>
    <t>52249</t>
  </si>
  <si>
    <t>52250</t>
  </si>
  <si>
    <t>52285</t>
  </si>
  <si>
    <t>52292</t>
  </si>
  <si>
    <t>52294</t>
  </si>
  <si>
    <t>52296</t>
  </si>
  <si>
    <t>52298</t>
  </si>
  <si>
    <t>52299</t>
  </si>
  <si>
    <t>52300</t>
  </si>
  <si>
    <t>52335</t>
  </si>
  <si>
    <t>52342</t>
  </si>
  <si>
    <t>52344</t>
  </si>
  <si>
    <t>52346</t>
  </si>
  <si>
    <t>52348</t>
  </si>
  <si>
    <t>52349</t>
  </si>
  <si>
    <t>52350</t>
  </si>
  <si>
    <t>52385</t>
  </si>
  <si>
    <t>52392</t>
  </si>
  <si>
    <t>52394</t>
  </si>
  <si>
    <t>52396</t>
  </si>
  <si>
    <t>52398</t>
  </si>
  <si>
    <t>52399</t>
  </si>
  <si>
    <t>52400</t>
  </si>
  <si>
    <t>52435</t>
  </si>
  <si>
    <t>52442</t>
  </si>
  <si>
    <t>52444</t>
  </si>
  <si>
    <t>52446</t>
  </si>
  <si>
    <t>52448</t>
  </si>
  <si>
    <t>52449</t>
  </si>
  <si>
    <t>52450</t>
  </si>
  <si>
    <t>52485</t>
  </si>
  <si>
    <t>52492</t>
  </si>
  <si>
    <t>52494</t>
  </si>
  <si>
    <t>52496</t>
  </si>
  <si>
    <t>52498</t>
  </si>
  <si>
    <t>52499</t>
  </si>
  <si>
    <t>52500</t>
  </si>
  <si>
    <t>52535</t>
  </si>
  <si>
    <t>52542</t>
  </si>
  <si>
    <t>52544</t>
  </si>
  <si>
    <t>52546</t>
  </si>
  <si>
    <t>52548</t>
  </si>
  <si>
    <t>52549</t>
  </si>
  <si>
    <t>52550</t>
  </si>
  <si>
    <t>52660</t>
  </si>
  <si>
    <t>52665</t>
  </si>
  <si>
    <t>52670</t>
  </si>
  <si>
    <t>52701</t>
  </si>
  <si>
    <t>MDR  Work-stations (SOPER'd)</t>
  </si>
  <si>
    <t>MDR  Work-stations (SOPER'd) </t>
  </si>
  <si>
    <t> MDR  Work-stations (SOPER'd) </t>
  </si>
  <si>
    <t>NA- MDR  Work-stations (SOPER'd)  </t>
  </si>
  <si>
    <t> NA- MDR  Work-stations (SOPER'd) </t>
  </si>
  <si>
    <t>52702</t>
  </si>
  <si>
    <t>52703</t>
  </si>
  <si>
    <t>52704</t>
  </si>
  <si>
    <t>52705</t>
  </si>
  <si>
    <t>52706</t>
  </si>
  <si>
    <t>52707</t>
  </si>
  <si>
    <t>52708</t>
  </si>
  <si>
    <t>52709</t>
  </si>
  <si>
    <t>52710</t>
  </si>
  <si>
    <t>52711</t>
  </si>
  <si>
    <t>52712</t>
  </si>
  <si>
    <t>52713</t>
  </si>
  <si>
    <t>52714</t>
  </si>
  <si>
    <t>52715</t>
  </si>
  <si>
    <t>52716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</si>
  <si>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</si>
  <si>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</si>
  <si>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</si>
  <si>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</si>
  <si>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</si>
  <si>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</si>
  <si>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</si>
  <si>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</si>
  <si>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</si>
  <si>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</si>
  <si>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</si>
  <si>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</si>
  <si>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</si>
  <si>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</si>
  <si>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</si>
  <si>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</si>
  <si>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</si>
  <si>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52734</t>
  </si>
  <si>
    <t>52735</t>
  </si>
  <si>
    <t>52736</t>
  </si>
  <si>
    <t>52737</t>
  </si>
  <si>
    <t>52738</t>
  </si>
  <si>
    <t>52739</t>
  </si>
  <si>
    <t>52740</t>
  </si>
  <si>
    <t>52741</t>
  </si>
  <si>
    <t>52742</t>
  </si>
  <si>
    <t>52743</t>
  </si>
  <si>
    <t>52744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</si>
  <si>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</si>
  <si>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</si>
  <si>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</si>
  <si>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</si>
  <si>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</si>
  <si>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</si>
  <si>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</si>
  <si>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</si>
  <si>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</si>
  <si>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</si>
  <si>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</si>
  <si>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</si>
  <si>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</si>
  <si>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</si>
  <si>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</si>
  <si>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</si>
  <si>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</si>
  <si>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52762</t>
  </si>
  <si>
    <t>52763</t>
  </si>
  <si>
    <t>52764</t>
  </si>
  <si>
    <t>52765</t>
  </si>
  <si>
    <t>52766</t>
  </si>
  <si>
    <t>52767</t>
  </si>
  <si>
    <t>52768</t>
  </si>
  <si>
    <t>52769</t>
  </si>
  <si>
    <t>52770</t>
  </si>
  <si>
    <t>52771</t>
  </si>
  <si>
    <t>52772</t>
  </si>
  <si>
    <t>52773</t>
  </si>
  <si>
    <t>52774</t>
  </si>
  <si>
    <t>52775</t>
  </si>
  <si>
    <t>52776</t>
  </si>
  <si>
    <t>52777</t>
  </si>
  <si>
    <t>52778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</si>
  <si>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</si>
  <si>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</si>
  <si>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</si>
  <si>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</si>
  <si>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</si>
  <si>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</si>
  <si>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</si>
  <si>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</si>
  <si>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</si>
  <si>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</si>
  <si>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</si>
  <si>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</si>
  <si>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</si>
  <si>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</si>
  <si>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</si>
  <si>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</si>
  <si>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</si>
  <si>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</si>
  <si>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</si>
  <si>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</si>
  <si>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52799</t>
  </si>
  <si>
    <t>52800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</si>
  <si>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</si>
  <si>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</si>
  <si>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</si>
  <si>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</si>
  <si>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</si>
  <si>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</si>
  <si>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</si>
  <si>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</si>
  <si>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</si>
  <si>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</si>
  <si>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</si>
  <si>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</si>
  <si>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</si>
  <si>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</si>
  <si>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</si>
  <si>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52817</t>
  </si>
  <si>
    <t>52818</t>
  </si>
  <si>
    <t>52819</t>
  </si>
  <si>
    <t>52820</t>
  </si>
  <si>
    <t>52821</t>
  </si>
  <si>
    <t>52822</t>
  </si>
  <si>
    <t>52823</t>
  </si>
  <si>
    <t>52824</t>
  </si>
  <si>
    <t>52825</t>
  </si>
  <si>
    <t>52826</t>
  </si>
  <si>
    <t>52827</t>
  </si>
  <si>
    <t>52828</t>
  </si>
  <si>
    <t>52829</t>
  </si>
  <si>
    <t>52830</t>
  </si>
  <si>
    <t>52831</t>
  </si>
  <si>
    <t>52832</t>
  </si>
  <si>
    <t>52833</t>
  </si>
  <si>
    <t>52834</t>
  </si>
  <si>
    <t>52835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</si>
  <si>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</si>
  <si>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</si>
  <si>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</si>
  <si>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</si>
  <si>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</si>
  <si>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</si>
  <si>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</si>
  <si>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</si>
  <si>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</si>
  <si>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</si>
  <si>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52846</t>
  </si>
  <si>
    <t>52847</t>
  </si>
  <si>
    <t>52848</t>
  </si>
  <si>
    <t>52849</t>
  </si>
  <si>
    <t>52850</t>
  </si>
  <si>
    <t>52851</t>
  </si>
  <si>
    <t>52852</t>
  </si>
  <si>
    <t>52853</t>
  </si>
  <si>
    <t>52854</t>
  </si>
  <si>
    <t>52855</t>
  </si>
  <si>
    <t>52856</t>
  </si>
  <si>
    <t>52857</t>
  </si>
  <si>
    <t>52858</t>
  </si>
  <si>
    <t>52859</t>
  </si>
  <si>
    <t>52860</t>
  </si>
  <si>
    <t>52861</t>
  </si>
  <si>
    <t>52862</t>
  </si>
  <si>
    <t>52863</t>
  </si>
  <si>
    <t>52864</t>
  </si>
  <si>
    <t>52865</t>
  </si>
  <si>
    <t>52866</t>
  </si>
  <si>
    <t>52867</t>
  </si>
  <si>
    <t>52868</t>
  </si>
  <si>
    <t>52869</t>
  </si>
  <si>
    <t>52870</t>
  </si>
  <si>
    <t>52871</t>
  </si>
  <si>
    <t>52872</t>
  </si>
  <si>
    <t>52873</t>
  </si>
  <si>
    <t>52874</t>
  </si>
  <si>
    <t>52875</t>
  </si>
  <si>
    <t>52876</t>
  </si>
  <si>
    <t>52877</t>
  </si>
  <si>
    <t>52878</t>
  </si>
  <si>
    <t>52879</t>
  </si>
  <si>
    <t>52880</t>
  </si>
  <si>
    <t>52881</t>
  </si>
  <si>
    <t>52882</t>
  </si>
  <si>
    <t>52883</t>
  </si>
  <si>
    <t>52884</t>
  </si>
  <si>
    <t>52885</t>
  </si>
  <si>
    <t>52886</t>
  </si>
  <si>
    <t>52887</t>
  </si>
  <si>
    <t>52888</t>
  </si>
  <si>
    <t>52889</t>
  </si>
  <si>
    <t>52890</t>
  </si>
  <si>
    <t>52891</t>
  </si>
  <si>
    <t>52892</t>
  </si>
  <si>
    <t>52893</t>
  </si>
  <si>
    <t>52894</t>
  </si>
  <si>
    <t>52895</t>
  </si>
  <si>
    <t>52896</t>
  </si>
  <si>
    <t>52897</t>
  </si>
  <si>
    <t>52898</t>
  </si>
  <si>
    <t>52899</t>
  </si>
  <si>
    <t>52900</t>
  </si>
  <si>
    <t>52901</t>
  </si>
  <si>
    <t>52902</t>
  </si>
  <si>
    <t>52903</t>
  </si>
  <si>
    <t>52904</t>
  </si>
  <si>
    <t>52905</t>
  </si>
  <si>
    <t>52906</t>
  </si>
  <si>
    <t>52907</t>
  </si>
  <si>
    <t>52908</t>
  </si>
  <si>
    <t>52909</t>
  </si>
  <si>
    <t>52910</t>
  </si>
  <si>
    <t>52911</t>
  </si>
  <si>
    <t>52912</t>
  </si>
  <si>
    <t>52913</t>
  </si>
  <si>
    <t>52914</t>
  </si>
  <si>
    <t>52915</t>
  </si>
  <si>
    <t>52916</t>
  </si>
  <si>
    <t>52917</t>
  </si>
  <si>
    <t>52918</t>
  </si>
  <si>
    <t>52919</t>
  </si>
  <si>
    <t>52920</t>
  </si>
  <si>
    <t>52921</t>
  </si>
  <si>
    <t>52922</t>
  </si>
  <si>
    <t>52923</t>
  </si>
  <si>
    <t>52924</t>
  </si>
  <si>
    <t>52005</t>
  </si>
  <si>
    <t>52020</t>
  </si>
  <si>
    <t>52055</t>
  </si>
  <si>
    <t>52070</t>
  </si>
  <si>
    <t>52105</t>
  </si>
  <si>
    <t>52120</t>
  </si>
  <si>
    <t>52155</t>
  </si>
  <si>
    <t>52170</t>
  </si>
  <si>
    <t>52205</t>
  </si>
  <si>
    <t>52220</t>
  </si>
  <si>
    <t>52255</t>
  </si>
  <si>
    <t>52270</t>
  </si>
  <si>
    <t>52305</t>
  </si>
  <si>
    <t>52320</t>
  </si>
  <si>
    <t>52355</t>
  </si>
  <si>
    <t>52370</t>
  </si>
  <si>
    <t>52405</t>
  </si>
  <si>
    <t>52420</t>
  </si>
  <si>
    <t>52455</t>
  </si>
  <si>
    <t>52470</t>
  </si>
  <si>
    <t>52505</t>
  </si>
  <si>
    <t>52520</t>
  </si>
  <si>
    <t>52008</t>
  </si>
  <si>
    <t>52012</t>
  </si>
  <si>
    <t>52025</t>
  </si>
  <si>
    <t>52030</t>
  </si>
  <si>
    <t>52058</t>
  </si>
  <si>
    <t>52062</t>
  </si>
  <si>
    <t>52075</t>
  </si>
  <si>
    <t>52080</t>
  </si>
  <si>
    <t>52108</t>
  </si>
  <si>
    <t>52112</t>
  </si>
  <si>
    <t>52125</t>
  </si>
  <si>
    <t>52130</t>
  </si>
  <si>
    <t>52158</t>
  </si>
  <si>
    <t>52160</t>
  </si>
  <si>
    <t>52175</t>
  </si>
  <si>
    <t>52180</t>
  </si>
  <si>
    <t>52230</t>
  </si>
  <si>
    <t>52275</t>
  </si>
  <si>
    <t>52280</t>
  </si>
  <si>
    <t>52325</t>
  </si>
  <si>
    <t>52330</t>
  </si>
  <si>
    <t>52375</t>
  </si>
  <si>
    <t>52380</t>
  </si>
  <si>
    <t>52425</t>
  </si>
  <si>
    <t>52430</t>
  </si>
  <si>
    <t>52475</t>
  </si>
  <si>
    <t>52480</t>
  </si>
  <si>
    <t>52525</t>
  </si>
  <si>
    <t>52530</t>
  </si>
  <si>
    <t>52558</t>
  </si>
  <si>
    <t>52575</t>
  </si>
  <si>
    <t>complete</t>
  </si>
  <si>
    <t>52595</t>
  </si>
  <si>
    <t>52605</t>
  </si>
  <si>
    <t xml:space="preserve">Platform not installed </t>
  </si>
  <si>
    <t>Platform not installed  </t>
  </si>
  <si>
    <t xml:space="preserve"> Platform not installed </t>
  </si>
  <si>
    <t>52620</t>
  </si>
  <si>
    <t>52625</t>
  </si>
  <si>
    <t>52630</t>
  </si>
  <si>
    <t>52655</t>
  </si>
  <si>
    <t>52565</t>
  </si>
  <si>
    <t>x</t>
  </si>
  <si>
    <t>B-24-04663-CP09</t>
  </si>
  <si>
    <t>Project_Number_CP</t>
  </si>
  <si>
    <t>Product Name</t>
  </si>
  <si>
    <t>Asset_Number</t>
  </si>
  <si>
    <t>Anchored and leveled?</t>
  </si>
  <si>
    <t>Belting installed?</t>
  </si>
  <si>
    <t>Bottom Pans installed?</t>
  </si>
  <si>
    <t>Netting Bracket installed</t>
  </si>
  <si>
    <t>Side guide installed?</t>
  </si>
  <si>
    <t>Run-in complete?</t>
  </si>
  <si>
    <t>460</t>
  </si>
  <si>
    <t>9005</t>
  </si>
  <si>
    <t>9010</t>
  </si>
  <si>
    <t>9015</t>
  </si>
  <si>
    <t>9018</t>
  </si>
  <si>
    <t>9020</t>
  </si>
  <si>
    <t>9025</t>
  </si>
  <si>
    <t>9030</t>
  </si>
  <si>
    <t>9035</t>
  </si>
  <si>
    <t>9040</t>
  </si>
  <si>
    <t>9045</t>
  </si>
  <si>
    <t>9815</t>
  </si>
  <si>
    <t>9825</t>
  </si>
  <si>
    <t>9915</t>
  </si>
  <si>
    <t>9925</t>
  </si>
  <si>
    <t>9935</t>
  </si>
  <si>
    <t>9945</t>
  </si>
  <si>
    <t>9955</t>
  </si>
  <si>
    <t>9965</t>
  </si>
  <si>
    <t>9975</t>
  </si>
  <si>
    <t>9985</t>
  </si>
  <si>
    <t>9995</t>
  </si>
  <si>
    <t>ECC</t>
  </si>
  <si>
    <t>09005</t>
  </si>
  <si>
    <t>09010</t>
  </si>
  <si>
    <t>09015</t>
  </si>
  <si>
    <t>09018</t>
  </si>
  <si>
    <t>09020</t>
  </si>
  <si>
    <t>09025</t>
  </si>
  <si>
    <t>09030</t>
  </si>
  <si>
    <t>09035</t>
  </si>
  <si>
    <t>09040</t>
  </si>
  <si>
    <t>09045</t>
  </si>
  <si>
    <t>09815</t>
  </si>
  <si>
    <t>09825</t>
  </si>
  <si>
    <t>09915</t>
  </si>
  <si>
    <t>09925</t>
  </si>
  <si>
    <t>09935</t>
  </si>
  <si>
    <t>09945</t>
  </si>
  <si>
    <t>09955</t>
  </si>
  <si>
    <t>09965</t>
  </si>
  <si>
    <t>09975</t>
  </si>
  <si>
    <t>09985</t>
  </si>
  <si>
    <t>09995</t>
  </si>
  <si>
    <t>Applied filters:
Included (1) B-24-04663 (Project_Number) + CP09 (CP)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</si>
</sst>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6">
    <font>
      <sz val="11"/>
      <name val="Aptos Narrow"/>
    </font>
    <font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b/>
      <sz val="12"/>
      <name val="Aptos Narrow"/>
      <family val="2"/>
    </font>
    <font>
      <b/>
      <sz val="14"/>
      <color theme="0"/>
      <name val="Aptos Narrow"/>
      <family val="2"/>
    </font>
    <font>
      <b/>
      <sz val="14"/>
      <name val="Aptos Narrow"/>
      <family val="2"/>
    </font>
    <font>
      <sz val="8"/>
      <name val="Aptos Narrow"/>
      <family val="2"/>
    </font>
    <font>
      <b/>
      <sz val="11"/>
      <color theme="0"/>
      <name val="Aptos Narrow"/>
      <family val="2"/>
    </font>
    <font>
      <b/>
      <sz val="14"/>
      <color rgb="FFFFFFFF"/>
      <name val="Aptos Narrow"/>
      <family val="2"/>
    </font>
    <font>
      <sz val="14"/>
      <color rgb="FFFFFFFF"/>
      <name val="Aptos Narrow"/>
      <family val="2"/>
    </font>
    <font>
      <sz val="11"/>
      <color rgb="FF000000"/>
      <name val="Calibri"/>
      <family val="2"/>
    </font>
    <font>
      <sz val="11"/>
      <name val="Times New Roman"/>
      <family val="1"/>
      <charset val="1"/>
    </font>
    <font>
      <sz val="11"/>
      <color rgb="FF000000"/>
      <name val="Times New Roman"/>
      <charset val="1"/>
    </font>
    <font>
      <u/>
      <sz val="11"/>
      <color theme="10"/>
      <name val="Aptos Narrow"/>
    </font>
    <font>
      <sz val="11"/>
      <color rgb="FF000000"/>
      <name val="Aptos Narrow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rgb="FFFF6E6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0" fontId="14" fillId="0" borderId="0" applyNumberFormat="0" applyFill="0" applyBorder="0" applyAlignment="0" applyProtection="0"/>
  </cellStyleXfs>
  <cellXfs count="546">
    <xf numFmtId="0" fontId="0" fillId="0" borderId="0" xfId="0"/>
    <xf numFmtId="0" fontId="2" fillId="0" borderId="0" xfId="0" applyFont="1"/>
    <xf numFmtId="0" fontId="3" fillId="0" borderId="0" xfId="2"/>
    <xf numFmtId="0" fontId="2" fillId="0" borderId="1" xfId="2" applyFont="1" applyBorder="1" applyAlignment="1">
      <alignment horizontal="center"/>
    </xf>
    <xf numFmtId="1" fontId="2" fillId="0" borderId="1" xfId="2" applyNumberFormat="1" applyFont="1" applyBorder="1"/>
    <xf numFmtId="0" fontId="2" fillId="0" borderId="1" xfId="2" applyFont="1" applyBorder="1"/>
    <xf numFmtId="1" fontId="3" fillId="0" borderId="1" xfId="2" applyNumberFormat="1" applyBorder="1"/>
    <xf numFmtId="0" fontId="3" fillId="0" borderId="1" xfId="2" applyBorder="1"/>
    <xf numFmtId="0" fontId="2" fillId="0" borderId="0" xfId="2" applyFont="1"/>
    <xf numFmtId="0" fontId="3" fillId="0" borderId="1" xfId="2" applyBorder="1" applyAlignment="1">
      <alignment horizontal="right"/>
    </xf>
    <xf numFmtId="0" fontId="3" fillId="0" borderId="1" xfId="2" applyBorder="1" applyAlignment="1">
      <alignment horizontal="left"/>
    </xf>
    <xf numFmtId="0" fontId="3" fillId="0" borderId="0" xfId="2" applyAlignment="1">
      <alignment horizontal="center"/>
    </xf>
    <xf numFmtId="0" fontId="2" fillId="3" borderId="1" xfId="2" applyFont="1" applyFill="1" applyBorder="1" applyAlignment="1">
      <alignment horizontal="center"/>
    </xf>
    <xf numFmtId="0" fontId="3" fillId="3" borderId="1" xfId="2" applyFill="1" applyBorder="1" applyAlignment="1">
      <alignment horizontal="center"/>
    </xf>
    <xf numFmtId="1" fontId="2" fillId="3" borderId="1" xfId="2" applyNumberFormat="1" applyFont="1" applyFill="1" applyBorder="1"/>
    <xf numFmtId="0" fontId="2" fillId="4" borderId="1" xfId="2" applyFont="1" applyFill="1" applyBorder="1" applyAlignment="1">
      <alignment horizontal="center"/>
    </xf>
    <xf numFmtId="0" fontId="3" fillId="4" borderId="1" xfId="2" applyFill="1" applyBorder="1" applyAlignment="1">
      <alignment horizontal="center"/>
    </xf>
    <xf numFmtId="0" fontId="2" fillId="5" borderId="1" xfId="2" applyFont="1" applyFill="1" applyBorder="1" applyAlignment="1">
      <alignment horizontal="center"/>
    </xf>
    <xf numFmtId="0" fontId="3" fillId="5" borderId="1" xfId="2" applyFill="1" applyBorder="1" applyAlignment="1">
      <alignment horizontal="center"/>
    </xf>
    <xf numFmtId="0" fontId="2" fillId="6" borderId="1" xfId="2" applyFont="1" applyFill="1" applyBorder="1" applyAlignment="1">
      <alignment horizontal="center"/>
    </xf>
    <xf numFmtId="0" fontId="3" fillId="6" borderId="1" xfId="2" applyFill="1" applyBorder="1" applyAlignment="1">
      <alignment horizontal="center"/>
    </xf>
    <xf numFmtId="0" fontId="2" fillId="7" borderId="1" xfId="2" applyFont="1" applyFill="1" applyBorder="1" applyAlignment="1">
      <alignment horizontal="center"/>
    </xf>
    <xf numFmtId="0" fontId="3" fillId="7" borderId="1" xfId="2" applyFill="1" applyBorder="1" applyAlignment="1">
      <alignment horizontal="center"/>
    </xf>
    <xf numFmtId="0" fontId="2" fillId="8" borderId="1" xfId="2" applyFont="1" applyFill="1" applyBorder="1" applyAlignment="1">
      <alignment horizontal="center"/>
    </xf>
    <xf numFmtId="0" fontId="3" fillId="8" borderId="1" xfId="2" applyFill="1" applyBorder="1" applyAlignment="1">
      <alignment horizontal="center"/>
    </xf>
    <xf numFmtId="0" fontId="5" fillId="2" borderId="1" xfId="2" applyFont="1" applyFill="1" applyBorder="1"/>
    <xf numFmtId="0" fontId="5" fillId="2" borderId="1" xfId="2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0" fontId="4" fillId="5" borderId="1" xfId="2" applyFont="1" applyFill="1" applyBorder="1" applyAlignment="1">
      <alignment horizontal="center"/>
    </xf>
    <xf numFmtId="0" fontId="4" fillId="7" borderId="1" xfId="2" applyFont="1" applyFill="1" applyBorder="1" applyAlignment="1">
      <alignment horizontal="center"/>
    </xf>
    <xf numFmtId="0" fontId="4" fillId="6" borderId="1" xfId="2" applyFont="1" applyFill="1" applyBorder="1" applyAlignment="1">
      <alignment horizontal="center"/>
    </xf>
    <xf numFmtId="0" fontId="4" fillId="8" borderId="1" xfId="2" applyFont="1" applyFill="1" applyBorder="1" applyAlignment="1">
      <alignment horizontal="center"/>
    </xf>
    <xf numFmtId="0" fontId="4" fillId="16" borderId="1" xfId="2" applyFont="1" applyFill="1" applyBorder="1" applyAlignment="1">
      <alignment horizontal="center"/>
    </xf>
    <xf numFmtId="0" fontId="3" fillId="16" borderId="1" xfId="2" applyFill="1" applyBorder="1" applyAlignment="1">
      <alignment horizontal="center"/>
    </xf>
    <xf numFmtId="0" fontId="2" fillId="16" borderId="1" xfId="2" applyFont="1" applyFill="1" applyBorder="1" applyAlignment="1">
      <alignment horizontal="center"/>
    </xf>
    <xf numFmtId="9" fontId="2" fillId="3" borderId="1" xfId="1" applyFont="1" applyFill="1" applyBorder="1" applyAlignment="1">
      <alignment horizontal="center"/>
    </xf>
    <xf numFmtId="9" fontId="2" fillId="6" borderId="1" xfId="1" applyFont="1" applyFill="1" applyBorder="1" applyAlignment="1">
      <alignment horizontal="center"/>
    </xf>
    <xf numFmtId="1" fontId="2" fillId="16" borderId="1" xfId="2" applyNumberFormat="1" applyFont="1" applyFill="1" applyBorder="1"/>
    <xf numFmtId="9" fontId="2" fillId="16" borderId="1" xfId="1" applyFont="1" applyFill="1" applyBorder="1" applyAlignment="1">
      <alignment horizontal="center"/>
    </xf>
    <xf numFmtId="0" fontId="2" fillId="0" borderId="1" xfId="2" applyFont="1" applyBorder="1" applyAlignment="1">
      <alignment horizontal="right"/>
    </xf>
    <xf numFmtId="0" fontId="3" fillId="0" borderId="0" xfId="2" applyAlignment="1">
      <alignment horizontal="right"/>
    </xf>
    <xf numFmtId="9" fontId="2" fillId="4" borderId="1" xfId="2" applyNumberFormat="1" applyFont="1" applyFill="1" applyBorder="1" applyAlignment="1">
      <alignment horizontal="center"/>
    </xf>
    <xf numFmtId="9" fontId="2" fillId="7" borderId="1" xfId="1" applyFont="1" applyFill="1" applyBorder="1" applyAlignment="1">
      <alignment horizontal="center"/>
    </xf>
    <xf numFmtId="9" fontId="2" fillId="5" borderId="1" xfId="1" applyFont="1" applyFill="1" applyBorder="1" applyAlignment="1">
      <alignment horizontal="center"/>
    </xf>
    <xf numFmtId="14" fontId="3" fillId="0" borderId="0" xfId="2" applyNumberFormat="1"/>
    <xf numFmtId="14" fontId="3" fillId="16" borderId="1" xfId="2" applyNumberFormat="1" applyFill="1" applyBorder="1"/>
    <xf numFmtId="14" fontId="3" fillId="3" borderId="1" xfId="2" applyNumberFormat="1" applyFill="1" applyBorder="1"/>
    <xf numFmtId="14" fontId="3" fillId="4" borderId="1" xfId="2" applyNumberFormat="1" applyFill="1" applyBorder="1" applyAlignment="1">
      <alignment horizontal="center"/>
    </xf>
    <xf numFmtId="14" fontId="3" fillId="8" borderId="1" xfId="2" applyNumberFormat="1" applyFill="1" applyBorder="1" applyAlignment="1">
      <alignment horizontal="center"/>
    </xf>
    <xf numFmtId="14" fontId="3" fillId="6" borderId="1" xfId="2" applyNumberFormat="1" applyFill="1" applyBorder="1" applyAlignment="1">
      <alignment horizontal="center"/>
    </xf>
    <xf numFmtId="14" fontId="3" fillId="7" borderId="1" xfId="2" applyNumberFormat="1" applyFill="1" applyBorder="1" applyAlignment="1">
      <alignment horizontal="center"/>
    </xf>
    <xf numFmtId="14" fontId="3" fillId="5" borderId="1" xfId="2" applyNumberFormat="1" applyFill="1" applyBorder="1" applyAlignment="1">
      <alignment horizontal="center"/>
    </xf>
    <xf numFmtId="9" fontId="4" fillId="6" borderId="1" xfId="1" applyFont="1" applyFill="1" applyBorder="1" applyAlignment="1">
      <alignment horizontal="center"/>
    </xf>
    <xf numFmtId="9" fontId="2" fillId="8" borderId="1" xfId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3" fillId="16" borderId="1" xfId="2" applyNumberFormat="1" applyFill="1" applyBorder="1" applyAlignment="1">
      <alignment horizontal="right"/>
    </xf>
    <xf numFmtId="14" fontId="3" fillId="3" borderId="1" xfId="2" applyNumberFormat="1" applyFill="1" applyBorder="1" applyAlignment="1">
      <alignment horizontal="right"/>
    </xf>
    <xf numFmtId="14" fontId="3" fillId="4" borderId="1" xfId="2" applyNumberFormat="1" applyFill="1" applyBorder="1" applyAlignment="1">
      <alignment horizontal="right"/>
    </xf>
    <xf numFmtId="14" fontId="2" fillId="6" borderId="1" xfId="2" applyNumberFormat="1" applyFont="1" applyFill="1" applyBorder="1" applyAlignment="1">
      <alignment horizontal="center"/>
    </xf>
    <xf numFmtId="14" fontId="2" fillId="8" borderId="1" xfId="2" applyNumberFormat="1" applyFont="1" applyFill="1" applyBorder="1" applyAlignment="1">
      <alignment horizontal="center"/>
    </xf>
    <xf numFmtId="9" fontId="2" fillId="0" borderId="1" xfId="1" applyFont="1" applyBorder="1" applyAlignment="1">
      <alignment horizontal="right"/>
    </xf>
    <xf numFmtId="9" fontId="2" fillId="0" borderId="1" xfId="2" applyNumberFormat="1" applyFont="1" applyBorder="1"/>
    <xf numFmtId="0" fontId="6" fillId="0" borderId="0" xfId="2" applyFont="1"/>
    <xf numFmtId="0" fontId="1" fillId="4" borderId="1" xfId="2" applyFont="1" applyFill="1" applyBorder="1" applyAlignment="1">
      <alignment horizontal="center"/>
    </xf>
    <xf numFmtId="0" fontId="0" fillId="0" borderId="5" xfId="0" applyBorder="1"/>
    <xf numFmtId="164" fontId="0" fillId="0" borderId="0" xfId="0" applyNumberFormat="1"/>
    <xf numFmtId="3" fontId="0" fillId="0" borderId="0" xfId="0" applyNumberFormat="1"/>
    <xf numFmtId="0" fontId="0" fillId="0" borderId="6" xfId="0" applyBorder="1"/>
    <xf numFmtId="0" fontId="0" fillId="0" borderId="0" xfId="2" applyFont="1" applyAlignment="1">
      <alignment horizontal="right"/>
    </xf>
    <xf numFmtId="0" fontId="0" fillId="0" borderId="0" xfId="2" applyFont="1"/>
    <xf numFmtId="0" fontId="0" fillId="0" borderId="1" xfId="2" applyFont="1" applyBorder="1"/>
    <xf numFmtId="0" fontId="0" fillId="0" borderId="7" xfId="2" applyFont="1" applyBorder="1"/>
    <xf numFmtId="9" fontId="0" fillId="0" borderId="7" xfId="1" applyFont="1" applyBorder="1" applyAlignment="1">
      <alignment horizontal="right"/>
    </xf>
    <xf numFmtId="9" fontId="0" fillId="0" borderId="7" xfId="1" applyFont="1" applyBorder="1"/>
    <xf numFmtId="0" fontId="8" fillId="2" borderId="7" xfId="2" applyFont="1" applyFill="1" applyBorder="1"/>
    <xf numFmtId="0" fontId="8" fillId="2" borderId="7" xfId="2" applyFont="1" applyFill="1" applyBorder="1" applyAlignment="1">
      <alignment horizontal="center"/>
    </xf>
    <xf numFmtId="0" fontId="2" fillId="18" borderId="7" xfId="2" applyFont="1" applyFill="1" applyBorder="1"/>
    <xf numFmtId="9" fontId="2" fillId="18" borderId="7" xfId="1" applyFont="1" applyFill="1" applyBorder="1" applyAlignment="1">
      <alignment horizontal="right"/>
    </xf>
    <xf numFmtId="9" fontId="2" fillId="18" borderId="7" xfId="2" applyNumberFormat="1" applyFont="1" applyFill="1" applyBorder="1"/>
    <xf numFmtId="0" fontId="0" fillId="0" borderId="7" xfId="2" applyFont="1" applyBorder="1" applyAlignment="1">
      <alignment horizontal="left"/>
    </xf>
    <xf numFmtId="9" fontId="1" fillId="16" borderId="1" xfId="1" applyFont="1" applyFill="1" applyBorder="1" applyAlignment="1">
      <alignment horizontal="center"/>
    </xf>
    <xf numFmtId="9" fontId="1" fillId="3" borderId="1" xfId="1" applyFont="1" applyFill="1" applyBorder="1" applyAlignment="1">
      <alignment horizontal="left" vertical="center"/>
    </xf>
    <xf numFmtId="9" fontId="1" fillId="3" borderId="1" xfId="1" applyFont="1" applyFill="1" applyBorder="1" applyAlignment="1">
      <alignment horizontal="center"/>
    </xf>
    <xf numFmtId="9" fontId="1" fillId="4" borderId="1" xfId="1" applyFont="1" applyFill="1" applyBorder="1" applyAlignment="1">
      <alignment horizontal="left" vertical="center"/>
    </xf>
    <xf numFmtId="9" fontId="1" fillId="4" borderId="1" xfId="1" applyFont="1" applyFill="1" applyBorder="1" applyAlignment="1">
      <alignment horizontal="center"/>
    </xf>
    <xf numFmtId="0" fontId="1" fillId="5" borderId="1" xfId="2" applyFont="1" applyFill="1" applyBorder="1" applyAlignment="1">
      <alignment horizontal="center"/>
    </xf>
    <xf numFmtId="9" fontId="1" fillId="5" borderId="1" xfId="1" applyFont="1" applyFill="1" applyBorder="1" applyAlignment="1">
      <alignment vertical="center"/>
    </xf>
    <xf numFmtId="9" fontId="1" fillId="5" borderId="1" xfId="1" applyFont="1" applyFill="1" applyBorder="1" applyAlignment="1">
      <alignment horizontal="center"/>
    </xf>
    <xf numFmtId="0" fontId="3" fillId="7" borderId="1" xfId="2" applyFill="1" applyBorder="1" applyAlignment="1">
      <alignment horizontal="left" vertical="center"/>
    </xf>
    <xf numFmtId="9" fontId="1" fillId="7" borderId="1" xfId="1" applyFont="1" applyFill="1" applyBorder="1" applyAlignment="1">
      <alignment horizontal="center"/>
    </xf>
    <xf numFmtId="9" fontId="1" fillId="6" borderId="1" xfId="1" applyFont="1" applyFill="1" applyBorder="1" applyAlignment="1">
      <alignment horizontal="left" vertical="center"/>
    </xf>
    <xf numFmtId="9" fontId="1" fillId="6" borderId="1" xfId="1" applyFont="1" applyFill="1" applyBorder="1" applyAlignment="1">
      <alignment horizontal="center"/>
    </xf>
    <xf numFmtId="9" fontId="1" fillId="8" borderId="1" xfId="1" applyFont="1" applyFill="1" applyBorder="1" applyAlignment="1">
      <alignment horizontal="center"/>
    </xf>
    <xf numFmtId="9" fontId="1" fillId="5" borderId="1" xfId="1" applyFont="1" applyFill="1" applyBorder="1" applyAlignment="1">
      <alignment horizontal="left" vertical="center"/>
    </xf>
    <xf numFmtId="0" fontId="3" fillId="3" borderId="1" xfId="2" applyFill="1" applyBorder="1" applyAlignment="1">
      <alignment horizontal="left" vertical="center"/>
    </xf>
    <xf numFmtId="0" fontId="3" fillId="5" borderId="1" xfId="2" applyFill="1" applyBorder="1" applyAlignment="1">
      <alignment horizontal="left"/>
    </xf>
    <xf numFmtId="9" fontId="1" fillId="7" borderId="1" xfId="1" applyFont="1" applyFill="1" applyBorder="1" applyAlignment="1">
      <alignment horizontal="left" vertical="center"/>
    </xf>
    <xf numFmtId="9" fontId="1" fillId="16" borderId="1" xfId="1" applyFont="1" applyFill="1" applyBorder="1" applyAlignment="1">
      <alignment horizontal="left" vertical="center"/>
    </xf>
    <xf numFmtId="0" fontId="1" fillId="16" borderId="1" xfId="2" applyFont="1" applyFill="1" applyBorder="1" applyAlignment="1">
      <alignment horizontal="center"/>
    </xf>
    <xf numFmtId="0" fontId="1" fillId="7" borderId="1" xfId="2" applyFont="1" applyFill="1" applyBorder="1" applyAlignment="1">
      <alignment horizontal="center"/>
    </xf>
    <xf numFmtId="0" fontId="1" fillId="6" borderId="1" xfId="2" applyFont="1" applyFill="1" applyBorder="1" applyAlignment="1">
      <alignment horizontal="center"/>
    </xf>
    <xf numFmtId="9" fontId="2" fillId="3" borderId="1" xfId="1" applyFont="1" applyFill="1" applyBorder="1" applyAlignment="1">
      <alignment horizontal="left" vertical="center"/>
    </xf>
    <xf numFmtId="9" fontId="2" fillId="4" borderId="1" xfId="2" applyNumberFormat="1" applyFont="1" applyFill="1" applyBorder="1" applyAlignment="1">
      <alignment horizontal="left" vertical="center"/>
    </xf>
    <xf numFmtId="9" fontId="2" fillId="5" borderId="1" xfId="1" applyFont="1" applyFill="1" applyBorder="1" applyAlignment="1">
      <alignment horizontal="left" vertical="center"/>
    </xf>
    <xf numFmtId="9" fontId="2" fillId="7" borderId="1" xfId="1" applyFont="1" applyFill="1" applyBorder="1" applyAlignment="1">
      <alignment horizontal="left" vertical="center"/>
    </xf>
    <xf numFmtId="0" fontId="3" fillId="16" borderId="1" xfId="2" applyFill="1" applyBorder="1" applyAlignment="1">
      <alignment horizontal="left" vertical="center"/>
    </xf>
    <xf numFmtId="0" fontId="2" fillId="16" borderId="1" xfId="2" applyFont="1" applyFill="1" applyBorder="1" applyAlignment="1">
      <alignment horizontal="left" vertical="center"/>
    </xf>
    <xf numFmtId="0" fontId="3" fillId="0" borderId="0" xfId="2" applyAlignment="1">
      <alignment horizontal="left"/>
    </xf>
    <xf numFmtId="0" fontId="4" fillId="16" borderId="1" xfId="2" applyFont="1" applyFill="1" applyBorder="1" applyAlignment="1">
      <alignment horizontal="center" vertical="center"/>
    </xf>
    <xf numFmtId="0" fontId="2" fillId="0" borderId="0" xfId="2" applyFont="1" applyAlignment="1">
      <alignment horizontal="right"/>
    </xf>
    <xf numFmtId="1" fontId="2" fillId="0" borderId="0" xfId="2" applyNumberFormat="1" applyFont="1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9" fontId="2" fillId="0" borderId="0" xfId="1" applyFont="1" applyFill="1" applyBorder="1" applyAlignment="1">
      <alignment horizontal="center"/>
    </xf>
    <xf numFmtId="9" fontId="2" fillId="0" borderId="0" xfId="2" applyNumberFormat="1" applyFont="1" applyAlignment="1">
      <alignment horizontal="center"/>
    </xf>
    <xf numFmtId="14" fontId="2" fillId="0" borderId="0" xfId="2" applyNumberFormat="1" applyFont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7" borderId="1" xfId="2" applyFont="1" applyFill="1" applyBorder="1" applyAlignment="1">
      <alignment horizontal="left" vertical="center"/>
    </xf>
    <xf numFmtId="0" fontId="3" fillId="0" borderId="1" xfId="2" applyBorder="1" applyAlignment="1">
      <alignment vertical="center"/>
    </xf>
    <xf numFmtId="14" fontId="3" fillId="16" borderId="1" xfId="2" applyNumberFormat="1" applyFill="1" applyBorder="1" applyAlignment="1">
      <alignment vertical="center"/>
    </xf>
    <xf numFmtId="14" fontId="3" fillId="3" borderId="1" xfId="2" applyNumberFormat="1" applyFill="1" applyBorder="1" applyAlignment="1">
      <alignment vertical="center"/>
    </xf>
    <xf numFmtId="0" fontId="3" fillId="5" borderId="1" xfId="2" applyFill="1" applyBorder="1" applyAlignment="1">
      <alignment horizontal="center" vertical="center"/>
    </xf>
    <xf numFmtId="0" fontId="3" fillId="0" borderId="0" xfId="2" applyAlignment="1">
      <alignment vertical="center"/>
    </xf>
    <xf numFmtId="0" fontId="1" fillId="4" borderId="1" xfId="2" applyFont="1" applyFill="1" applyBorder="1" applyAlignment="1">
      <alignment horizontal="center" vertical="center"/>
    </xf>
    <xf numFmtId="0" fontId="1" fillId="6" borderId="1" xfId="2" applyFont="1" applyFill="1" applyBorder="1" applyAlignment="1">
      <alignment horizontal="left" vertical="center"/>
    </xf>
    <xf numFmtId="0" fontId="3" fillId="0" borderId="0" xfId="2" applyAlignment="1">
      <alignment horizontal="center" vertical="center"/>
    </xf>
    <xf numFmtId="0" fontId="1" fillId="3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0" fontId="1" fillId="5" borderId="1" xfId="2" applyFont="1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1" fillId="0" borderId="0" xfId="2" applyFont="1"/>
    <xf numFmtId="0" fontId="9" fillId="19" borderId="1" xfId="0" applyFont="1" applyFill="1" applyBorder="1"/>
    <xf numFmtId="0" fontId="9" fillId="19" borderId="2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4" fillId="26" borderId="10" xfId="0" applyFont="1" applyFill="1" applyBorder="1"/>
    <xf numFmtId="0" fontId="4" fillId="27" borderId="10" xfId="0" applyFont="1" applyFill="1" applyBorder="1"/>
    <xf numFmtId="0" fontId="4" fillId="28" borderId="10" xfId="0" applyFont="1" applyFill="1" applyBorder="1"/>
    <xf numFmtId="0" fontId="4" fillId="29" borderId="10" xfId="0" applyFont="1" applyFill="1" applyBorder="1"/>
    <xf numFmtId="0" fontId="4" fillId="30" borderId="10" xfId="0" applyFont="1" applyFill="1" applyBorder="1"/>
    <xf numFmtId="0" fontId="4" fillId="31" borderId="10" xfId="0" applyFont="1" applyFill="1" applyBorder="1"/>
    <xf numFmtId="0" fontId="4" fillId="32" borderId="10" xfId="0" applyFont="1" applyFill="1" applyBorder="1"/>
    <xf numFmtId="0" fontId="0" fillId="0" borderId="9" xfId="0" applyBorder="1"/>
    <xf numFmtId="0" fontId="0" fillId="0" borderId="10" xfId="0" applyBorder="1"/>
    <xf numFmtId="0" fontId="0" fillId="26" borderId="10" xfId="0" applyFill="1" applyBorder="1"/>
    <xf numFmtId="14" fontId="0" fillId="26" borderId="10" xfId="0" applyNumberFormat="1" applyFill="1" applyBorder="1"/>
    <xf numFmtId="0" fontId="2" fillId="26" borderId="10" xfId="0" applyFont="1" applyFill="1" applyBorder="1"/>
    <xf numFmtId="9" fontId="2" fillId="26" borderId="10" xfId="0" applyNumberFormat="1" applyFont="1" applyFill="1" applyBorder="1"/>
    <xf numFmtId="0" fontId="0" fillId="27" borderId="10" xfId="0" applyFill="1" applyBorder="1"/>
    <xf numFmtId="14" fontId="0" fillId="27" borderId="10" xfId="0" applyNumberFormat="1" applyFill="1" applyBorder="1"/>
    <xf numFmtId="0" fontId="2" fillId="27" borderId="10" xfId="0" applyFont="1" applyFill="1" applyBorder="1"/>
    <xf numFmtId="9" fontId="2" fillId="27" borderId="10" xfId="0" applyNumberFormat="1" applyFont="1" applyFill="1" applyBorder="1"/>
    <xf numFmtId="0" fontId="0" fillId="28" borderId="10" xfId="0" applyFill="1" applyBorder="1"/>
    <xf numFmtId="14" fontId="0" fillId="28" borderId="10" xfId="0" applyNumberFormat="1" applyFill="1" applyBorder="1"/>
    <xf numFmtId="9" fontId="0" fillId="28" borderId="10" xfId="0" applyNumberFormat="1" applyFill="1" applyBorder="1"/>
    <xf numFmtId="0" fontId="0" fillId="29" borderId="10" xfId="0" applyFill="1" applyBorder="1"/>
    <xf numFmtId="14" fontId="0" fillId="29" borderId="10" xfId="0" applyNumberFormat="1" applyFill="1" applyBorder="1"/>
    <xf numFmtId="9" fontId="0" fillId="29" borderId="10" xfId="0" applyNumberFormat="1" applyFill="1" applyBorder="1"/>
    <xf numFmtId="0" fontId="0" fillId="30" borderId="10" xfId="0" applyFill="1" applyBorder="1"/>
    <xf numFmtId="14" fontId="0" fillId="30" borderId="10" xfId="0" applyNumberFormat="1" applyFill="1" applyBorder="1"/>
    <xf numFmtId="9" fontId="0" fillId="30" borderId="10" xfId="0" applyNumberFormat="1" applyFill="1" applyBorder="1"/>
    <xf numFmtId="14" fontId="0" fillId="31" borderId="10" xfId="0" applyNumberFormat="1" applyFill="1" applyBorder="1"/>
    <xf numFmtId="0" fontId="2" fillId="31" borderId="10" xfId="0" applyFont="1" applyFill="1" applyBorder="1"/>
    <xf numFmtId="9" fontId="0" fillId="31" borderId="10" xfId="0" applyNumberFormat="1" applyFill="1" applyBorder="1"/>
    <xf numFmtId="0" fontId="0" fillId="32" borderId="10" xfId="0" applyFill="1" applyBorder="1"/>
    <xf numFmtId="14" fontId="0" fillId="32" borderId="10" xfId="0" applyNumberFormat="1" applyFill="1" applyBorder="1"/>
    <xf numFmtId="9" fontId="0" fillId="32" borderId="10" xfId="0" applyNumberFormat="1" applyFill="1" applyBorder="1"/>
    <xf numFmtId="0" fontId="2" fillId="28" borderId="10" xfId="0" applyFont="1" applyFill="1" applyBorder="1"/>
    <xf numFmtId="9" fontId="2" fillId="28" borderId="10" xfId="0" applyNumberFormat="1" applyFont="1" applyFill="1" applyBorder="1"/>
    <xf numFmtId="0" fontId="2" fillId="29" borderId="10" xfId="0" applyFont="1" applyFill="1" applyBorder="1"/>
    <xf numFmtId="9" fontId="2" fillId="29" borderId="10" xfId="0" applyNumberFormat="1" applyFont="1" applyFill="1" applyBorder="1"/>
    <xf numFmtId="0" fontId="2" fillId="30" borderId="10" xfId="0" applyFont="1" applyFill="1" applyBorder="1"/>
    <xf numFmtId="9" fontId="2" fillId="30" borderId="10" xfId="0" applyNumberFormat="1" applyFont="1" applyFill="1" applyBorder="1"/>
    <xf numFmtId="9" fontId="2" fillId="31" borderId="10" xfId="0" applyNumberFormat="1" applyFont="1" applyFill="1" applyBorder="1"/>
    <xf numFmtId="0" fontId="2" fillId="32" borderId="10" xfId="0" applyFont="1" applyFill="1" applyBorder="1"/>
    <xf numFmtId="9" fontId="2" fillId="32" borderId="10" xfId="0" applyNumberFormat="1" applyFont="1" applyFill="1" applyBorder="1"/>
    <xf numFmtId="0" fontId="6" fillId="0" borderId="0" xfId="0" applyFont="1"/>
    <xf numFmtId="0" fontId="2" fillId="0" borderId="1" xfId="0" applyFont="1" applyBorder="1"/>
    <xf numFmtId="0" fontId="2" fillId="0" borderId="2" xfId="0" applyFont="1" applyBorder="1"/>
    <xf numFmtId="9" fontId="0" fillId="0" borderId="10" xfId="0" applyNumberFormat="1" applyBorder="1"/>
    <xf numFmtId="9" fontId="2" fillId="0" borderId="10" xfId="0" applyNumberFormat="1" applyFont="1" applyBorder="1"/>
    <xf numFmtId="0" fontId="5" fillId="14" borderId="3" xfId="2" applyFont="1" applyFill="1" applyBorder="1"/>
    <xf numFmtId="0" fontId="5" fillId="14" borderId="4" xfId="2" applyFont="1" applyFill="1" applyBorder="1"/>
    <xf numFmtId="0" fontId="5" fillId="14" borderId="2" xfId="2" applyFont="1" applyFill="1" applyBorder="1"/>
    <xf numFmtId="0" fontId="4" fillId="16" borderId="1" xfId="2" applyFont="1" applyFill="1" applyBorder="1"/>
    <xf numFmtId="0" fontId="4" fillId="3" borderId="1" xfId="2" applyFont="1" applyFill="1" applyBorder="1"/>
    <xf numFmtId="0" fontId="4" fillId="4" borderId="1" xfId="2" applyFont="1" applyFill="1" applyBorder="1"/>
    <xf numFmtId="0" fontId="4" fillId="5" borderId="1" xfId="2" applyFont="1" applyFill="1" applyBorder="1"/>
    <xf numFmtId="0" fontId="4" fillId="7" borderId="1" xfId="2" applyFont="1" applyFill="1" applyBorder="1"/>
    <xf numFmtId="0" fontId="4" fillId="6" borderId="1" xfId="2" applyFont="1" applyFill="1" applyBorder="1"/>
    <xf numFmtId="0" fontId="4" fillId="8" borderId="1" xfId="2" applyFont="1" applyFill="1" applyBorder="1"/>
    <xf numFmtId="1" fontId="3" fillId="0" borderId="1" xfId="2" applyNumberFormat="1" applyBorder="1" applyAlignment="1">
      <alignment vertical="center"/>
    </xf>
    <xf numFmtId="0" fontId="3" fillId="3" borderId="1" xfId="2" applyFill="1" applyBorder="1" applyAlignment="1">
      <alignment vertical="center"/>
    </xf>
    <xf numFmtId="9" fontId="1" fillId="3" borderId="1" xfId="1" applyFont="1" applyFill="1" applyBorder="1" applyAlignment="1">
      <alignment vertical="center"/>
    </xf>
    <xf numFmtId="14" fontId="3" fillId="4" borderId="1" xfId="2" applyNumberFormat="1" applyFill="1" applyBorder="1" applyAlignment="1">
      <alignment vertical="center"/>
    </xf>
    <xf numFmtId="0" fontId="1" fillId="4" borderId="1" xfId="2" applyFont="1" applyFill="1" applyBorder="1" applyAlignment="1">
      <alignment vertical="center"/>
    </xf>
    <xf numFmtId="0" fontId="1" fillId="4" borderId="1" xfId="2" applyFont="1" applyFill="1" applyBorder="1" applyAlignment="1">
      <alignment vertical="center" wrapText="1"/>
    </xf>
    <xf numFmtId="9" fontId="1" fillId="4" borderId="1" xfId="1" applyFont="1" applyFill="1" applyBorder="1" applyAlignment="1">
      <alignment vertical="center"/>
    </xf>
    <xf numFmtId="14" fontId="3" fillId="5" borderId="1" xfId="2" applyNumberFormat="1" applyFill="1" applyBorder="1" applyAlignment="1">
      <alignment vertical="center"/>
    </xf>
    <xf numFmtId="0" fontId="3" fillId="5" borderId="1" xfId="2" applyFill="1" applyBorder="1" applyAlignment="1">
      <alignment vertical="center"/>
    </xf>
    <xf numFmtId="14" fontId="3" fillId="7" borderId="1" xfId="2" applyNumberFormat="1" applyFill="1" applyBorder="1" applyAlignment="1">
      <alignment vertical="center"/>
    </xf>
    <xf numFmtId="0" fontId="3" fillId="7" borderId="1" xfId="2" applyFill="1" applyBorder="1" applyAlignment="1">
      <alignment vertical="center"/>
    </xf>
    <xf numFmtId="9" fontId="1" fillId="7" borderId="1" xfId="1" applyFont="1" applyFill="1" applyBorder="1" applyAlignment="1">
      <alignment vertical="center"/>
    </xf>
    <xf numFmtId="14" fontId="3" fillId="6" borderId="1" xfId="2" applyNumberFormat="1" applyFill="1" applyBorder="1" applyAlignment="1">
      <alignment vertical="center"/>
    </xf>
    <xf numFmtId="0" fontId="3" fillId="6" borderId="1" xfId="2" applyFill="1" applyBorder="1" applyAlignment="1">
      <alignment vertical="center"/>
    </xf>
    <xf numFmtId="9" fontId="1" fillId="6" borderId="1" xfId="1" applyFont="1" applyFill="1" applyBorder="1" applyAlignment="1">
      <alignment vertical="center"/>
    </xf>
    <xf numFmtId="14" fontId="3" fillId="8" borderId="1" xfId="2" applyNumberFormat="1" applyFill="1" applyBorder="1" applyAlignment="1">
      <alignment vertical="center"/>
    </xf>
    <xf numFmtId="0" fontId="3" fillId="8" borderId="1" xfId="2" applyFill="1" applyBorder="1" applyAlignment="1">
      <alignment vertical="center"/>
    </xf>
    <xf numFmtId="9" fontId="1" fillId="8" borderId="1" xfId="1" applyFont="1" applyFill="1" applyBorder="1" applyAlignment="1">
      <alignment vertical="center"/>
    </xf>
    <xf numFmtId="0" fontId="3" fillId="16" borderId="1" xfId="2" applyFill="1" applyBorder="1"/>
    <xf numFmtId="0" fontId="3" fillId="3" borderId="1" xfId="2" applyFill="1" applyBorder="1"/>
    <xf numFmtId="9" fontId="1" fillId="3" borderId="1" xfId="1" applyFont="1" applyFill="1" applyBorder="1" applyAlignment="1"/>
    <xf numFmtId="14" fontId="3" fillId="4" borderId="1" xfId="2" applyNumberFormat="1" applyFill="1" applyBorder="1"/>
    <xf numFmtId="0" fontId="3" fillId="4" borderId="1" xfId="2" applyFill="1" applyBorder="1"/>
    <xf numFmtId="0" fontId="3" fillId="4" borderId="1" xfId="2" applyFill="1" applyBorder="1" applyAlignment="1">
      <alignment vertical="center"/>
    </xf>
    <xf numFmtId="9" fontId="1" fillId="4" borderId="1" xfId="1" applyFont="1" applyFill="1" applyBorder="1" applyAlignment="1"/>
    <xf numFmtId="14" fontId="3" fillId="5" borderId="1" xfId="2" applyNumberFormat="1" applyFill="1" applyBorder="1"/>
    <xf numFmtId="0" fontId="3" fillId="5" borderId="1" xfId="2" applyFill="1" applyBorder="1"/>
    <xf numFmtId="9" fontId="1" fillId="5" borderId="1" xfId="1" applyFont="1" applyFill="1" applyBorder="1" applyAlignment="1"/>
    <xf numFmtId="14" fontId="3" fillId="7" borderId="1" xfId="2" applyNumberFormat="1" applyFill="1" applyBorder="1"/>
    <xf numFmtId="0" fontId="1" fillId="7" borderId="1" xfId="2" applyFont="1" applyFill="1" applyBorder="1"/>
    <xf numFmtId="9" fontId="1" fillId="7" borderId="1" xfId="1" applyFont="1" applyFill="1" applyBorder="1" applyAlignment="1"/>
    <xf numFmtId="14" fontId="3" fillId="6" borderId="1" xfId="2" applyNumberFormat="1" applyFill="1" applyBorder="1"/>
    <xf numFmtId="0" fontId="3" fillId="6" borderId="1" xfId="2" applyFill="1" applyBorder="1"/>
    <xf numFmtId="9" fontId="1" fillId="6" borderId="1" xfId="1" applyFont="1" applyFill="1" applyBorder="1" applyAlignment="1"/>
    <xf numFmtId="14" fontId="3" fillId="8" borderId="1" xfId="2" applyNumberFormat="1" applyFill="1" applyBorder="1"/>
    <xf numFmtId="0" fontId="3" fillId="8" borderId="1" xfId="2" applyFill="1" applyBorder="1"/>
    <xf numFmtId="9" fontId="1" fillId="8" borderId="1" xfId="1" applyFont="1" applyFill="1" applyBorder="1" applyAlignment="1"/>
    <xf numFmtId="0" fontId="1" fillId="5" borderId="1" xfId="2" applyFont="1" applyFill="1" applyBorder="1"/>
    <xf numFmtId="0" fontId="3" fillId="7" borderId="1" xfId="2" applyFill="1" applyBorder="1"/>
    <xf numFmtId="0" fontId="1" fillId="3" borderId="1" xfId="2" applyFont="1" applyFill="1" applyBorder="1"/>
    <xf numFmtId="9" fontId="1" fillId="3" borderId="1" xfId="1" applyFont="1" applyFill="1" applyBorder="1" applyAlignment="1">
      <alignment vertical="center" wrapText="1"/>
    </xf>
    <xf numFmtId="0" fontId="1" fillId="4" borderId="1" xfId="2" applyFont="1" applyFill="1" applyBorder="1"/>
    <xf numFmtId="9" fontId="1" fillId="3" borderId="1" xfId="1" applyFont="1" applyFill="1" applyBorder="1" applyAlignment="1">
      <alignment wrapText="1"/>
    </xf>
    <xf numFmtId="0" fontId="1" fillId="7" borderId="1" xfId="2" applyFont="1" applyFill="1" applyBorder="1" applyAlignment="1">
      <alignment vertical="center"/>
    </xf>
    <xf numFmtId="1" fontId="2" fillId="0" borderId="1" xfId="2" applyNumberFormat="1" applyFont="1" applyBorder="1" applyAlignment="1">
      <alignment vertical="center"/>
    </xf>
    <xf numFmtId="14" fontId="2" fillId="16" borderId="1" xfId="2" applyNumberFormat="1" applyFont="1" applyFill="1" applyBorder="1"/>
    <xf numFmtId="0" fontId="2" fillId="16" borderId="1" xfId="2" applyFont="1" applyFill="1" applyBorder="1"/>
    <xf numFmtId="9" fontId="2" fillId="16" borderId="1" xfId="1" applyFont="1" applyFill="1" applyBorder="1" applyAlignment="1"/>
    <xf numFmtId="0" fontId="2" fillId="3" borderId="1" xfId="2" applyFont="1" applyFill="1" applyBorder="1"/>
    <xf numFmtId="9" fontId="2" fillId="3" borderId="1" xfId="1" applyFont="1" applyFill="1" applyBorder="1" applyAlignment="1">
      <alignment vertical="center"/>
    </xf>
    <xf numFmtId="9" fontId="2" fillId="3" borderId="1" xfId="1" applyFont="1" applyFill="1" applyBorder="1" applyAlignment="1"/>
    <xf numFmtId="14" fontId="2" fillId="4" borderId="1" xfId="2" applyNumberFormat="1" applyFont="1" applyFill="1" applyBorder="1"/>
    <xf numFmtId="0" fontId="2" fillId="4" borderId="1" xfId="2" applyFont="1" applyFill="1" applyBorder="1"/>
    <xf numFmtId="0" fontId="2" fillId="4" borderId="1" xfId="2" applyFont="1" applyFill="1" applyBorder="1" applyAlignment="1">
      <alignment vertical="center"/>
    </xf>
    <xf numFmtId="9" fontId="2" fillId="4" borderId="1" xfId="1" applyFont="1" applyFill="1" applyBorder="1" applyAlignment="1"/>
    <xf numFmtId="14" fontId="2" fillId="5" borderId="1" xfId="2" applyNumberFormat="1" applyFont="1" applyFill="1" applyBorder="1"/>
    <xf numFmtId="0" fontId="2" fillId="5" borderId="1" xfId="2" applyFont="1" applyFill="1" applyBorder="1"/>
    <xf numFmtId="9" fontId="2" fillId="5" borderId="1" xfId="1" applyFont="1" applyFill="1" applyBorder="1" applyAlignment="1"/>
    <xf numFmtId="14" fontId="2" fillId="7" borderId="1" xfId="2" applyNumberFormat="1" applyFont="1" applyFill="1" applyBorder="1"/>
    <xf numFmtId="0" fontId="2" fillId="7" borderId="1" xfId="2" applyFont="1" applyFill="1" applyBorder="1"/>
    <xf numFmtId="9" fontId="2" fillId="7" borderId="1" xfId="1" applyFont="1" applyFill="1" applyBorder="1" applyAlignment="1">
      <alignment vertical="center"/>
    </xf>
    <xf numFmtId="9" fontId="2" fillId="7" borderId="1" xfId="1" applyFont="1" applyFill="1" applyBorder="1" applyAlignment="1"/>
    <xf numFmtId="14" fontId="2" fillId="6" borderId="1" xfId="2" applyNumberFormat="1" applyFont="1" applyFill="1" applyBorder="1"/>
    <xf numFmtId="0" fontId="2" fillId="6" borderId="1" xfId="2" applyFont="1" applyFill="1" applyBorder="1"/>
    <xf numFmtId="9" fontId="2" fillId="6" borderId="1" xfId="1" applyFont="1" applyFill="1" applyBorder="1" applyAlignment="1"/>
    <xf numFmtId="14" fontId="2" fillId="8" borderId="1" xfId="2" applyNumberFormat="1" applyFont="1" applyFill="1" applyBorder="1"/>
    <xf numFmtId="0" fontId="2" fillId="8" borderId="1" xfId="2" applyFont="1" applyFill="1" applyBorder="1"/>
    <xf numFmtId="9" fontId="2" fillId="8" borderId="1" xfId="1" applyFont="1" applyFill="1" applyBorder="1" applyAlignment="1"/>
    <xf numFmtId="0" fontId="2" fillId="0" borderId="5" xfId="0" applyFont="1" applyBorder="1"/>
    <xf numFmtId="3" fontId="2" fillId="0" borderId="0" xfId="0" applyNumberFormat="1" applyFont="1"/>
    <xf numFmtId="164" fontId="2" fillId="0" borderId="0" xfId="0" applyNumberFormat="1" applyFont="1"/>
    <xf numFmtId="9" fontId="1" fillId="0" borderId="1" xfId="1" applyFont="1" applyBorder="1" applyAlignment="1">
      <alignment horizontal="right"/>
    </xf>
    <xf numFmtId="9" fontId="1" fillId="0" borderId="1" xfId="1" applyFont="1" applyBorder="1"/>
    <xf numFmtId="9" fontId="1" fillId="0" borderId="1" xfId="1" applyFont="1" applyBorder="1" applyAlignment="1"/>
    <xf numFmtId="0" fontId="4" fillId="8" borderId="1" xfId="2" applyFont="1" applyFill="1" applyBorder="1" applyAlignment="1">
      <alignment horizontal="center" vertical="center"/>
    </xf>
    <xf numFmtId="0" fontId="1" fillId="8" borderId="1" xfId="2" applyFont="1" applyFill="1" applyBorder="1" applyAlignment="1">
      <alignment horizontal="center"/>
    </xf>
    <xf numFmtId="0" fontId="1" fillId="8" borderId="1" xfId="2" applyFont="1" applyFill="1" applyBorder="1" applyAlignment="1">
      <alignment horizontal="center" vertical="center"/>
    </xf>
    <xf numFmtId="1" fontId="2" fillId="8" borderId="1" xfId="2" applyNumberFormat="1" applyFont="1" applyFill="1" applyBorder="1"/>
    <xf numFmtId="0" fontId="2" fillId="8" borderId="1" xfId="2" applyFont="1" applyFill="1" applyBorder="1" applyAlignment="1">
      <alignment horizontal="center" vertical="center"/>
    </xf>
    <xf numFmtId="0" fontId="1" fillId="0" borderId="1" xfId="2" applyFont="1" applyBorder="1"/>
    <xf numFmtId="2" fontId="3" fillId="0" borderId="1" xfId="2" applyNumberFormat="1" applyBorder="1"/>
    <xf numFmtId="2" fontId="2" fillId="0" borderId="1" xfId="2" applyNumberFormat="1" applyFont="1" applyBorder="1"/>
    <xf numFmtId="0" fontId="1" fillId="8" borderId="1" xfId="2" applyFont="1" applyFill="1" applyBorder="1"/>
    <xf numFmtId="9" fontId="1" fillId="8" borderId="1" xfId="1" applyFont="1" applyFill="1" applyBorder="1" applyAlignment="1">
      <alignment vertical="center" wrapText="1"/>
    </xf>
    <xf numFmtId="9" fontId="1" fillId="8" borderId="1" xfId="1" applyFont="1" applyFill="1" applyBorder="1" applyAlignment="1">
      <alignment wrapText="1"/>
    </xf>
    <xf numFmtId="9" fontId="2" fillId="8" borderId="1" xfId="1" applyFont="1" applyFill="1" applyBorder="1" applyAlignment="1">
      <alignment vertical="center"/>
    </xf>
    <xf numFmtId="9" fontId="1" fillId="8" borderId="1" xfId="1" applyFont="1" applyFill="1" applyBorder="1" applyAlignment="1">
      <alignment horizontal="left" vertical="center"/>
    </xf>
    <xf numFmtId="0" fontId="3" fillId="8" borderId="1" xfId="2" applyFill="1" applyBorder="1" applyAlignment="1">
      <alignment horizontal="left" vertical="center"/>
    </xf>
    <xf numFmtId="9" fontId="2" fillId="8" borderId="1" xfId="1" applyFont="1" applyFill="1" applyBorder="1" applyAlignment="1">
      <alignment horizontal="left" vertical="center"/>
    </xf>
    <xf numFmtId="0" fontId="1" fillId="0" borderId="9" xfId="0" applyFont="1" applyBorder="1"/>
    <xf numFmtId="0" fontId="4" fillId="26" borderId="10" xfId="0" applyFont="1" applyFill="1" applyBorder="1" applyAlignment="1">
      <alignment horizontal="center"/>
    </xf>
    <xf numFmtId="0" fontId="4" fillId="32" borderId="10" xfId="0" applyFont="1" applyFill="1" applyBorder="1" applyAlignment="1">
      <alignment horizontal="center"/>
    </xf>
    <xf numFmtId="0" fontId="1" fillId="0" borderId="7" xfId="2" applyFont="1" applyBorder="1" applyAlignment="1">
      <alignment horizontal="left"/>
    </xf>
    <xf numFmtId="0" fontId="1" fillId="0" borderId="6" xfId="3" applyBorder="1"/>
    <xf numFmtId="0" fontId="1" fillId="0" borderId="0" xfId="3"/>
    <xf numFmtId="1" fontId="1" fillId="0" borderId="0" xfId="3" applyNumberFormat="1"/>
    <xf numFmtId="0" fontId="2" fillId="0" borderId="0" xfId="3" applyFont="1"/>
    <xf numFmtId="0" fontId="1" fillId="0" borderId="1" xfId="3" applyBorder="1"/>
    <xf numFmtId="2" fontId="2" fillId="0" borderId="10" xfId="0" applyNumberFormat="1" applyFont="1" applyBorder="1"/>
    <xf numFmtId="0" fontId="5" fillId="2" borderId="1" xfId="2" applyFont="1" applyFill="1" applyBorder="1" applyAlignment="1">
      <alignment horizontal="right"/>
    </xf>
    <xf numFmtId="0" fontId="3" fillId="0" borderId="1" xfId="2" applyBorder="1" applyAlignment="1">
      <alignment horizontal="right" vertical="center"/>
    </xf>
    <xf numFmtId="0" fontId="3" fillId="13" borderId="1" xfId="2" applyFill="1" applyBorder="1" applyAlignment="1">
      <alignment horizontal="right"/>
    </xf>
    <xf numFmtId="0" fontId="9" fillId="19" borderId="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2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6" borderId="10" xfId="0" applyFont="1" applyFill="1" applyBorder="1" applyAlignment="1">
      <alignment horizontal="center" vertical="center"/>
    </xf>
    <xf numFmtId="0" fontId="0" fillId="26" borderId="10" xfId="0" applyFill="1" applyBorder="1" applyAlignment="1">
      <alignment horizontal="center" vertical="center"/>
    </xf>
    <xf numFmtId="0" fontId="4" fillId="32" borderId="10" xfId="0" applyFont="1" applyFill="1" applyBorder="1" applyAlignment="1">
      <alignment horizontal="center" vertical="center"/>
    </xf>
    <xf numFmtId="0" fontId="0" fillId="32" borderId="10" xfId="0" applyFill="1" applyBorder="1" applyAlignment="1">
      <alignment horizontal="center" vertical="center"/>
    </xf>
    <xf numFmtId="14" fontId="0" fillId="32" borderId="10" xfId="0" applyNumberFormat="1" applyFill="1" applyBorder="1" applyAlignment="1">
      <alignment horizontal="center" vertical="center"/>
    </xf>
    <xf numFmtId="9" fontId="2" fillId="32" borderId="10" xfId="0" applyNumberFormat="1" applyFont="1" applyFill="1" applyBorder="1" applyAlignment="1">
      <alignment horizontal="center" vertical="center"/>
    </xf>
    <xf numFmtId="0" fontId="4" fillId="27" borderId="10" xfId="0" applyFont="1" applyFill="1" applyBorder="1" applyAlignment="1">
      <alignment horizontal="center" vertical="center"/>
    </xf>
    <xf numFmtId="14" fontId="0" fillId="27" borderId="10" xfId="0" applyNumberFormat="1" applyFill="1" applyBorder="1" applyAlignment="1">
      <alignment horizontal="center" vertical="center"/>
    </xf>
    <xf numFmtId="0" fontId="0" fillId="27" borderId="10" xfId="0" applyFill="1" applyBorder="1" applyAlignment="1">
      <alignment horizontal="center" vertical="center"/>
    </xf>
    <xf numFmtId="9" fontId="2" fillId="27" borderId="10" xfId="0" applyNumberFormat="1" applyFont="1" applyFill="1" applyBorder="1" applyAlignment="1">
      <alignment horizontal="center" vertical="center"/>
    </xf>
    <xf numFmtId="0" fontId="4" fillId="28" borderId="10" xfId="0" applyFont="1" applyFill="1" applyBorder="1" applyAlignment="1">
      <alignment horizontal="center" vertical="center"/>
    </xf>
    <xf numFmtId="14" fontId="0" fillId="28" borderId="10" xfId="0" applyNumberFormat="1" applyFill="1" applyBorder="1" applyAlignment="1">
      <alignment horizontal="center" vertical="center"/>
    </xf>
    <xf numFmtId="0" fontId="0" fillId="28" borderId="10" xfId="0" applyFill="1" applyBorder="1" applyAlignment="1">
      <alignment horizontal="center" vertical="center"/>
    </xf>
    <xf numFmtId="9" fontId="0" fillId="28" borderId="10" xfId="0" applyNumberFormat="1" applyFill="1" applyBorder="1" applyAlignment="1">
      <alignment horizontal="center" vertical="center"/>
    </xf>
    <xf numFmtId="0" fontId="4" fillId="29" borderId="10" xfId="0" applyFont="1" applyFill="1" applyBorder="1" applyAlignment="1">
      <alignment horizontal="center" vertical="center"/>
    </xf>
    <xf numFmtId="14" fontId="0" fillId="29" borderId="10" xfId="0" applyNumberFormat="1" applyFill="1" applyBorder="1" applyAlignment="1">
      <alignment horizontal="center" vertical="center"/>
    </xf>
    <xf numFmtId="0" fontId="0" fillId="29" borderId="10" xfId="0" applyFill="1" applyBorder="1" applyAlignment="1">
      <alignment horizontal="center" vertical="center"/>
    </xf>
    <xf numFmtId="9" fontId="0" fillId="29" borderId="10" xfId="0" applyNumberFormat="1" applyFill="1" applyBorder="1" applyAlignment="1">
      <alignment horizontal="center" vertical="center"/>
    </xf>
    <xf numFmtId="0" fontId="4" fillId="30" borderId="10" xfId="0" applyFont="1" applyFill="1" applyBorder="1" applyAlignment="1">
      <alignment horizontal="center" vertical="center"/>
    </xf>
    <xf numFmtId="14" fontId="0" fillId="30" borderId="10" xfId="0" applyNumberFormat="1" applyFill="1" applyBorder="1" applyAlignment="1">
      <alignment horizontal="center" vertical="center"/>
    </xf>
    <xf numFmtId="0" fontId="0" fillId="30" borderId="10" xfId="0" applyFill="1" applyBorder="1" applyAlignment="1">
      <alignment horizontal="center" vertical="center"/>
    </xf>
    <xf numFmtId="9" fontId="0" fillId="30" borderId="10" xfId="0" applyNumberFormat="1" applyFill="1" applyBorder="1" applyAlignment="1">
      <alignment horizontal="center" vertical="center"/>
    </xf>
    <xf numFmtId="0" fontId="4" fillId="31" borderId="10" xfId="0" applyFont="1" applyFill="1" applyBorder="1" applyAlignment="1">
      <alignment horizontal="center" vertical="center"/>
    </xf>
    <xf numFmtId="14" fontId="0" fillId="31" borderId="10" xfId="0" applyNumberFormat="1" applyFill="1" applyBorder="1" applyAlignment="1">
      <alignment horizontal="center" vertical="center"/>
    </xf>
    <xf numFmtId="0" fontId="2" fillId="31" borderId="10" xfId="0" applyFont="1" applyFill="1" applyBorder="1" applyAlignment="1">
      <alignment horizontal="center" vertical="center"/>
    </xf>
    <xf numFmtId="9" fontId="0" fillId="31" borderId="10" xfId="0" applyNumberFormat="1" applyFill="1" applyBorder="1" applyAlignment="1">
      <alignment horizontal="center" vertical="center"/>
    </xf>
    <xf numFmtId="0" fontId="1" fillId="31" borderId="10" xfId="0" applyFont="1" applyFill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32" borderId="10" xfId="0" applyFont="1" applyFill="1" applyBorder="1" applyAlignment="1">
      <alignment horizontal="center" vertical="center"/>
    </xf>
    <xf numFmtId="0" fontId="1" fillId="27" borderId="10" xfId="0" applyFont="1" applyFill="1" applyBorder="1" applyAlignment="1">
      <alignment horizontal="center" vertical="center"/>
    </xf>
    <xf numFmtId="0" fontId="1" fillId="28" borderId="10" xfId="0" applyFont="1" applyFill="1" applyBorder="1" applyAlignment="1">
      <alignment horizontal="center" vertical="center"/>
    </xf>
    <xf numFmtId="0" fontId="1" fillId="29" borderId="10" xfId="0" applyFont="1" applyFill="1" applyBorder="1" applyAlignment="1">
      <alignment horizontal="center" vertical="center"/>
    </xf>
    <xf numFmtId="0" fontId="1" fillId="30" borderId="10" xfId="0" applyFont="1" applyFill="1" applyBorder="1" applyAlignment="1">
      <alignment horizontal="center" vertical="center"/>
    </xf>
    <xf numFmtId="0" fontId="1" fillId="26" borderId="10" xfId="0" applyFont="1" applyFill="1" applyBorder="1" applyAlignment="1">
      <alignment horizontal="center" vertical="center"/>
    </xf>
    <xf numFmtId="0" fontId="0" fillId="26" borderId="10" xfId="0" applyFill="1" applyBorder="1" applyAlignment="1">
      <alignment horizontal="center"/>
    </xf>
    <xf numFmtId="14" fontId="0" fillId="32" borderId="10" xfId="0" applyNumberFormat="1" applyFill="1" applyBorder="1" applyAlignment="1">
      <alignment horizontal="center"/>
    </xf>
    <xf numFmtId="0" fontId="2" fillId="32" borderId="10" xfId="0" applyFont="1" applyFill="1" applyBorder="1" applyAlignment="1">
      <alignment horizontal="center"/>
    </xf>
    <xf numFmtId="0" fontId="0" fillId="32" borderId="10" xfId="0" applyFill="1" applyBorder="1" applyAlignment="1">
      <alignment horizontal="center"/>
    </xf>
    <xf numFmtId="0" fontId="1" fillId="32" borderId="10" xfId="0" applyFont="1" applyFill="1" applyBorder="1" applyAlignment="1">
      <alignment horizontal="center"/>
    </xf>
    <xf numFmtId="9" fontId="2" fillId="32" borderId="10" xfId="0" applyNumberFormat="1" applyFont="1" applyFill="1" applyBorder="1" applyAlignment="1">
      <alignment horizontal="center"/>
    </xf>
    <xf numFmtId="14" fontId="0" fillId="27" borderId="10" xfId="0" applyNumberFormat="1" applyFill="1" applyBorder="1" applyAlignment="1">
      <alignment horizontal="center"/>
    </xf>
    <xf numFmtId="0" fontId="2" fillId="27" borderId="10" xfId="0" applyFont="1" applyFill="1" applyBorder="1" applyAlignment="1">
      <alignment horizontal="center"/>
    </xf>
    <xf numFmtId="0" fontId="0" fillId="27" borderId="10" xfId="0" applyFill="1" applyBorder="1" applyAlignment="1">
      <alignment horizontal="center"/>
    </xf>
    <xf numFmtId="9" fontId="2" fillId="27" borderId="10" xfId="0" applyNumberFormat="1" applyFont="1" applyFill="1" applyBorder="1" applyAlignment="1">
      <alignment horizontal="center"/>
    </xf>
    <xf numFmtId="9" fontId="2" fillId="35" borderId="10" xfId="0" applyNumberFormat="1" applyFont="1" applyFill="1" applyBorder="1" applyAlignment="1">
      <alignment horizontal="center"/>
    </xf>
    <xf numFmtId="14" fontId="0" fillId="28" borderId="10" xfId="0" applyNumberFormat="1" applyFill="1" applyBorder="1" applyAlignment="1">
      <alignment horizontal="center"/>
    </xf>
    <xf numFmtId="0" fontId="2" fillId="28" borderId="10" xfId="0" applyFont="1" applyFill="1" applyBorder="1" applyAlignment="1">
      <alignment horizontal="center"/>
    </xf>
    <xf numFmtId="0" fontId="0" fillId="28" borderId="10" xfId="0" applyFill="1" applyBorder="1" applyAlignment="1">
      <alignment horizontal="center"/>
    </xf>
    <xf numFmtId="9" fontId="0" fillId="28" borderId="10" xfId="0" applyNumberFormat="1" applyFill="1" applyBorder="1" applyAlignment="1">
      <alignment horizontal="center"/>
    </xf>
    <xf numFmtId="9" fontId="2" fillId="28" borderId="10" xfId="0" applyNumberFormat="1" applyFont="1" applyFill="1" applyBorder="1" applyAlignment="1">
      <alignment horizontal="center"/>
    </xf>
    <xf numFmtId="14" fontId="0" fillId="29" borderId="10" xfId="0" applyNumberFormat="1" applyFill="1" applyBorder="1" applyAlignment="1">
      <alignment horizontal="center"/>
    </xf>
    <xf numFmtId="0" fontId="2" fillId="29" borderId="10" xfId="0" applyFont="1" applyFill="1" applyBorder="1" applyAlignment="1">
      <alignment horizontal="center"/>
    </xf>
    <xf numFmtId="0" fontId="0" fillId="29" borderId="10" xfId="0" applyFill="1" applyBorder="1" applyAlignment="1">
      <alignment horizontal="center"/>
    </xf>
    <xf numFmtId="9" fontId="0" fillId="29" borderId="10" xfId="0" applyNumberFormat="1" applyFill="1" applyBorder="1" applyAlignment="1">
      <alignment horizontal="center"/>
    </xf>
    <xf numFmtId="9" fontId="2" fillId="29" borderId="10" xfId="0" applyNumberFormat="1" applyFont="1" applyFill="1" applyBorder="1" applyAlignment="1">
      <alignment horizontal="center"/>
    </xf>
    <xf numFmtId="14" fontId="0" fillId="30" borderId="10" xfId="0" applyNumberFormat="1" applyFill="1" applyBorder="1" applyAlignment="1">
      <alignment horizontal="center"/>
    </xf>
    <xf numFmtId="0" fontId="2" fillId="30" borderId="10" xfId="0" applyFont="1" applyFill="1" applyBorder="1" applyAlignment="1">
      <alignment horizontal="center"/>
    </xf>
    <xf numFmtId="0" fontId="2" fillId="30" borderId="10" xfId="0" applyFont="1" applyFill="1" applyBorder="1" applyAlignment="1">
      <alignment horizontal="center" vertical="center"/>
    </xf>
    <xf numFmtId="0" fontId="0" fillId="30" borderId="10" xfId="0" applyFill="1" applyBorder="1" applyAlignment="1">
      <alignment horizontal="center"/>
    </xf>
    <xf numFmtId="9" fontId="0" fillId="30" borderId="10" xfId="0" applyNumberFormat="1" applyFill="1" applyBorder="1" applyAlignment="1">
      <alignment horizontal="center"/>
    </xf>
    <xf numFmtId="9" fontId="2" fillId="30" borderId="10" xfId="0" applyNumberFormat="1" applyFont="1" applyFill="1" applyBorder="1" applyAlignment="1">
      <alignment horizontal="center"/>
    </xf>
    <xf numFmtId="14" fontId="0" fillId="31" borderId="10" xfId="0" applyNumberFormat="1" applyFill="1" applyBorder="1" applyAlignment="1">
      <alignment horizontal="center"/>
    </xf>
    <xf numFmtId="0" fontId="2" fillId="31" borderId="10" xfId="0" applyFont="1" applyFill="1" applyBorder="1" applyAlignment="1">
      <alignment horizontal="center"/>
    </xf>
    <xf numFmtId="9" fontId="0" fillId="31" borderId="10" xfId="0" applyNumberFormat="1" applyFill="1" applyBorder="1" applyAlignment="1">
      <alignment horizontal="center"/>
    </xf>
    <xf numFmtId="9" fontId="2" fillId="31" borderId="10" xfId="0" applyNumberFormat="1" applyFont="1" applyFill="1" applyBorder="1" applyAlignment="1">
      <alignment horizontal="center"/>
    </xf>
    <xf numFmtId="9" fontId="2" fillId="26" borderId="10" xfId="0" applyNumberFormat="1" applyFont="1" applyFill="1" applyBorder="1" applyAlignment="1">
      <alignment horizontal="center"/>
    </xf>
    <xf numFmtId="0" fontId="1" fillId="31" borderId="10" xfId="0" applyFont="1" applyFill="1" applyBorder="1" applyAlignment="1">
      <alignment horizontal="center"/>
    </xf>
    <xf numFmtId="0" fontId="1" fillId="27" borderId="10" xfId="0" applyFont="1" applyFill="1" applyBorder="1" applyAlignment="1">
      <alignment horizontal="center"/>
    </xf>
    <xf numFmtId="0" fontId="1" fillId="26" borderId="10" xfId="0" applyFont="1" applyFill="1" applyBorder="1" applyAlignment="1">
      <alignment horizontal="center"/>
    </xf>
    <xf numFmtId="0" fontId="1" fillId="28" borderId="10" xfId="0" applyFont="1" applyFill="1" applyBorder="1" applyAlignment="1">
      <alignment horizontal="center"/>
    </xf>
    <xf numFmtId="0" fontId="1" fillId="29" borderId="10" xfId="0" applyFont="1" applyFill="1" applyBorder="1" applyAlignment="1">
      <alignment horizontal="center"/>
    </xf>
    <xf numFmtId="0" fontId="1" fillId="30" borderId="10" xfId="0" applyFont="1" applyFill="1" applyBorder="1" applyAlignment="1">
      <alignment horizontal="center"/>
    </xf>
    <xf numFmtId="0" fontId="2" fillId="26" borderId="10" xfId="0" applyFont="1" applyFill="1" applyBorder="1" applyAlignment="1">
      <alignment horizontal="center" vertical="center"/>
    </xf>
    <xf numFmtId="14" fontId="0" fillId="26" borderId="10" xfId="0" applyNumberFormat="1" applyFill="1" applyBorder="1" applyAlignment="1">
      <alignment horizontal="center" vertical="center"/>
    </xf>
    <xf numFmtId="9" fontId="2" fillId="26" borderId="10" xfId="0" applyNumberFormat="1" applyFont="1" applyFill="1" applyBorder="1" applyAlignment="1">
      <alignment horizontal="center" vertical="center"/>
    </xf>
    <xf numFmtId="0" fontId="1" fillId="16" borderId="1" xfId="1" applyNumberFormat="1" applyFont="1" applyFill="1" applyBorder="1" applyAlignment="1">
      <alignment horizontal="center"/>
    </xf>
    <xf numFmtId="0" fontId="1" fillId="13" borderId="1" xfId="1" applyNumberFormat="1" applyFont="1" applyFill="1" applyBorder="1" applyAlignment="1">
      <alignment horizontal="center"/>
    </xf>
    <xf numFmtId="0" fontId="1" fillId="0" borderId="1" xfId="1" applyNumberFormat="1" applyFont="1" applyFill="1" applyBorder="1" applyAlignment="1">
      <alignment horizontal="center"/>
    </xf>
    <xf numFmtId="9" fontId="0" fillId="8" borderId="1" xfId="1" applyFont="1" applyFill="1" applyBorder="1" applyAlignment="1">
      <alignment horizontal="center"/>
    </xf>
    <xf numFmtId="0" fontId="0" fillId="8" borderId="1" xfId="1" applyNumberFormat="1" applyFont="1" applyFill="1" applyBorder="1" applyAlignment="1">
      <alignment horizontal="center"/>
    </xf>
    <xf numFmtId="9" fontId="0" fillId="13" borderId="1" xfId="1" applyFont="1" applyFill="1" applyBorder="1" applyAlignment="1">
      <alignment horizontal="center"/>
    </xf>
    <xf numFmtId="9" fontId="0" fillId="16" borderId="1" xfId="1" applyFont="1" applyFill="1" applyBorder="1" applyAlignment="1">
      <alignment horizontal="center"/>
    </xf>
    <xf numFmtId="0" fontId="0" fillId="16" borderId="1" xfId="2" applyFont="1" applyFill="1" applyBorder="1" applyAlignment="1">
      <alignment horizontal="center"/>
    </xf>
    <xf numFmtId="0" fontId="0" fillId="13" borderId="1" xfId="2" applyFont="1" applyFill="1" applyBorder="1" applyAlignment="1">
      <alignment horizontal="center"/>
    </xf>
    <xf numFmtId="0" fontId="3" fillId="13" borderId="1" xfId="2" applyFill="1" applyBorder="1" applyAlignment="1">
      <alignment horizontal="center"/>
    </xf>
    <xf numFmtId="9" fontId="1" fillId="3" borderId="1" xfId="1" applyFont="1" applyFill="1" applyBorder="1" applyAlignment="1">
      <alignment horizontal="left"/>
    </xf>
    <xf numFmtId="0" fontId="3" fillId="37" borderId="1" xfId="2" applyFill="1" applyBorder="1"/>
    <xf numFmtId="0" fontId="3" fillId="37" borderId="1" xfId="2" applyFill="1" applyBorder="1" applyAlignment="1">
      <alignment horizontal="right"/>
    </xf>
    <xf numFmtId="1" fontId="3" fillId="37" borderId="1" xfId="2" applyNumberFormat="1" applyFill="1" applyBorder="1"/>
    <xf numFmtId="14" fontId="3" fillId="37" borderId="1" xfId="2" applyNumberFormat="1" applyFill="1" applyBorder="1"/>
    <xf numFmtId="0" fontId="3" fillId="37" borderId="1" xfId="2" applyFill="1" applyBorder="1" applyAlignment="1">
      <alignment horizontal="center"/>
    </xf>
    <xf numFmtId="0" fontId="1" fillId="37" borderId="1" xfId="1" applyNumberFormat="1" applyFont="1" applyFill="1" applyBorder="1" applyAlignment="1">
      <alignment horizontal="center"/>
    </xf>
    <xf numFmtId="9" fontId="0" fillId="37" borderId="1" xfId="1" applyFont="1" applyFill="1" applyBorder="1" applyAlignment="1">
      <alignment horizontal="center"/>
    </xf>
    <xf numFmtId="0" fontId="1" fillId="37" borderId="1" xfId="2" applyFont="1" applyFill="1" applyBorder="1" applyAlignment="1">
      <alignment horizontal="center" vertical="center"/>
    </xf>
    <xf numFmtId="9" fontId="1" fillId="37" borderId="1" xfId="1" applyFont="1" applyFill="1" applyBorder="1" applyAlignment="1">
      <alignment horizontal="center"/>
    </xf>
    <xf numFmtId="14" fontId="3" fillId="37" borderId="1" xfId="2" applyNumberFormat="1" applyFill="1" applyBorder="1" applyAlignment="1">
      <alignment horizontal="center"/>
    </xf>
    <xf numFmtId="0" fontId="3" fillId="37" borderId="1" xfId="2" applyFill="1" applyBorder="1" applyAlignment="1">
      <alignment horizontal="center" vertical="center"/>
    </xf>
    <xf numFmtId="0" fontId="1" fillId="37" borderId="1" xfId="2" applyFont="1" applyFill="1" applyBorder="1" applyAlignment="1">
      <alignment horizontal="center"/>
    </xf>
    <xf numFmtId="0" fontId="2" fillId="37" borderId="1" xfId="2" applyFont="1" applyFill="1" applyBorder="1" applyAlignment="1">
      <alignment horizontal="center"/>
    </xf>
    <xf numFmtId="0" fontId="3" fillId="37" borderId="0" xfId="2" applyFill="1"/>
    <xf numFmtId="0" fontId="1" fillId="37" borderId="1" xfId="2" applyFont="1" applyFill="1" applyBorder="1" applyAlignment="1">
      <alignment horizontal="left" vertical="center"/>
    </xf>
    <xf numFmtId="0" fontId="3" fillId="13" borderId="1" xfId="2" applyFill="1" applyBorder="1"/>
    <xf numFmtId="1" fontId="3" fillId="13" borderId="1" xfId="2" applyNumberFormat="1" applyFill="1" applyBorder="1"/>
    <xf numFmtId="14" fontId="3" fillId="13" borderId="1" xfId="2" applyNumberFormat="1" applyFill="1" applyBorder="1"/>
    <xf numFmtId="0" fontId="1" fillId="13" borderId="1" xfId="2" applyFont="1" applyFill="1" applyBorder="1" applyAlignment="1">
      <alignment horizontal="center" vertical="center"/>
    </xf>
    <xf numFmtId="9" fontId="1" fillId="13" borderId="1" xfId="1" applyFont="1" applyFill="1" applyBorder="1" applyAlignment="1">
      <alignment horizontal="center"/>
    </xf>
    <xf numFmtId="14" fontId="3" fillId="13" borderId="1" xfId="2" applyNumberFormat="1" applyFill="1" applyBorder="1" applyAlignment="1">
      <alignment horizontal="center"/>
    </xf>
    <xf numFmtId="0" fontId="1" fillId="13" borderId="1" xfId="2" applyFont="1" applyFill="1" applyBorder="1" applyAlignment="1">
      <alignment horizontal="center"/>
    </xf>
    <xf numFmtId="0" fontId="2" fillId="13" borderId="1" xfId="2" applyFont="1" applyFill="1" applyBorder="1" applyAlignment="1">
      <alignment horizontal="center"/>
    </xf>
    <xf numFmtId="0" fontId="3" fillId="13" borderId="0" xfId="2" applyFill="1"/>
    <xf numFmtId="0" fontId="3" fillId="4" borderId="1" xfId="2" applyFill="1" applyBorder="1" applyAlignment="1">
      <alignment horizontal="right"/>
    </xf>
    <xf numFmtId="1" fontId="3" fillId="4" borderId="1" xfId="2" applyNumberFormat="1" applyFill="1" applyBorder="1"/>
    <xf numFmtId="0" fontId="1" fillId="4" borderId="1" xfId="1" applyNumberFormat="1" applyFont="1" applyFill="1" applyBorder="1" applyAlignment="1">
      <alignment horizontal="center"/>
    </xf>
    <xf numFmtId="9" fontId="0" fillId="4" borderId="1" xfId="1" applyFont="1" applyFill="1" applyBorder="1" applyAlignment="1">
      <alignment horizontal="center"/>
    </xf>
    <xf numFmtId="0" fontId="3" fillId="4" borderId="1" xfId="2" applyFill="1" applyBorder="1" applyAlignment="1">
      <alignment horizontal="center" vertical="center"/>
    </xf>
    <xf numFmtId="0" fontId="3" fillId="4" borderId="0" xfId="2" applyFill="1"/>
    <xf numFmtId="0" fontId="3" fillId="38" borderId="1" xfId="2" applyFill="1" applyBorder="1"/>
    <xf numFmtId="0" fontId="3" fillId="38" borderId="1" xfId="2" applyFill="1" applyBorder="1" applyAlignment="1">
      <alignment horizontal="right"/>
    </xf>
    <xf numFmtId="1" fontId="3" fillId="38" borderId="1" xfId="2" applyNumberFormat="1" applyFill="1" applyBorder="1"/>
    <xf numFmtId="14" fontId="3" fillId="38" borderId="1" xfId="2" applyNumberFormat="1" applyFill="1" applyBorder="1"/>
    <xf numFmtId="0" fontId="3" fillId="38" borderId="1" xfId="2" applyFill="1" applyBorder="1" applyAlignment="1">
      <alignment horizontal="center"/>
    </xf>
    <xf numFmtId="0" fontId="12" fillId="38" borderId="0" xfId="0" applyFont="1" applyFill="1" applyAlignment="1">
      <alignment horizontal="center"/>
    </xf>
    <xf numFmtId="9" fontId="1" fillId="38" borderId="1" xfId="1" applyFont="1" applyFill="1" applyBorder="1" applyAlignment="1">
      <alignment horizontal="center"/>
    </xf>
    <xf numFmtId="0" fontId="1" fillId="38" borderId="1" xfId="2" applyFont="1" applyFill="1" applyBorder="1" applyAlignment="1">
      <alignment horizontal="center" vertical="center"/>
    </xf>
    <xf numFmtId="9" fontId="0" fillId="38" borderId="1" xfId="1" applyFont="1" applyFill="1" applyBorder="1" applyAlignment="1">
      <alignment horizontal="center"/>
    </xf>
    <xf numFmtId="14" fontId="3" fillId="38" borderId="1" xfId="2" applyNumberFormat="1" applyFill="1" applyBorder="1" applyAlignment="1">
      <alignment horizontal="center"/>
    </xf>
    <xf numFmtId="0" fontId="3" fillId="38" borderId="1" xfId="2" applyFill="1" applyBorder="1" applyAlignment="1">
      <alignment horizontal="center" vertical="center"/>
    </xf>
    <xf numFmtId="0" fontId="2" fillId="38" borderId="1" xfId="2" applyFont="1" applyFill="1" applyBorder="1" applyAlignment="1">
      <alignment horizontal="center"/>
    </xf>
    <xf numFmtId="0" fontId="1" fillId="38" borderId="1" xfId="2" applyFont="1" applyFill="1" applyBorder="1" applyAlignment="1">
      <alignment horizontal="center"/>
    </xf>
    <xf numFmtId="0" fontId="3" fillId="38" borderId="0" xfId="2" applyFill="1"/>
    <xf numFmtId="0" fontId="1" fillId="38" borderId="1" xfId="2" applyFont="1" applyFill="1" applyBorder="1" applyAlignment="1">
      <alignment horizontal="left" vertical="center"/>
    </xf>
    <xf numFmtId="0" fontId="12" fillId="36" borderId="0" xfId="0" quotePrefix="1" applyFont="1" applyFill="1" applyAlignment="1">
      <alignment horizontal="center"/>
    </xf>
    <xf numFmtId="0" fontId="3" fillId="4" borderId="1" xfId="2" applyFill="1" applyBorder="1" applyAlignment="1">
      <alignment horizontal="left" vertical="center"/>
    </xf>
    <xf numFmtId="0" fontId="13" fillId="36" borderId="0" xfId="0" applyFont="1" applyFill="1" applyAlignment="1">
      <alignment horizontal="center"/>
    </xf>
    <xf numFmtId="0" fontId="12" fillId="36" borderId="0" xfId="0" applyFont="1" applyFill="1" applyAlignment="1">
      <alignment horizontal="center"/>
    </xf>
    <xf numFmtId="0" fontId="3" fillId="39" borderId="1" xfId="2" applyFill="1" applyBorder="1" applyAlignment="1">
      <alignment horizontal="right"/>
    </xf>
    <xf numFmtId="0" fontId="15" fillId="0" borderId="1" xfId="4" applyFont="1" applyFill="1" applyBorder="1" applyAlignment="1">
      <alignment horizontal="center" vertical="top"/>
    </xf>
    <xf numFmtId="0" fontId="15" fillId="0" borderId="9" xfId="4" applyFont="1" applyFill="1" applyBorder="1" applyAlignment="1">
      <alignment horizontal="center" vertical="top"/>
    </xf>
    <xf numFmtId="0" fontId="0" fillId="37" borderId="1" xfId="2" applyFont="1" applyFill="1" applyBorder="1" applyAlignment="1">
      <alignment horizontal="center"/>
    </xf>
    <xf numFmtId="0" fontId="1" fillId="13" borderId="1" xfId="3" applyFill="1" applyBorder="1"/>
    <xf numFmtId="0" fontId="15" fillId="13" borderId="9" xfId="4" applyFont="1" applyFill="1" applyBorder="1" applyAlignment="1">
      <alignment horizontal="center" vertical="top"/>
    </xf>
    <xf numFmtId="9" fontId="0" fillId="0" borderId="0" xfId="0" applyNumberFormat="1" applyAlignment="1">
      <alignment horizontal="center" vertical="center"/>
    </xf>
    <xf numFmtId="9" fontId="0" fillId="36" borderId="1" xfId="1" applyFont="1" applyFill="1" applyBorder="1" applyAlignment="1">
      <alignment horizontal="center"/>
    </xf>
    <xf numFmtId="0" fontId="0" fillId="36" borderId="1" xfId="2" applyFont="1" applyFill="1" applyBorder="1" applyAlignment="1">
      <alignment horizontal="center"/>
    </xf>
    <xf numFmtId="0" fontId="0" fillId="13" borderId="0" xfId="2" applyFont="1" applyFill="1"/>
    <xf numFmtId="0" fontId="0" fillId="13" borderId="1" xfId="2" applyFont="1" applyFill="1" applyBorder="1" applyAlignment="1">
      <alignment horizontal="left" vertical="center"/>
    </xf>
    <xf numFmtId="14" fontId="0" fillId="13" borderId="1" xfId="2" applyNumberFormat="1" applyFont="1" applyFill="1" applyBorder="1" applyAlignment="1">
      <alignment horizontal="center"/>
    </xf>
    <xf numFmtId="0" fontId="0" fillId="13" borderId="1" xfId="2" applyFont="1" applyFill="1" applyBorder="1" applyAlignment="1">
      <alignment horizontal="center" vertical="center"/>
    </xf>
    <xf numFmtId="0" fontId="0" fillId="13" borderId="1" xfId="1" applyNumberFormat="1" applyFont="1" applyFill="1" applyBorder="1" applyAlignment="1">
      <alignment horizontal="center"/>
    </xf>
    <xf numFmtId="14" fontId="0" fillId="13" borderId="1" xfId="2" applyNumberFormat="1" applyFont="1" applyFill="1" applyBorder="1"/>
    <xf numFmtId="1" fontId="0" fillId="13" borderId="1" xfId="2" applyNumberFormat="1" applyFont="1" applyFill="1" applyBorder="1"/>
    <xf numFmtId="0" fontId="0" fillId="13" borderId="1" xfId="2" applyFont="1" applyFill="1" applyBorder="1" applyAlignment="1">
      <alignment horizontal="right"/>
    </xf>
    <xf numFmtId="0" fontId="0" fillId="13" borderId="1" xfId="2" applyFont="1" applyFill="1" applyBorder="1"/>
    <xf numFmtId="0" fontId="1" fillId="16" borderId="1" xfId="1" applyNumberFormat="1" applyFont="1" applyFill="1" applyBorder="1" applyAlignment="1">
      <alignment horizontal="center" vertical="center"/>
    </xf>
    <xf numFmtId="0" fontId="11" fillId="36" borderId="12" xfId="0" applyFont="1" applyFill="1" applyBorder="1" applyAlignment="1">
      <alignment horizontal="center" vertical="center" wrapText="1"/>
    </xf>
    <xf numFmtId="0" fontId="2" fillId="32" borderId="10" xfId="0" applyFont="1" applyFill="1" applyBorder="1" applyAlignment="1">
      <alignment horizontal="center" vertical="center"/>
    </xf>
    <xf numFmtId="0" fontId="2" fillId="27" borderId="10" xfId="0" applyFont="1" applyFill="1" applyBorder="1" applyAlignment="1">
      <alignment horizontal="center" vertical="center"/>
    </xf>
    <xf numFmtId="0" fontId="2" fillId="28" borderId="10" xfId="0" applyFont="1" applyFill="1" applyBorder="1" applyAlignment="1">
      <alignment horizontal="center" vertical="center"/>
    </xf>
    <xf numFmtId="9" fontId="2" fillId="28" borderId="10" xfId="0" applyNumberFormat="1" applyFont="1" applyFill="1" applyBorder="1" applyAlignment="1">
      <alignment horizontal="center" vertical="center"/>
    </xf>
    <xf numFmtId="0" fontId="2" fillId="29" borderId="10" xfId="0" applyFont="1" applyFill="1" applyBorder="1" applyAlignment="1">
      <alignment horizontal="center" vertical="center"/>
    </xf>
    <xf numFmtId="9" fontId="2" fillId="29" borderId="10" xfId="0" applyNumberFormat="1" applyFont="1" applyFill="1" applyBorder="1" applyAlignment="1">
      <alignment horizontal="center" vertical="center"/>
    </xf>
    <xf numFmtId="9" fontId="2" fillId="30" borderId="10" xfId="0" applyNumberFormat="1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0" fillId="32" borderId="10" xfId="0" applyNumberFormat="1" applyFill="1" applyBorder="1" applyAlignment="1">
      <alignment horizontal="center" vertical="center"/>
    </xf>
    <xf numFmtId="0" fontId="11" fillId="36" borderId="13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9" fontId="2" fillId="31" borderId="1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9" fillId="25" borderId="4" xfId="0" applyFont="1" applyFill="1" applyBorder="1" applyAlignment="1">
      <alignment horizontal="center" vertical="center"/>
    </xf>
    <xf numFmtId="0" fontId="9" fillId="25" borderId="8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center" vertical="center"/>
    </xf>
    <xf numFmtId="0" fontId="9" fillId="20" borderId="8" xfId="0" applyFont="1" applyFill="1" applyBorder="1" applyAlignment="1">
      <alignment horizontal="center" vertical="center"/>
    </xf>
    <xf numFmtId="0" fontId="6" fillId="9" borderId="3" xfId="2" applyFont="1" applyFill="1" applyBorder="1" applyAlignment="1">
      <alignment horizontal="center" vertical="center"/>
    </xf>
    <xf numFmtId="0" fontId="6" fillId="9" borderId="4" xfId="2" applyFont="1" applyFill="1" applyBorder="1" applyAlignment="1">
      <alignment horizontal="center" vertical="center"/>
    </xf>
    <xf numFmtId="0" fontId="6" fillId="9" borderId="2" xfId="2" applyFont="1" applyFill="1" applyBorder="1" applyAlignment="1">
      <alignment horizontal="center" vertical="center"/>
    </xf>
    <xf numFmtId="0" fontId="5" fillId="34" borderId="4" xfId="0" applyFont="1" applyFill="1" applyBorder="1" applyAlignment="1">
      <alignment horizontal="center" vertical="center"/>
    </xf>
    <xf numFmtId="0" fontId="5" fillId="34" borderId="8" xfId="0" applyFont="1" applyFill="1" applyBorder="1" applyAlignment="1">
      <alignment horizontal="center" vertical="center"/>
    </xf>
    <xf numFmtId="0" fontId="6" fillId="22" borderId="11" xfId="0" applyFont="1" applyFill="1" applyBorder="1" applyAlignment="1">
      <alignment horizontal="center" vertical="center"/>
    </xf>
    <xf numFmtId="0" fontId="6" fillId="22" borderId="4" xfId="0" applyFont="1" applyFill="1" applyBorder="1" applyAlignment="1">
      <alignment horizontal="center" vertical="center"/>
    </xf>
    <xf numFmtId="0" fontId="6" fillId="22" borderId="8" xfId="0" applyFont="1" applyFill="1" applyBorder="1" applyAlignment="1">
      <alignment horizontal="center" vertical="center"/>
    </xf>
    <xf numFmtId="0" fontId="6" fillId="23" borderId="11" xfId="0" applyFont="1" applyFill="1" applyBorder="1" applyAlignment="1">
      <alignment horizontal="center" vertical="center"/>
    </xf>
    <xf numFmtId="0" fontId="6" fillId="23" borderId="4" xfId="0" applyFont="1" applyFill="1" applyBorder="1" applyAlignment="1">
      <alignment horizontal="center" vertical="center"/>
    </xf>
    <xf numFmtId="0" fontId="6" fillId="23" borderId="8" xfId="0" applyFont="1" applyFill="1" applyBorder="1" applyAlignment="1">
      <alignment horizontal="center" vertical="center"/>
    </xf>
    <xf numFmtId="0" fontId="9" fillId="24" borderId="11" xfId="0" applyFont="1" applyFill="1" applyBorder="1" applyAlignment="1">
      <alignment horizontal="center" vertical="center"/>
    </xf>
    <xf numFmtId="0" fontId="9" fillId="24" borderId="4" xfId="0" applyFont="1" applyFill="1" applyBorder="1" applyAlignment="1">
      <alignment horizontal="center" vertical="center"/>
    </xf>
    <xf numFmtId="0" fontId="9" fillId="24" borderId="8" xfId="0" applyFont="1" applyFill="1" applyBorder="1" applyAlignment="1">
      <alignment horizontal="center" vertical="center"/>
    </xf>
    <xf numFmtId="0" fontId="5" fillId="14" borderId="3" xfId="2" applyFont="1" applyFill="1" applyBorder="1" applyAlignment="1">
      <alignment horizontal="center" vertical="center"/>
    </xf>
    <xf numFmtId="0" fontId="5" fillId="14" borderId="4" xfId="2" applyFont="1" applyFill="1" applyBorder="1" applyAlignment="1">
      <alignment horizontal="center" vertical="center"/>
    </xf>
    <xf numFmtId="0" fontId="5" fillId="14" borderId="2" xfId="2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5" fillId="14" borderId="3" xfId="2" applyFont="1" applyFill="1" applyBorder="1" applyAlignment="1">
      <alignment horizontal="center"/>
    </xf>
    <xf numFmtId="0" fontId="5" fillId="14" borderId="4" xfId="2" applyFont="1" applyFill="1" applyBorder="1" applyAlignment="1">
      <alignment horizontal="center"/>
    </xf>
    <xf numFmtId="0" fontId="5" fillId="14" borderId="2" xfId="2" applyFont="1" applyFill="1" applyBorder="1" applyAlignment="1">
      <alignment horizontal="center"/>
    </xf>
    <xf numFmtId="0" fontId="6" fillId="17" borderId="3" xfId="2" applyFont="1" applyFill="1" applyBorder="1" applyAlignment="1">
      <alignment horizontal="center"/>
    </xf>
    <xf numFmtId="0" fontId="6" fillId="17" borderId="4" xfId="2" applyFont="1" applyFill="1" applyBorder="1" applyAlignment="1">
      <alignment horizontal="center"/>
    </xf>
    <xf numFmtId="0" fontId="6" fillId="17" borderId="2" xfId="2" applyFont="1" applyFill="1" applyBorder="1" applyAlignment="1">
      <alignment horizontal="center"/>
    </xf>
    <xf numFmtId="0" fontId="5" fillId="33" borderId="3" xfId="2" applyFont="1" applyFill="1" applyBorder="1" applyAlignment="1">
      <alignment horizontal="center"/>
    </xf>
    <xf numFmtId="0" fontId="5" fillId="33" borderId="4" xfId="2" applyFont="1" applyFill="1" applyBorder="1" applyAlignment="1">
      <alignment horizontal="center"/>
    </xf>
    <xf numFmtId="0" fontId="5" fillId="33" borderId="2" xfId="2" applyFont="1" applyFill="1" applyBorder="1" applyAlignment="1">
      <alignment horizontal="center"/>
    </xf>
    <xf numFmtId="0" fontId="6" fillId="11" borderId="3" xfId="2" applyFont="1" applyFill="1" applyBorder="1" applyAlignment="1">
      <alignment horizontal="center"/>
    </xf>
    <xf numFmtId="0" fontId="6" fillId="11" borderId="4" xfId="2" applyFont="1" applyFill="1" applyBorder="1" applyAlignment="1">
      <alignment horizontal="center"/>
    </xf>
    <xf numFmtId="0" fontId="6" fillId="11" borderId="2" xfId="2" applyFont="1" applyFill="1" applyBorder="1" applyAlignment="1">
      <alignment horizontal="center"/>
    </xf>
    <xf numFmtId="0" fontId="5" fillId="12" borderId="3" xfId="2" applyFont="1" applyFill="1" applyBorder="1" applyAlignment="1">
      <alignment horizontal="center"/>
    </xf>
    <xf numFmtId="0" fontId="5" fillId="12" borderId="4" xfId="2" applyFont="1" applyFill="1" applyBorder="1" applyAlignment="1">
      <alignment horizontal="center"/>
    </xf>
    <xf numFmtId="0" fontId="5" fillId="12" borderId="2" xfId="2" applyFont="1" applyFill="1" applyBorder="1" applyAlignment="1">
      <alignment horizontal="center"/>
    </xf>
    <xf numFmtId="0" fontId="6" fillId="13" borderId="3" xfId="2" applyFont="1" applyFill="1" applyBorder="1" applyAlignment="1">
      <alignment horizontal="center"/>
    </xf>
    <xf numFmtId="0" fontId="6" fillId="13" borderId="4" xfId="2" applyFont="1" applyFill="1" applyBorder="1" applyAlignment="1">
      <alignment horizontal="center"/>
    </xf>
    <xf numFmtId="0" fontId="6" fillId="13" borderId="2" xfId="2" applyFont="1" applyFill="1" applyBorder="1" applyAlignment="1">
      <alignment horizontal="center"/>
    </xf>
    <xf numFmtId="0" fontId="6" fillId="9" borderId="3" xfId="2" applyFont="1" applyFill="1" applyBorder="1" applyAlignment="1">
      <alignment horizontal="center"/>
    </xf>
    <xf numFmtId="0" fontId="6" fillId="9" borderId="4" xfId="2" applyFont="1" applyFill="1" applyBorder="1" applyAlignment="1">
      <alignment horizontal="center"/>
    </xf>
    <xf numFmtId="0" fontId="6" fillId="9" borderId="2" xfId="2" applyFont="1" applyFill="1" applyBorder="1" applyAlignment="1">
      <alignment horizontal="center"/>
    </xf>
    <xf numFmtId="0" fontId="5" fillId="15" borderId="3" xfId="2" applyFont="1" applyFill="1" applyBorder="1" applyAlignment="1">
      <alignment horizontal="center"/>
    </xf>
    <xf numFmtId="0" fontId="5" fillId="15" borderId="4" xfId="2" applyFont="1" applyFill="1" applyBorder="1" applyAlignment="1">
      <alignment horizontal="center"/>
    </xf>
    <xf numFmtId="0" fontId="5" fillId="15" borderId="2" xfId="2" applyFont="1" applyFill="1" applyBorder="1" applyAlignment="1">
      <alignment horizontal="center"/>
    </xf>
    <xf numFmtId="0" fontId="6" fillId="10" borderId="3" xfId="2" applyFont="1" applyFill="1" applyBorder="1" applyAlignment="1">
      <alignment horizontal="center"/>
    </xf>
    <xf numFmtId="0" fontId="6" fillId="10" borderId="4" xfId="2" applyFont="1" applyFill="1" applyBorder="1" applyAlignment="1">
      <alignment horizontal="center"/>
    </xf>
    <xf numFmtId="0" fontId="6" fillId="10" borderId="2" xfId="2" applyFont="1" applyFill="1" applyBorder="1" applyAlignment="1">
      <alignment horizontal="center"/>
    </xf>
    <xf numFmtId="0" fontId="10" fillId="24" borderId="4" xfId="0" applyFont="1" applyFill="1" applyBorder="1" applyAlignment="1">
      <alignment horizontal="center" vertical="center"/>
    </xf>
    <xf numFmtId="0" fontId="9" fillId="20" borderId="3" xfId="0" applyFont="1" applyFill="1" applyBorder="1" applyAlignment="1">
      <alignment horizontal="center"/>
    </xf>
    <xf numFmtId="0" fontId="9" fillId="20" borderId="4" xfId="0" applyFont="1" applyFill="1" applyBorder="1" applyAlignment="1">
      <alignment horizontal="center"/>
    </xf>
    <xf numFmtId="0" fontId="9" fillId="20" borderId="2" xfId="0" applyFont="1" applyFill="1" applyBorder="1" applyAlignment="1">
      <alignment horizontal="center"/>
    </xf>
    <xf numFmtId="0" fontId="0" fillId="0" borderId="5" xfId="0" applyBorder="1" applyAlignment="1"/>
    <xf numFmtId="0" fontId="9" fillId="20" borderId="4" xfId="0" applyFont="1" applyFill="1" applyBorder="1" applyAlignment="1"/>
    <xf numFmtId="0" fontId="9" fillId="20" borderId="8" xfId="0" applyFont="1" applyFill="1" applyBorder="1" applyAlignment="1"/>
    <xf numFmtId="0" fontId="6" fillId="21" borderId="4" xfId="0" applyFont="1" applyFill="1" applyBorder="1" applyAlignment="1"/>
    <xf numFmtId="0" fontId="6" fillId="21" borderId="8" xfId="0" applyFont="1" applyFill="1" applyBorder="1" applyAlignment="1"/>
    <xf numFmtId="0" fontId="6" fillId="22" borderId="4" xfId="0" applyFont="1" applyFill="1" applyBorder="1" applyAlignment="1"/>
    <xf numFmtId="0" fontId="6" fillId="22" borderId="8" xfId="0" applyFont="1" applyFill="1" applyBorder="1" applyAlignment="1"/>
    <xf numFmtId="0" fontId="6" fillId="23" borderId="4" xfId="0" applyFont="1" applyFill="1" applyBorder="1" applyAlignment="1"/>
    <xf numFmtId="0" fontId="6" fillId="23" borderId="8" xfId="0" applyFont="1" applyFill="1" applyBorder="1" applyAlignment="1"/>
    <xf numFmtId="0" fontId="9" fillId="24" borderId="4" xfId="0" applyFont="1" applyFill="1" applyBorder="1" applyAlignment="1"/>
    <xf numFmtId="0" fontId="9" fillId="24" borderId="8" xfId="0" applyFont="1" applyFill="1" applyBorder="1" applyAlignment="1"/>
    <xf numFmtId="0" fontId="9" fillId="25" borderId="4" xfId="0" applyFont="1" applyFill="1" applyBorder="1" applyAlignment="1"/>
    <xf numFmtId="0" fontId="9" fillId="25" borderId="8" xfId="0" applyFont="1" applyFill="1" applyBorder="1" applyAlignment="1"/>
  </cellXfs>
  <cellStyles count="5">
    <cellStyle name="Hyperlink" xfId="4" builtinId="8"/>
    <cellStyle name="Normal" xfId="0" builtinId="0"/>
    <cellStyle name="Normal 2" xfId="2" xr:uid="{FF406606-CF6B-4707-84D7-725F63533214}"/>
    <cellStyle name="Normal 3" xfId="3" xr:uid="{AFD9FD8C-B3CE-460E-AE73-898ACF3E12B8}"/>
    <cellStyle name="Percent" xfId="1" builtinId="5"/>
  </cellStyles>
  <dxfs count="0"/>
  <tableStyles count="0" defaultTableStyle="TableStyleMedium2" defaultPivotStyle="PivotStyleLight16"/>
  <colors>
    <mruColors>
      <color rgb="FFBFBFBF"/>
      <color rgb="FFFF6E6E"/>
      <color rgb="FFDBDBDB"/>
      <color rgb="FFFF9999"/>
      <color rgb="FFFFFF0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396632</xdr:colOff>
      <xdr:row>1</xdr:row>
      <xdr:rowOff>12211</xdr:rowOff>
    </xdr:from>
    <xdr:to>
      <xdr:col>18</xdr:col>
      <xdr:colOff>108785</xdr:colOff>
      <xdr:row>17</xdr:row>
      <xdr:rowOff>95248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FBE0674-161B-8D0C-14E0-C319AD9AE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2940" y="202711"/>
          <a:ext cx="5808153" cy="31310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el" id="{F5872ED7-D39F-4926-8544-B9210D5C5975}" userId="S::joel@3phase-conveyor.com::1ad2468a-ab8c-4856-a401-bf4373b7d2e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ldy, Adam" refreshedDate="46180.644606944443" createdVersion="8" refreshedVersion="8" minRefreshableVersion="3" recordCount="870" xr:uid="{50270759-AE8A-45C7-BDD0-044D302ACB17}">
  <cacheSource type="worksheet">
    <worksheetSource ref="A1:H1048576" sheet="CP40 (2)"/>
  </cacheSource>
  <cacheFields count="12">
    <cacheField name="CP" numFmtId="0">
      <sharedItems containsBlank="1"/>
    </cacheField>
    <cacheField name="Asset" numFmtId="0">
      <sharedItems containsBlank="1"/>
    </cacheField>
    <cacheField name="Length" numFmtId="0">
      <sharedItems containsBlank="1" containsMixedTypes="1" containsNumber="1" containsInteger="1" minValue="1" maxValue="198"/>
    </cacheField>
    <cacheField name="Task Name" numFmtId="0">
      <sharedItems containsBlank="1" count="8">
        <s v="Staging &amp; Prep"/>
        <s v="Anchored &amp; Leveled"/>
        <s v="Belting"/>
        <s v="Bottom Pans"/>
        <s v="Side Guide"/>
        <s v="Netting"/>
        <s v="Run-in"/>
        <m/>
      </sharedItems>
    </cacheField>
    <cacheField name="Start" numFmtId="0">
      <sharedItems containsNonDate="0" containsDate="1" containsString="0" containsBlank="1" minDate="2026-05-04T00:00:00" maxDate="2026-11-12T00:00:00" count="12">
        <d v="2026-05-04T00:00:00"/>
        <d v="2026-05-18T00:00:00"/>
        <d v="2026-05-28T00:00:00"/>
        <d v="2026-06-11T00:00:00"/>
        <d v="2026-06-25T00:00:00"/>
        <d v="2026-07-06T00:00:00"/>
        <d v="2026-07-15T00:00:00"/>
        <d v="2026-07-20T00:00:00"/>
        <d v="2026-07-30T00:00:00"/>
        <d v="2026-08-09T00:00:00"/>
        <d v="2026-11-11T00:00:00"/>
        <m/>
      </sharedItems>
      <fieldGroup par="9"/>
    </cacheField>
    <cacheField name="Finish" numFmtId="0">
      <sharedItems containsNonDate="0" containsDate="1" containsString="0" containsBlank="1" minDate="2026-05-15T00:00:00" maxDate="2026-11-18T00:00:00" count="13">
        <d v="2026-05-15T00:00:00"/>
        <d v="2026-05-27T00:00:00"/>
        <d v="2026-06-10T00:00:00"/>
        <d v="2026-06-24T00:00:00"/>
        <d v="2026-07-08T00:00:00"/>
        <d v="2026-07-04T00:00:00"/>
        <d v="2026-07-15T00:00:00"/>
        <d v="2026-07-19T00:00:00"/>
        <d v="2026-07-29T00:00:00"/>
        <d v="2026-08-08T00:00:00"/>
        <d v="2026-08-16T00:00:00"/>
        <d v="2026-11-17T00:00:00"/>
        <m/>
      </sharedItems>
      <fieldGroup par="11"/>
    </cacheField>
    <cacheField name="Status" numFmtId="0">
      <sharedItems containsBlank="1" count="4">
        <s v="Complete"/>
        <s v="Not Started"/>
        <s v="Blocked"/>
        <m/>
      </sharedItems>
    </cacheField>
    <cacheField name="% Complete" numFmtId="0">
      <sharedItems containsString="0" containsBlank="1" containsNumber="1" containsInteger="1" minValue="0" maxValue="1" count="3">
        <n v="1"/>
        <n v="0"/>
        <m/>
      </sharedItems>
    </cacheField>
    <cacheField name="Days (Start)" numFmtId="0" databaseField="0">
      <fieldGroup base="4">
        <rangePr groupBy="days" startDate="2026-05-04T00:00:00" endDate="2026-11-12T00:00:00"/>
        <groupItems count="368">
          <s v="&lt;5/4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12/2026"/>
        </groupItems>
      </fieldGroup>
    </cacheField>
    <cacheField name="Months (Start)" numFmtId="0" databaseField="0">
      <fieldGroup base="4">
        <rangePr groupBy="months" startDate="2026-05-04T00:00:00" endDate="2026-11-12T00:00:00"/>
        <groupItems count="14">
          <s v="&lt;5/4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2/2026"/>
        </groupItems>
      </fieldGroup>
    </cacheField>
    <cacheField name="Days (Finish)" numFmtId="0" databaseField="0">
      <fieldGroup base="5">
        <rangePr groupBy="days" startDate="2026-05-15T00:00:00" endDate="2026-11-18T00:00:00"/>
        <groupItems count="368">
          <s v="&lt;5/1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18/2026"/>
        </groupItems>
      </fieldGroup>
    </cacheField>
    <cacheField name="Months (Finish)" numFmtId="0" databaseField="0">
      <fieldGroup base="5">
        <rangePr groupBy="months" startDate="2026-05-15T00:00:00" endDate="2026-11-18T00:00:00"/>
        <groupItems count="14">
          <s v="&lt;5/1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0">
  <r>
    <s v="CP40"/>
    <s v="40255"/>
    <n v="1"/>
    <x v="0"/>
    <x v="0"/>
    <x v="0"/>
    <x v="0"/>
    <x v="0"/>
  </r>
  <r>
    <s v="CP40"/>
    <s v="40355"/>
    <n v="1"/>
    <x v="0"/>
    <x v="0"/>
    <x v="0"/>
    <x v="0"/>
    <x v="0"/>
  </r>
  <r>
    <s v="CP40"/>
    <s v="40230"/>
    <n v="198"/>
    <x v="0"/>
    <x v="0"/>
    <x v="0"/>
    <x v="0"/>
    <x v="0"/>
  </r>
  <r>
    <s v="CP40"/>
    <s v="40330"/>
    <n v="198"/>
    <x v="0"/>
    <x v="0"/>
    <x v="0"/>
    <x v="0"/>
    <x v="0"/>
  </r>
  <r>
    <s v="CP40"/>
    <s v="40405"/>
    <n v="1"/>
    <x v="0"/>
    <x v="0"/>
    <x v="0"/>
    <x v="0"/>
    <x v="0"/>
  </r>
  <r>
    <s v="CP40"/>
    <s v="40605"/>
    <n v="1"/>
    <x v="0"/>
    <x v="0"/>
    <x v="0"/>
    <x v="1"/>
    <x v="1"/>
  </r>
  <r>
    <s v="CP40"/>
    <s v="40005"/>
    <n v="1"/>
    <x v="0"/>
    <x v="0"/>
    <x v="0"/>
    <x v="1"/>
    <x v="1"/>
  </r>
  <r>
    <s v="CP40"/>
    <s v="40010"/>
    <n v="1"/>
    <x v="0"/>
    <x v="0"/>
    <x v="0"/>
    <x v="1"/>
    <x v="1"/>
  </r>
  <r>
    <s v="CP40"/>
    <s v="40015"/>
    <n v="1"/>
    <x v="0"/>
    <x v="0"/>
    <x v="0"/>
    <x v="1"/>
    <x v="1"/>
  </r>
  <r>
    <s v="CP40"/>
    <s v="40020"/>
    <n v="1"/>
    <x v="0"/>
    <x v="0"/>
    <x v="0"/>
    <x v="1"/>
    <x v="1"/>
  </r>
  <r>
    <s v="CP40"/>
    <s v="40025"/>
    <n v="1"/>
    <x v="0"/>
    <x v="0"/>
    <x v="0"/>
    <x v="1"/>
    <x v="1"/>
  </r>
  <r>
    <s v="CP40"/>
    <s v="40030"/>
    <n v="1"/>
    <x v="0"/>
    <x v="0"/>
    <x v="0"/>
    <x v="1"/>
    <x v="1"/>
  </r>
  <r>
    <s v="CP40"/>
    <s v="40105"/>
    <n v="1"/>
    <x v="0"/>
    <x v="0"/>
    <x v="0"/>
    <x v="1"/>
    <x v="1"/>
  </r>
  <r>
    <s v="CP40"/>
    <s v="40110"/>
    <n v="1"/>
    <x v="0"/>
    <x v="0"/>
    <x v="0"/>
    <x v="1"/>
    <x v="1"/>
  </r>
  <r>
    <s v="CP40"/>
    <s v="40115"/>
    <n v="1"/>
    <x v="0"/>
    <x v="0"/>
    <x v="0"/>
    <x v="1"/>
    <x v="1"/>
  </r>
  <r>
    <s v="CP40"/>
    <s v="40120"/>
    <n v="1"/>
    <x v="0"/>
    <x v="0"/>
    <x v="0"/>
    <x v="1"/>
    <x v="1"/>
  </r>
  <r>
    <s v="CP40"/>
    <s v="40125"/>
    <n v="1"/>
    <x v="0"/>
    <x v="0"/>
    <x v="0"/>
    <x v="1"/>
    <x v="1"/>
  </r>
  <r>
    <s v="CP40"/>
    <s v="40130"/>
    <n v="1"/>
    <x v="0"/>
    <x v="0"/>
    <x v="0"/>
    <x v="1"/>
    <x v="1"/>
  </r>
  <r>
    <s v="CP40"/>
    <s v="40205"/>
    <n v="1"/>
    <x v="0"/>
    <x v="0"/>
    <x v="0"/>
    <x v="1"/>
    <x v="1"/>
  </r>
  <r>
    <s v="CP40"/>
    <s v="40210"/>
    <n v="1"/>
    <x v="0"/>
    <x v="0"/>
    <x v="0"/>
    <x v="1"/>
    <x v="1"/>
  </r>
  <r>
    <s v="CP40"/>
    <s v="40215"/>
    <n v="1"/>
    <x v="0"/>
    <x v="0"/>
    <x v="0"/>
    <x v="1"/>
    <x v="1"/>
  </r>
  <r>
    <s v="CP40"/>
    <s v="40220"/>
    <n v="1"/>
    <x v="0"/>
    <x v="0"/>
    <x v="0"/>
    <x v="1"/>
    <x v="1"/>
  </r>
  <r>
    <s v="CP40"/>
    <s v="40225"/>
    <n v="1"/>
    <x v="0"/>
    <x v="0"/>
    <x v="0"/>
    <x v="1"/>
    <x v="1"/>
  </r>
  <r>
    <s v="CP40"/>
    <s v="40235"/>
    <n v="1"/>
    <x v="0"/>
    <x v="0"/>
    <x v="0"/>
    <x v="1"/>
    <x v="1"/>
  </r>
  <r>
    <s v="CP40"/>
    <s v="40245"/>
    <n v="1"/>
    <x v="0"/>
    <x v="0"/>
    <x v="0"/>
    <x v="1"/>
    <x v="1"/>
  </r>
  <r>
    <s v="CP40"/>
    <s v="40248"/>
    <n v="1"/>
    <x v="0"/>
    <x v="0"/>
    <x v="0"/>
    <x v="1"/>
    <x v="1"/>
  </r>
  <r>
    <s v="CP40"/>
    <s v="40250"/>
    <n v="1"/>
    <x v="0"/>
    <x v="0"/>
    <x v="0"/>
    <x v="1"/>
    <x v="1"/>
  </r>
  <r>
    <s v="CP40"/>
    <s v="40305"/>
    <n v="1"/>
    <x v="0"/>
    <x v="0"/>
    <x v="0"/>
    <x v="1"/>
    <x v="1"/>
  </r>
  <r>
    <s v="CP40"/>
    <s v="40310"/>
    <n v="1"/>
    <x v="0"/>
    <x v="0"/>
    <x v="0"/>
    <x v="1"/>
    <x v="1"/>
  </r>
  <r>
    <s v="CP40"/>
    <s v="40312"/>
    <n v="1"/>
    <x v="0"/>
    <x v="0"/>
    <x v="0"/>
    <x v="1"/>
    <x v="1"/>
  </r>
  <r>
    <s v="CP40"/>
    <s v="40314"/>
    <n v="1"/>
    <x v="0"/>
    <x v="0"/>
    <x v="0"/>
    <x v="1"/>
    <x v="1"/>
  </r>
  <r>
    <s v="CP40"/>
    <s v="40316"/>
    <n v="1"/>
    <x v="0"/>
    <x v="0"/>
    <x v="0"/>
    <x v="1"/>
    <x v="1"/>
  </r>
  <r>
    <s v="CP40"/>
    <s v="40318"/>
    <n v="1"/>
    <x v="0"/>
    <x v="0"/>
    <x v="0"/>
    <x v="1"/>
    <x v="1"/>
  </r>
  <r>
    <s v="CP40"/>
    <s v="40320"/>
    <n v="1"/>
    <x v="0"/>
    <x v="0"/>
    <x v="0"/>
    <x v="1"/>
    <x v="1"/>
  </r>
  <r>
    <s v="CP40"/>
    <s v="40325"/>
    <s v="`"/>
    <x v="0"/>
    <x v="0"/>
    <x v="0"/>
    <x v="1"/>
    <x v="1"/>
  </r>
  <r>
    <s v="CP40"/>
    <s v="40335"/>
    <n v="1"/>
    <x v="0"/>
    <x v="0"/>
    <x v="0"/>
    <x v="1"/>
    <x v="1"/>
  </r>
  <r>
    <s v="CP40"/>
    <s v="40345"/>
    <n v="1"/>
    <x v="0"/>
    <x v="0"/>
    <x v="0"/>
    <x v="1"/>
    <x v="1"/>
  </r>
  <r>
    <s v="CP40"/>
    <s v="40348"/>
    <n v="1"/>
    <x v="0"/>
    <x v="0"/>
    <x v="0"/>
    <x v="1"/>
    <x v="1"/>
  </r>
  <r>
    <s v="CP40"/>
    <s v="40350"/>
    <n v="1"/>
    <x v="0"/>
    <x v="0"/>
    <x v="0"/>
    <x v="1"/>
    <x v="1"/>
  </r>
  <r>
    <s v="CP40"/>
    <s v="40410"/>
    <n v="1"/>
    <x v="0"/>
    <x v="0"/>
    <x v="0"/>
    <x v="1"/>
    <x v="1"/>
  </r>
  <r>
    <s v="CP40"/>
    <s v="40415"/>
    <n v="1"/>
    <x v="0"/>
    <x v="0"/>
    <x v="0"/>
    <x v="1"/>
    <x v="1"/>
  </r>
  <r>
    <s v="CP40"/>
    <s v="40420"/>
    <n v="1"/>
    <x v="0"/>
    <x v="0"/>
    <x v="0"/>
    <x v="1"/>
    <x v="1"/>
  </r>
  <r>
    <s v="CP40"/>
    <s v="40425"/>
    <n v="1"/>
    <x v="0"/>
    <x v="0"/>
    <x v="0"/>
    <x v="1"/>
    <x v="1"/>
  </r>
  <r>
    <s v="CP40"/>
    <s v="40430"/>
    <n v="1"/>
    <x v="0"/>
    <x v="0"/>
    <x v="0"/>
    <x v="1"/>
    <x v="1"/>
  </r>
  <r>
    <s v="CP40"/>
    <s v="40610"/>
    <n v="1"/>
    <x v="0"/>
    <x v="0"/>
    <x v="0"/>
    <x v="1"/>
    <x v="1"/>
  </r>
  <r>
    <s v="CP40"/>
    <s v="40615"/>
    <n v="1"/>
    <x v="0"/>
    <x v="0"/>
    <x v="0"/>
    <x v="1"/>
    <x v="1"/>
  </r>
  <r>
    <s v="CP40"/>
    <s v="40620"/>
    <n v="1"/>
    <x v="0"/>
    <x v="0"/>
    <x v="0"/>
    <x v="1"/>
    <x v="1"/>
  </r>
  <r>
    <s v="CP40"/>
    <s v="40625"/>
    <n v="1"/>
    <x v="0"/>
    <x v="0"/>
    <x v="0"/>
    <x v="1"/>
    <x v="1"/>
  </r>
  <r>
    <s v="CP40"/>
    <s v="40630"/>
    <n v="1"/>
    <x v="0"/>
    <x v="0"/>
    <x v="0"/>
    <x v="1"/>
    <x v="1"/>
  </r>
  <r>
    <s v="CP40"/>
    <s v="40703"/>
    <n v="1"/>
    <x v="0"/>
    <x v="0"/>
    <x v="0"/>
    <x v="1"/>
    <x v="1"/>
  </r>
  <r>
    <s v="CP40"/>
    <s v="40704"/>
    <n v="1"/>
    <x v="0"/>
    <x v="0"/>
    <x v="0"/>
    <x v="1"/>
    <x v="1"/>
  </r>
  <r>
    <s v="CP40"/>
    <s v="40705"/>
    <n v="1"/>
    <x v="0"/>
    <x v="0"/>
    <x v="0"/>
    <x v="1"/>
    <x v="1"/>
  </r>
  <r>
    <s v="CP40"/>
    <s v="40706"/>
    <n v="1"/>
    <x v="0"/>
    <x v="0"/>
    <x v="0"/>
    <x v="1"/>
    <x v="1"/>
  </r>
  <r>
    <s v="CP40"/>
    <s v="40707"/>
    <n v="1"/>
    <x v="0"/>
    <x v="0"/>
    <x v="0"/>
    <x v="1"/>
    <x v="1"/>
  </r>
  <r>
    <s v="CP40"/>
    <s v="40708"/>
    <n v="1"/>
    <x v="0"/>
    <x v="0"/>
    <x v="0"/>
    <x v="1"/>
    <x v="1"/>
  </r>
  <r>
    <s v="CP40"/>
    <s v="40709"/>
    <n v="1"/>
    <x v="0"/>
    <x v="0"/>
    <x v="0"/>
    <x v="1"/>
    <x v="1"/>
  </r>
  <r>
    <s v="CP40"/>
    <s v="40710"/>
    <n v="1"/>
    <x v="0"/>
    <x v="0"/>
    <x v="0"/>
    <x v="1"/>
    <x v="1"/>
  </r>
  <r>
    <s v="CP40"/>
    <s v="40711"/>
    <n v="1"/>
    <x v="0"/>
    <x v="0"/>
    <x v="0"/>
    <x v="1"/>
    <x v="1"/>
  </r>
  <r>
    <s v="CP40"/>
    <s v="40712"/>
    <n v="1"/>
    <x v="0"/>
    <x v="0"/>
    <x v="0"/>
    <x v="1"/>
    <x v="1"/>
  </r>
  <r>
    <s v="CP40"/>
    <s v="40713"/>
    <n v="1"/>
    <x v="0"/>
    <x v="0"/>
    <x v="0"/>
    <x v="1"/>
    <x v="1"/>
  </r>
  <r>
    <s v="CP40"/>
    <s v="40714"/>
    <n v="1"/>
    <x v="0"/>
    <x v="0"/>
    <x v="0"/>
    <x v="1"/>
    <x v="1"/>
  </r>
  <r>
    <s v="CP40"/>
    <s v="40715"/>
    <n v="1"/>
    <x v="0"/>
    <x v="0"/>
    <x v="0"/>
    <x v="1"/>
    <x v="1"/>
  </r>
  <r>
    <s v="CP40"/>
    <s v="40716"/>
    <n v="1"/>
    <x v="0"/>
    <x v="0"/>
    <x v="0"/>
    <x v="1"/>
    <x v="1"/>
  </r>
  <r>
    <s v="CP40"/>
    <s v="40717"/>
    <n v="1"/>
    <x v="0"/>
    <x v="0"/>
    <x v="0"/>
    <x v="1"/>
    <x v="1"/>
  </r>
  <r>
    <s v="CP40"/>
    <s v="40718"/>
    <n v="1"/>
    <x v="0"/>
    <x v="0"/>
    <x v="0"/>
    <x v="1"/>
    <x v="1"/>
  </r>
  <r>
    <s v="CP40"/>
    <s v="40719"/>
    <n v="1"/>
    <x v="0"/>
    <x v="0"/>
    <x v="0"/>
    <x v="1"/>
    <x v="1"/>
  </r>
  <r>
    <s v="CP40"/>
    <s v="40720"/>
    <n v="1"/>
    <x v="0"/>
    <x v="0"/>
    <x v="0"/>
    <x v="1"/>
    <x v="1"/>
  </r>
  <r>
    <s v="CP40"/>
    <s v="40721"/>
    <n v="1"/>
    <x v="0"/>
    <x v="0"/>
    <x v="0"/>
    <x v="1"/>
    <x v="1"/>
  </r>
  <r>
    <s v="CP40"/>
    <s v="40722"/>
    <n v="1"/>
    <x v="0"/>
    <x v="0"/>
    <x v="0"/>
    <x v="1"/>
    <x v="1"/>
  </r>
  <r>
    <s v="CP40"/>
    <s v="40723"/>
    <n v="1"/>
    <x v="0"/>
    <x v="0"/>
    <x v="0"/>
    <x v="1"/>
    <x v="1"/>
  </r>
  <r>
    <s v="CP40"/>
    <s v="40724"/>
    <n v="1"/>
    <x v="0"/>
    <x v="0"/>
    <x v="0"/>
    <x v="1"/>
    <x v="1"/>
  </r>
  <r>
    <s v="CP40"/>
    <s v="40725"/>
    <n v="1"/>
    <x v="0"/>
    <x v="0"/>
    <x v="0"/>
    <x v="1"/>
    <x v="1"/>
  </r>
  <r>
    <s v="CP40"/>
    <s v="40726"/>
    <n v="1"/>
    <x v="0"/>
    <x v="0"/>
    <x v="0"/>
    <x v="1"/>
    <x v="1"/>
  </r>
  <r>
    <s v="CP40"/>
    <s v="40727"/>
    <n v="1"/>
    <x v="0"/>
    <x v="0"/>
    <x v="0"/>
    <x v="1"/>
    <x v="1"/>
  </r>
  <r>
    <s v="CP40"/>
    <s v="40728"/>
    <n v="1"/>
    <x v="0"/>
    <x v="0"/>
    <x v="0"/>
    <x v="1"/>
    <x v="1"/>
  </r>
  <r>
    <s v="CP40"/>
    <s v="40729"/>
    <n v="1"/>
    <x v="0"/>
    <x v="0"/>
    <x v="0"/>
    <x v="1"/>
    <x v="1"/>
  </r>
  <r>
    <s v="CP40"/>
    <s v="40730"/>
    <n v="1"/>
    <x v="0"/>
    <x v="0"/>
    <x v="0"/>
    <x v="1"/>
    <x v="1"/>
  </r>
  <r>
    <s v="CP40"/>
    <s v="40731"/>
    <n v="1"/>
    <x v="0"/>
    <x v="0"/>
    <x v="0"/>
    <x v="1"/>
    <x v="1"/>
  </r>
  <r>
    <s v="CP40"/>
    <s v="40732"/>
    <n v="1"/>
    <x v="0"/>
    <x v="0"/>
    <x v="0"/>
    <x v="1"/>
    <x v="1"/>
  </r>
  <r>
    <s v="CP40"/>
    <s v="40733"/>
    <n v="1"/>
    <x v="0"/>
    <x v="0"/>
    <x v="0"/>
    <x v="1"/>
    <x v="1"/>
  </r>
  <r>
    <s v="CP40"/>
    <s v="40734"/>
    <n v="1"/>
    <x v="0"/>
    <x v="0"/>
    <x v="0"/>
    <x v="1"/>
    <x v="1"/>
  </r>
  <r>
    <s v="CP40"/>
    <s v="40735"/>
    <n v="1"/>
    <x v="0"/>
    <x v="0"/>
    <x v="0"/>
    <x v="1"/>
    <x v="1"/>
  </r>
  <r>
    <s v="CP40"/>
    <s v="40736"/>
    <n v="1"/>
    <x v="0"/>
    <x v="0"/>
    <x v="0"/>
    <x v="1"/>
    <x v="1"/>
  </r>
  <r>
    <s v="CP40"/>
    <s v="40737"/>
    <n v="1"/>
    <x v="0"/>
    <x v="0"/>
    <x v="0"/>
    <x v="1"/>
    <x v="1"/>
  </r>
  <r>
    <s v="CP40"/>
    <s v="40738"/>
    <n v="1"/>
    <x v="0"/>
    <x v="0"/>
    <x v="0"/>
    <x v="1"/>
    <x v="1"/>
  </r>
  <r>
    <s v="CP40"/>
    <s v="40739"/>
    <n v="1"/>
    <x v="0"/>
    <x v="0"/>
    <x v="0"/>
    <x v="1"/>
    <x v="1"/>
  </r>
  <r>
    <s v="CP40"/>
    <s v="40740"/>
    <n v="1"/>
    <x v="0"/>
    <x v="0"/>
    <x v="0"/>
    <x v="1"/>
    <x v="1"/>
  </r>
  <r>
    <s v="CP40"/>
    <s v="40741"/>
    <n v="1"/>
    <x v="0"/>
    <x v="0"/>
    <x v="0"/>
    <x v="1"/>
    <x v="1"/>
  </r>
  <r>
    <s v="CP40"/>
    <s v="40742"/>
    <n v="1"/>
    <x v="0"/>
    <x v="0"/>
    <x v="0"/>
    <x v="1"/>
    <x v="1"/>
  </r>
  <r>
    <s v="CP40"/>
    <s v="40743"/>
    <n v="1"/>
    <x v="0"/>
    <x v="0"/>
    <x v="0"/>
    <x v="1"/>
    <x v="1"/>
  </r>
  <r>
    <s v="CP40"/>
    <s v="40744"/>
    <n v="1"/>
    <x v="0"/>
    <x v="0"/>
    <x v="0"/>
    <x v="1"/>
    <x v="1"/>
  </r>
  <r>
    <s v="CP40"/>
    <s v="40745"/>
    <n v="1"/>
    <x v="0"/>
    <x v="0"/>
    <x v="0"/>
    <x v="1"/>
    <x v="1"/>
  </r>
  <r>
    <s v="CP40"/>
    <s v="40746"/>
    <n v="1"/>
    <x v="0"/>
    <x v="0"/>
    <x v="0"/>
    <x v="1"/>
    <x v="1"/>
  </r>
  <r>
    <s v="CP40"/>
    <s v="40747"/>
    <n v="1"/>
    <x v="0"/>
    <x v="0"/>
    <x v="0"/>
    <x v="1"/>
    <x v="1"/>
  </r>
  <r>
    <s v="CP40"/>
    <s v="40748"/>
    <n v="1"/>
    <x v="0"/>
    <x v="0"/>
    <x v="0"/>
    <x v="1"/>
    <x v="1"/>
  </r>
  <r>
    <s v="CP40"/>
    <s v="40749"/>
    <n v="1"/>
    <x v="0"/>
    <x v="0"/>
    <x v="0"/>
    <x v="1"/>
    <x v="1"/>
  </r>
  <r>
    <s v="CP40"/>
    <s v="40750"/>
    <n v="1"/>
    <x v="0"/>
    <x v="0"/>
    <x v="0"/>
    <x v="1"/>
    <x v="1"/>
  </r>
  <r>
    <s v="CP40"/>
    <s v="40751"/>
    <n v="1"/>
    <x v="0"/>
    <x v="0"/>
    <x v="0"/>
    <x v="1"/>
    <x v="1"/>
  </r>
  <r>
    <s v="CP40"/>
    <s v="40752"/>
    <n v="1"/>
    <x v="0"/>
    <x v="0"/>
    <x v="0"/>
    <x v="1"/>
    <x v="1"/>
  </r>
  <r>
    <s v="CP40"/>
    <s v="40753"/>
    <n v="1"/>
    <x v="0"/>
    <x v="0"/>
    <x v="0"/>
    <x v="1"/>
    <x v="1"/>
  </r>
  <r>
    <s v="CP40"/>
    <s v="40754"/>
    <n v="1"/>
    <x v="0"/>
    <x v="0"/>
    <x v="0"/>
    <x v="1"/>
    <x v="1"/>
  </r>
  <r>
    <s v="CP40"/>
    <s v="40755"/>
    <n v="1"/>
    <x v="0"/>
    <x v="0"/>
    <x v="0"/>
    <x v="1"/>
    <x v="1"/>
  </r>
  <r>
    <s v="CP40"/>
    <s v="40756"/>
    <n v="1"/>
    <x v="0"/>
    <x v="0"/>
    <x v="0"/>
    <x v="1"/>
    <x v="1"/>
  </r>
  <r>
    <s v="CP40"/>
    <s v="40757"/>
    <n v="1"/>
    <x v="0"/>
    <x v="0"/>
    <x v="0"/>
    <x v="1"/>
    <x v="1"/>
  </r>
  <r>
    <s v="CP40"/>
    <s v="40758"/>
    <n v="1"/>
    <x v="0"/>
    <x v="0"/>
    <x v="0"/>
    <x v="1"/>
    <x v="1"/>
  </r>
  <r>
    <s v="CP40"/>
    <s v="40759"/>
    <n v="1"/>
    <x v="0"/>
    <x v="0"/>
    <x v="0"/>
    <x v="1"/>
    <x v="1"/>
  </r>
  <r>
    <s v="CP40"/>
    <s v="40760"/>
    <n v="1"/>
    <x v="0"/>
    <x v="0"/>
    <x v="0"/>
    <x v="1"/>
    <x v="1"/>
  </r>
  <r>
    <s v="CP40"/>
    <s v="40761"/>
    <n v="1"/>
    <x v="0"/>
    <x v="0"/>
    <x v="0"/>
    <x v="1"/>
    <x v="1"/>
  </r>
  <r>
    <s v="CP40"/>
    <s v="40762"/>
    <n v="1"/>
    <x v="0"/>
    <x v="0"/>
    <x v="0"/>
    <x v="1"/>
    <x v="1"/>
  </r>
  <r>
    <s v="CP40"/>
    <s v="40763"/>
    <n v="1"/>
    <x v="0"/>
    <x v="0"/>
    <x v="0"/>
    <x v="1"/>
    <x v="1"/>
  </r>
  <r>
    <s v="CP40"/>
    <s v="40764"/>
    <n v="1"/>
    <x v="0"/>
    <x v="0"/>
    <x v="0"/>
    <x v="1"/>
    <x v="1"/>
  </r>
  <r>
    <s v="CP40"/>
    <s v="40765"/>
    <n v="1"/>
    <x v="0"/>
    <x v="0"/>
    <x v="0"/>
    <x v="1"/>
    <x v="1"/>
  </r>
  <r>
    <s v="CP40"/>
    <s v="40766"/>
    <n v="1"/>
    <x v="0"/>
    <x v="0"/>
    <x v="0"/>
    <x v="1"/>
    <x v="1"/>
  </r>
  <r>
    <s v="CP40"/>
    <s v="40767"/>
    <n v="1"/>
    <x v="0"/>
    <x v="0"/>
    <x v="0"/>
    <x v="1"/>
    <x v="1"/>
  </r>
  <r>
    <s v="CP40"/>
    <s v="40769"/>
    <n v="1"/>
    <x v="0"/>
    <x v="0"/>
    <x v="0"/>
    <x v="1"/>
    <x v="1"/>
  </r>
  <r>
    <s v="CP40"/>
    <s v="40770"/>
    <n v="1"/>
    <x v="0"/>
    <x v="0"/>
    <x v="0"/>
    <x v="1"/>
    <x v="1"/>
  </r>
  <r>
    <s v="CP40"/>
    <s v="40771"/>
    <n v="1"/>
    <x v="0"/>
    <x v="0"/>
    <x v="0"/>
    <x v="1"/>
    <x v="1"/>
  </r>
  <r>
    <s v="CP40"/>
    <s v="40772"/>
    <n v="1"/>
    <x v="0"/>
    <x v="0"/>
    <x v="0"/>
    <x v="1"/>
    <x v="1"/>
  </r>
  <r>
    <s v="CP40"/>
    <s v="40905"/>
    <n v="1"/>
    <x v="0"/>
    <x v="0"/>
    <x v="0"/>
    <x v="1"/>
    <x v="1"/>
  </r>
  <r>
    <s v="CP40"/>
    <s v="40910"/>
    <n v="1"/>
    <x v="0"/>
    <x v="0"/>
    <x v="0"/>
    <x v="1"/>
    <x v="1"/>
  </r>
  <r>
    <s v="CP40"/>
    <s v="40915"/>
    <n v="1"/>
    <x v="0"/>
    <x v="0"/>
    <x v="0"/>
    <x v="1"/>
    <x v="1"/>
  </r>
  <r>
    <s v="CP40"/>
    <s v="40920"/>
    <n v="1"/>
    <x v="0"/>
    <x v="0"/>
    <x v="0"/>
    <x v="1"/>
    <x v="1"/>
  </r>
  <r>
    <s v="CP40"/>
    <s v="40925"/>
    <n v="1"/>
    <x v="0"/>
    <x v="0"/>
    <x v="0"/>
    <x v="1"/>
    <x v="1"/>
  </r>
  <r>
    <s v="CP40"/>
    <s v="40930"/>
    <n v="1"/>
    <x v="0"/>
    <x v="0"/>
    <x v="0"/>
    <x v="1"/>
    <x v="1"/>
  </r>
  <r>
    <s v="CP40"/>
    <s v="40255"/>
    <n v="1"/>
    <x v="1"/>
    <x v="1"/>
    <x v="1"/>
    <x v="0"/>
    <x v="0"/>
  </r>
  <r>
    <s v="CP40"/>
    <s v="40355"/>
    <n v="1"/>
    <x v="1"/>
    <x v="1"/>
    <x v="1"/>
    <x v="0"/>
    <x v="0"/>
  </r>
  <r>
    <s v="CP40"/>
    <s v="40230"/>
    <n v="198"/>
    <x v="1"/>
    <x v="1"/>
    <x v="1"/>
    <x v="0"/>
    <x v="0"/>
  </r>
  <r>
    <s v="CP40"/>
    <s v="40330"/>
    <n v="198"/>
    <x v="1"/>
    <x v="1"/>
    <x v="1"/>
    <x v="0"/>
    <x v="0"/>
  </r>
  <r>
    <s v="CP40"/>
    <s v="40405"/>
    <n v="1"/>
    <x v="1"/>
    <x v="1"/>
    <x v="1"/>
    <x v="0"/>
    <x v="0"/>
  </r>
  <r>
    <s v="CP40"/>
    <s v="40605"/>
    <n v="1"/>
    <x v="1"/>
    <x v="1"/>
    <x v="1"/>
    <x v="1"/>
    <x v="1"/>
  </r>
  <r>
    <s v="CP40"/>
    <s v="40005"/>
    <n v="1"/>
    <x v="1"/>
    <x v="1"/>
    <x v="1"/>
    <x v="1"/>
    <x v="1"/>
  </r>
  <r>
    <s v="CP40"/>
    <s v="40010"/>
    <n v="1"/>
    <x v="1"/>
    <x v="1"/>
    <x v="1"/>
    <x v="1"/>
    <x v="1"/>
  </r>
  <r>
    <s v="CP40"/>
    <s v="40015"/>
    <n v="1"/>
    <x v="1"/>
    <x v="1"/>
    <x v="1"/>
    <x v="1"/>
    <x v="1"/>
  </r>
  <r>
    <s v="CP40"/>
    <s v="40020"/>
    <n v="1"/>
    <x v="1"/>
    <x v="1"/>
    <x v="1"/>
    <x v="1"/>
    <x v="1"/>
  </r>
  <r>
    <s v="CP40"/>
    <s v="40025"/>
    <n v="1"/>
    <x v="1"/>
    <x v="1"/>
    <x v="1"/>
    <x v="1"/>
    <x v="1"/>
  </r>
  <r>
    <s v="CP40"/>
    <s v="40030"/>
    <n v="1"/>
    <x v="1"/>
    <x v="1"/>
    <x v="1"/>
    <x v="1"/>
    <x v="1"/>
  </r>
  <r>
    <s v="CP40"/>
    <s v="40105"/>
    <n v="1"/>
    <x v="1"/>
    <x v="1"/>
    <x v="1"/>
    <x v="1"/>
    <x v="1"/>
  </r>
  <r>
    <s v="CP40"/>
    <s v="40110"/>
    <n v="1"/>
    <x v="1"/>
    <x v="1"/>
    <x v="1"/>
    <x v="1"/>
    <x v="1"/>
  </r>
  <r>
    <s v="CP40"/>
    <s v="40115"/>
    <n v="1"/>
    <x v="1"/>
    <x v="1"/>
    <x v="1"/>
    <x v="1"/>
    <x v="1"/>
  </r>
  <r>
    <s v="CP40"/>
    <s v="40120"/>
    <n v="1"/>
    <x v="1"/>
    <x v="1"/>
    <x v="1"/>
    <x v="1"/>
    <x v="1"/>
  </r>
  <r>
    <s v="CP40"/>
    <s v="40125"/>
    <n v="1"/>
    <x v="1"/>
    <x v="1"/>
    <x v="1"/>
    <x v="1"/>
    <x v="1"/>
  </r>
  <r>
    <s v="CP40"/>
    <s v="40130"/>
    <n v="1"/>
    <x v="1"/>
    <x v="1"/>
    <x v="1"/>
    <x v="1"/>
    <x v="1"/>
  </r>
  <r>
    <s v="CP40"/>
    <s v="40205"/>
    <n v="1"/>
    <x v="1"/>
    <x v="1"/>
    <x v="1"/>
    <x v="1"/>
    <x v="1"/>
  </r>
  <r>
    <s v="CP40"/>
    <s v="40210"/>
    <n v="1"/>
    <x v="1"/>
    <x v="1"/>
    <x v="1"/>
    <x v="1"/>
    <x v="1"/>
  </r>
  <r>
    <s v="CP40"/>
    <s v="40215"/>
    <n v="1"/>
    <x v="1"/>
    <x v="1"/>
    <x v="1"/>
    <x v="1"/>
    <x v="1"/>
  </r>
  <r>
    <s v="CP40"/>
    <s v="40220"/>
    <n v="1"/>
    <x v="1"/>
    <x v="1"/>
    <x v="1"/>
    <x v="1"/>
    <x v="1"/>
  </r>
  <r>
    <s v="CP40"/>
    <s v="40225"/>
    <n v="1"/>
    <x v="1"/>
    <x v="1"/>
    <x v="1"/>
    <x v="1"/>
    <x v="1"/>
  </r>
  <r>
    <s v="CP40"/>
    <s v="40235"/>
    <n v="1"/>
    <x v="1"/>
    <x v="1"/>
    <x v="1"/>
    <x v="1"/>
    <x v="1"/>
  </r>
  <r>
    <s v="CP40"/>
    <s v="40245"/>
    <n v="1"/>
    <x v="1"/>
    <x v="1"/>
    <x v="1"/>
    <x v="1"/>
    <x v="1"/>
  </r>
  <r>
    <s v="CP40"/>
    <s v="40248"/>
    <n v="1"/>
    <x v="1"/>
    <x v="1"/>
    <x v="1"/>
    <x v="1"/>
    <x v="1"/>
  </r>
  <r>
    <s v="CP40"/>
    <s v="40250"/>
    <n v="1"/>
    <x v="1"/>
    <x v="1"/>
    <x v="1"/>
    <x v="1"/>
    <x v="1"/>
  </r>
  <r>
    <s v="CP40"/>
    <s v="40305"/>
    <n v="1"/>
    <x v="1"/>
    <x v="1"/>
    <x v="1"/>
    <x v="1"/>
    <x v="1"/>
  </r>
  <r>
    <s v="CP40"/>
    <s v="40310"/>
    <n v="1"/>
    <x v="1"/>
    <x v="1"/>
    <x v="1"/>
    <x v="1"/>
    <x v="1"/>
  </r>
  <r>
    <s v="CP40"/>
    <s v="40312"/>
    <n v="1"/>
    <x v="1"/>
    <x v="1"/>
    <x v="1"/>
    <x v="1"/>
    <x v="1"/>
  </r>
  <r>
    <s v="CP40"/>
    <s v="40314"/>
    <n v="1"/>
    <x v="1"/>
    <x v="1"/>
    <x v="1"/>
    <x v="1"/>
    <x v="1"/>
  </r>
  <r>
    <s v="CP40"/>
    <s v="40316"/>
    <n v="1"/>
    <x v="1"/>
    <x v="2"/>
    <x v="2"/>
    <x v="1"/>
    <x v="1"/>
  </r>
  <r>
    <s v="CP40"/>
    <s v="40318"/>
    <n v="1"/>
    <x v="1"/>
    <x v="2"/>
    <x v="2"/>
    <x v="1"/>
    <x v="1"/>
  </r>
  <r>
    <s v="CP40"/>
    <s v="40320"/>
    <n v="1"/>
    <x v="1"/>
    <x v="2"/>
    <x v="2"/>
    <x v="1"/>
    <x v="1"/>
  </r>
  <r>
    <s v="CP40"/>
    <s v="40325"/>
    <s v="`"/>
    <x v="1"/>
    <x v="2"/>
    <x v="2"/>
    <x v="1"/>
    <x v="1"/>
  </r>
  <r>
    <s v="CP40"/>
    <s v="40335"/>
    <n v="1"/>
    <x v="1"/>
    <x v="2"/>
    <x v="2"/>
    <x v="1"/>
    <x v="1"/>
  </r>
  <r>
    <s v="CP40"/>
    <s v="40345"/>
    <n v="1"/>
    <x v="1"/>
    <x v="2"/>
    <x v="2"/>
    <x v="1"/>
    <x v="1"/>
  </r>
  <r>
    <s v="CP40"/>
    <s v="40348"/>
    <n v="1"/>
    <x v="1"/>
    <x v="2"/>
    <x v="2"/>
    <x v="1"/>
    <x v="1"/>
  </r>
  <r>
    <s v="CP40"/>
    <s v="40350"/>
    <n v="1"/>
    <x v="1"/>
    <x v="2"/>
    <x v="2"/>
    <x v="1"/>
    <x v="1"/>
  </r>
  <r>
    <s v="CP40"/>
    <s v="40410"/>
    <n v="1"/>
    <x v="1"/>
    <x v="2"/>
    <x v="2"/>
    <x v="1"/>
    <x v="1"/>
  </r>
  <r>
    <s v="CP40"/>
    <s v="40415"/>
    <n v="1"/>
    <x v="1"/>
    <x v="2"/>
    <x v="2"/>
    <x v="1"/>
    <x v="1"/>
  </r>
  <r>
    <s v="CP40"/>
    <s v="40420"/>
    <n v="1"/>
    <x v="1"/>
    <x v="2"/>
    <x v="2"/>
    <x v="1"/>
    <x v="1"/>
  </r>
  <r>
    <s v="CP40"/>
    <s v="40425"/>
    <n v="1"/>
    <x v="1"/>
    <x v="2"/>
    <x v="2"/>
    <x v="1"/>
    <x v="1"/>
  </r>
  <r>
    <s v="CP40"/>
    <s v="40430"/>
    <n v="1"/>
    <x v="1"/>
    <x v="2"/>
    <x v="2"/>
    <x v="1"/>
    <x v="1"/>
  </r>
  <r>
    <s v="CP40"/>
    <s v="40610"/>
    <n v="1"/>
    <x v="1"/>
    <x v="2"/>
    <x v="2"/>
    <x v="1"/>
    <x v="1"/>
  </r>
  <r>
    <s v="CP40"/>
    <s v="40615"/>
    <n v="1"/>
    <x v="1"/>
    <x v="2"/>
    <x v="2"/>
    <x v="1"/>
    <x v="1"/>
  </r>
  <r>
    <s v="CP40"/>
    <s v="40620"/>
    <n v="1"/>
    <x v="1"/>
    <x v="2"/>
    <x v="2"/>
    <x v="1"/>
    <x v="1"/>
  </r>
  <r>
    <s v="CP40"/>
    <s v="40625"/>
    <n v="1"/>
    <x v="1"/>
    <x v="2"/>
    <x v="2"/>
    <x v="1"/>
    <x v="1"/>
  </r>
  <r>
    <s v="CP40"/>
    <s v="40630"/>
    <n v="1"/>
    <x v="1"/>
    <x v="2"/>
    <x v="2"/>
    <x v="1"/>
    <x v="1"/>
  </r>
  <r>
    <s v="CP40"/>
    <s v="40703"/>
    <n v="1"/>
    <x v="1"/>
    <x v="2"/>
    <x v="2"/>
    <x v="1"/>
    <x v="1"/>
  </r>
  <r>
    <s v="CP40"/>
    <s v="40704"/>
    <n v="1"/>
    <x v="1"/>
    <x v="2"/>
    <x v="2"/>
    <x v="1"/>
    <x v="1"/>
  </r>
  <r>
    <s v="CP40"/>
    <s v="40705"/>
    <n v="1"/>
    <x v="1"/>
    <x v="2"/>
    <x v="2"/>
    <x v="1"/>
    <x v="1"/>
  </r>
  <r>
    <s v="CP40"/>
    <s v="40706"/>
    <n v="1"/>
    <x v="1"/>
    <x v="2"/>
    <x v="2"/>
    <x v="1"/>
    <x v="1"/>
  </r>
  <r>
    <s v="CP40"/>
    <s v="40707"/>
    <n v="1"/>
    <x v="1"/>
    <x v="2"/>
    <x v="2"/>
    <x v="1"/>
    <x v="1"/>
  </r>
  <r>
    <s v="CP40"/>
    <s v="40708"/>
    <n v="1"/>
    <x v="1"/>
    <x v="2"/>
    <x v="2"/>
    <x v="1"/>
    <x v="1"/>
  </r>
  <r>
    <s v="CP40"/>
    <s v="40709"/>
    <n v="1"/>
    <x v="1"/>
    <x v="2"/>
    <x v="2"/>
    <x v="1"/>
    <x v="1"/>
  </r>
  <r>
    <s v="CP40"/>
    <s v="40710"/>
    <n v="1"/>
    <x v="1"/>
    <x v="2"/>
    <x v="2"/>
    <x v="1"/>
    <x v="1"/>
  </r>
  <r>
    <s v="CP40"/>
    <s v="40711"/>
    <n v="1"/>
    <x v="1"/>
    <x v="2"/>
    <x v="2"/>
    <x v="1"/>
    <x v="1"/>
  </r>
  <r>
    <s v="CP40"/>
    <s v="40712"/>
    <n v="1"/>
    <x v="1"/>
    <x v="2"/>
    <x v="2"/>
    <x v="1"/>
    <x v="1"/>
  </r>
  <r>
    <s v="CP40"/>
    <s v="40713"/>
    <n v="1"/>
    <x v="1"/>
    <x v="2"/>
    <x v="2"/>
    <x v="1"/>
    <x v="1"/>
  </r>
  <r>
    <s v="CP40"/>
    <s v="40714"/>
    <n v="1"/>
    <x v="1"/>
    <x v="2"/>
    <x v="2"/>
    <x v="1"/>
    <x v="1"/>
  </r>
  <r>
    <s v="CP40"/>
    <s v="40715"/>
    <n v="1"/>
    <x v="1"/>
    <x v="2"/>
    <x v="2"/>
    <x v="1"/>
    <x v="1"/>
  </r>
  <r>
    <s v="CP40"/>
    <s v="40716"/>
    <n v="1"/>
    <x v="1"/>
    <x v="3"/>
    <x v="3"/>
    <x v="1"/>
    <x v="1"/>
  </r>
  <r>
    <s v="CP40"/>
    <s v="40717"/>
    <n v="1"/>
    <x v="1"/>
    <x v="3"/>
    <x v="3"/>
    <x v="1"/>
    <x v="1"/>
  </r>
  <r>
    <s v="CP40"/>
    <s v="40718"/>
    <n v="1"/>
    <x v="1"/>
    <x v="3"/>
    <x v="3"/>
    <x v="1"/>
    <x v="1"/>
  </r>
  <r>
    <s v="CP40"/>
    <s v="40719"/>
    <n v="1"/>
    <x v="1"/>
    <x v="3"/>
    <x v="3"/>
    <x v="1"/>
    <x v="1"/>
  </r>
  <r>
    <s v="CP40"/>
    <s v="40720"/>
    <n v="1"/>
    <x v="1"/>
    <x v="3"/>
    <x v="3"/>
    <x v="1"/>
    <x v="1"/>
  </r>
  <r>
    <s v="CP40"/>
    <s v="40721"/>
    <n v="1"/>
    <x v="1"/>
    <x v="3"/>
    <x v="3"/>
    <x v="1"/>
    <x v="1"/>
  </r>
  <r>
    <s v="CP40"/>
    <s v="40722"/>
    <n v="1"/>
    <x v="1"/>
    <x v="3"/>
    <x v="3"/>
    <x v="1"/>
    <x v="1"/>
  </r>
  <r>
    <s v="CP40"/>
    <s v="40723"/>
    <n v="1"/>
    <x v="1"/>
    <x v="3"/>
    <x v="3"/>
    <x v="1"/>
    <x v="1"/>
  </r>
  <r>
    <s v="CP40"/>
    <s v="40724"/>
    <n v="1"/>
    <x v="1"/>
    <x v="3"/>
    <x v="3"/>
    <x v="1"/>
    <x v="1"/>
  </r>
  <r>
    <s v="CP40"/>
    <s v="40725"/>
    <n v="1"/>
    <x v="1"/>
    <x v="3"/>
    <x v="3"/>
    <x v="1"/>
    <x v="1"/>
  </r>
  <r>
    <s v="CP40"/>
    <s v="40726"/>
    <n v="1"/>
    <x v="1"/>
    <x v="3"/>
    <x v="3"/>
    <x v="1"/>
    <x v="1"/>
  </r>
  <r>
    <s v="CP40"/>
    <s v="40727"/>
    <n v="1"/>
    <x v="1"/>
    <x v="3"/>
    <x v="3"/>
    <x v="1"/>
    <x v="1"/>
  </r>
  <r>
    <s v="CP40"/>
    <s v="40728"/>
    <n v="1"/>
    <x v="1"/>
    <x v="3"/>
    <x v="3"/>
    <x v="1"/>
    <x v="1"/>
  </r>
  <r>
    <s v="CP40"/>
    <s v="40729"/>
    <n v="1"/>
    <x v="1"/>
    <x v="3"/>
    <x v="3"/>
    <x v="1"/>
    <x v="1"/>
  </r>
  <r>
    <s v="CP40"/>
    <s v="40730"/>
    <n v="1"/>
    <x v="1"/>
    <x v="3"/>
    <x v="3"/>
    <x v="1"/>
    <x v="1"/>
  </r>
  <r>
    <s v="CP40"/>
    <s v="40731"/>
    <n v="1"/>
    <x v="1"/>
    <x v="3"/>
    <x v="3"/>
    <x v="1"/>
    <x v="1"/>
  </r>
  <r>
    <s v="CP40"/>
    <s v="40732"/>
    <n v="1"/>
    <x v="1"/>
    <x v="3"/>
    <x v="3"/>
    <x v="1"/>
    <x v="1"/>
  </r>
  <r>
    <s v="CP40"/>
    <s v="40733"/>
    <n v="1"/>
    <x v="1"/>
    <x v="3"/>
    <x v="3"/>
    <x v="1"/>
    <x v="1"/>
  </r>
  <r>
    <s v="CP40"/>
    <s v="40734"/>
    <n v="1"/>
    <x v="1"/>
    <x v="3"/>
    <x v="3"/>
    <x v="1"/>
    <x v="1"/>
  </r>
  <r>
    <s v="CP40"/>
    <s v="40735"/>
    <n v="1"/>
    <x v="1"/>
    <x v="3"/>
    <x v="3"/>
    <x v="1"/>
    <x v="1"/>
  </r>
  <r>
    <s v="CP40"/>
    <s v="40736"/>
    <n v="1"/>
    <x v="1"/>
    <x v="3"/>
    <x v="3"/>
    <x v="1"/>
    <x v="1"/>
  </r>
  <r>
    <s v="CP40"/>
    <s v="40737"/>
    <n v="1"/>
    <x v="1"/>
    <x v="3"/>
    <x v="3"/>
    <x v="1"/>
    <x v="1"/>
  </r>
  <r>
    <s v="CP40"/>
    <s v="40738"/>
    <n v="1"/>
    <x v="1"/>
    <x v="3"/>
    <x v="3"/>
    <x v="1"/>
    <x v="1"/>
  </r>
  <r>
    <s v="CP40"/>
    <s v="40739"/>
    <n v="1"/>
    <x v="1"/>
    <x v="3"/>
    <x v="3"/>
    <x v="1"/>
    <x v="1"/>
  </r>
  <r>
    <s v="CP40"/>
    <s v="40740"/>
    <n v="1"/>
    <x v="1"/>
    <x v="3"/>
    <x v="3"/>
    <x v="1"/>
    <x v="1"/>
  </r>
  <r>
    <s v="CP40"/>
    <s v="40741"/>
    <n v="1"/>
    <x v="1"/>
    <x v="3"/>
    <x v="3"/>
    <x v="1"/>
    <x v="1"/>
  </r>
  <r>
    <s v="CP40"/>
    <s v="40742"/>
    <n v="1"/>
    <x v="1"/>
    <x v="3"/>
    <x v="3"/>
    <x v="1"/>
    <x v="1"/>
  </r>
  <r>
    <s v="CP40"/>
    <s v="40743"/>
    <n v="1"/>
    <x v="1"/>
    <x v="3"/>
    <x v="3"/>
    <x v="1"/>
    <x v="1"/>
  </r>
  <r>
    <s v="CP40"/>
    <s v="40744"/>
    <n v="1"/>
    <x v="1"/>
    <x v="3"/>
    <x v="3"/>
    <x v="1"/>
    <x v="1"/>
  </r>
  <r>
    <s v="CP40"/>
    <s v="40745"/>
    <n v="1"/>
    <x v="1"/>
    <x v="3"/>
    <x v="3"/>
    <x v="1"/>
    <x v="1"/>
  </r>
  <r>
    <s v="CP40"/>
    <s v="40746"/>
    <n v="1"/>
    <x v="1"/>
    <x v="3"/>
    <x v="3"/>
    <x v="1"/>
    <x v="1"/>
  </r>
  <r>
    <s v="CP40"/>
    <s v="40747"/>
    <n v="1"/>
    <x v="1"/>
    <x v="4"/>
    <x v="4"/>
    <x v="1"/>
    <x v="1"/>
  </r>
  <r>
    <s v="CP40"/>
    <s v="40748"/>
    <n v="1"/>
    <x v="1"/>
    <x v="4"/>
    <x v="4"/>
    <x v="1"/>
    <x v="1"/>
  </r>
  <r>
    <s v="CP40"/>
    <s v="40749"/>
    <n v="1"/>
    <x v="1"/>
    <x v="4"/>
    <x v="4"/>
    <x v="1"/>
    <x v="1"/>
  </r>
  <r>
    <s v="CP40"/>
    <s v="40750"/>
    <n v="1"/>
    <x v="1"/>
    <x v="4"/>
    <x v="4"/>
    <x v="1"/>
    <x v="1"/>
  </r>
  <r>
    <s v="CP40"/>
    <s v="40751"/>
    <n v="1"/>
    <x v="1"/>
    <x v="4"/>
    <x v="4"/>
    <x v="1"/>
    <x v="1"/>
  </r>
  <r>
    <s v="CP40"/>
    <s v="40752"/>
    <n v="1"/>
    <x v="1"/>
    <x v="4"/>
    <x v="4"/>
    <x v="1"/>
    <x v="1"/>
  </r>
  <r>
    <s v="CP40"/>
    <s v="40753"/>
    <n v="1"/>
    <x v="1"/>
    <x v="4"/>
    <x v="4"/>
    <x v="1"/>
    <x v="1"/>
  </r>
  <r>
    <s v="CP40"/>
    <s v="40754"/>
    <n v="1"/>
    <x v="1"/>
    <x v="4"/>
    <x v="4"/>
    <x v="1"/>
    <x v="1"/>
  </r>
  <r>
    <s v="CP40"/>
    <s v="40755"/>
    <n v="1"/>
    <x v="1"/>
    <x v="4"/>
    <x v="4"/>
    <x v="1"/>
    <x v="1"/>
  </r>
  <r>
    <s v="CP40"/>
    <s v="40756"/>
    <n v="1"/>
    <x v="1"/>
    <x v="4"/>
    <x v="4"/>
    <x v="1"/>
    <x v="1"/>
  </r>
  <r>
    <s v="CP40"/>
    <s v="40757"/>
    <n v="1"/>
    <x v="1"/>
    <x v="4"/>
    <x v="4"/>
    <x v="1"/>
    <x v="1"/>
  </r>
  <r>
    <s v="CP40"/>
    <s v="40758"/>
    <n v="1"/>
    <x v="1"/>
    <x v="4"/>
    <x v="4"/>
    <x v="1"/>
    <x v="1"/>
  </r>
  <r>
    <s v="CP40"/>
    <s v="40759"/>
    <n v="1"/>
    <x v="1"/>
    <x v="4"/>
    <x v="4"/>
    <x v="1"/>
    <x v="1"/>
  </r>
  <r>
    <s v="CP40"/>
    <s v="40760"/>
    <n v="1"/>
    <x v="1"/>
    <x v="4"/>
    <x v="4"/>
    <x v="1"/>
    <x v="1"/>
  </r>
  <r>
    <s v="CP40"/>
    <s v="40761"/>
    <n v="1"/>
    <x v="1"/>
    <x v="4"/>
    <x v="4"/>
    <x v="1"/>
    <x v="1"/>
  </r>
  <r>
    <s v="CP40"/>
    <s v="40762"/>
    <n v="1"/>
    <x v="1"/>
    <x v="4"/>
    <x v="4"/>
    <x v="1"/>
    <x v="1"/>
  </r>
  <r>
    <s v="CP40"/>
    <s v="40763"/>
    <n v="1"/>
    <x v="1"/>
    <x v="4"/>
    <x v="4"/>
    <x v="1"/>
    <x v="1"/>
  </r>
  <r>
    <s v="CP40"/>
    <s v="40764"/>
    <n v="1"/>
    <x v="1"/>
    <x v="4"/>
    <x v="4"/>
    <x v="1"/>
    <x v="1"/>
  </r>
  <r>
    <s v="CP40"/>
    <s v="40765"/>
    <n v="1"/>
    <x v="1"/>
    <x v="4"/>
    <x v="4"/>
    <x v="1"/>
    <x v="1"/>
  </r>
  <r>
    <s v="CP40"/>
    <s v="40766"/>
    <n v="1"/>
    <x v="1"/>
    <x v="4"/>
    <x v="4"/>
    <x v="1"/>
    <x v="1"/>
  </r>
  <r>
    <s v="CP40"/>
    <s v="40767"/>
    <n v="1"/>
    <x v="1"/>
    <x v="4"/>
    <x v="4"/>
    <x v="1"/>
    <x v="1"/>
  </r>
  <r>
    <s v="CP40"/>
    <s v="40769"/>
    <n v="1"/>
    <x v="1"/>
    <x v="4"/>
    <x v="4"/>
    <x v="1"/>
    <x v="1"/>
  </r>
  <r>
    <s v="CP40"/>
    <s v="40770"/>
    <n v="1"/>
    <x v="1"/>
    <x v="4"/>
    <x v="4"/>
    <x v="1"/>
    <x v="1"/>
  </r>
  <r>
    <s v="CP40"/>
    <s v="40771"/>
    <n v="1"/>
    <x v="1"/>
    <x v="4"/>
    <x v="4"/>
    <x v="1"/>
    <x v="1"/>
  </r>
  <r>
    <s v="CP40"/>
    <s v="40772"/>
    <n v="1"/>
    <x v="1"/>
    <x v="4"/>
    <x v="4"/>
    <x v="1"/>
    <x v="1"/>
  </r>
  <r>
    <s v="CP40"/>
    <s v="40905"/>
    <n v="1"/>
    <x v="1"/>
    <x v="4"/>
    <x v="4"/>
    <x v="1"/>
    <x v="1"/>
  </r>
  <r>
    <s v="CP40"/>
    <s v="40910"/>
    <n v="1"/>
    <x v="1"/>
    <x v="4"/>
    <x v="4"/>
    <x v="1"/>
    <x v="1"/>
  </r>
  <r>
    <s v="CP40"/>
    <s v="40915"/>
    <n v="1"/>
    <x v="1"/>
    <x v="4"/>
    <x v="4"/>
    <x v="1"/>
    <x v="1"/>
  </r>
  <r>
    <s v="CP40"/>
    <s v="40920"/>
    <n v="1"/>
    <x v="1"/>
    <x v="4"/>
    <x v="4"/>
    <x v="1"/>
    <x v="1"/>
  </r>
  <r>
    <s v="CP40"/>
    <s v="40925"/>
    <n v="1"/>
    <x v="1"/>
    <x v="4"/>
    <x v="4"/>
    <x v="1"/>
    <x v="1"/>
  </r>
  <r>
    <s v="CP40"/>
    <s v="40930"/>
    <n v="1"/>
    <x v="1"/>
    <x v="4"/>
    <x v="4"/>
    <x v="1"/>
    <x v="1"/>
  </r>
  <r>
    <s v="CP40"/>
    <s v="40255"/>
    <n v="1"/>
    <x v="2"/>
    <x v="4"/>
    <x v="5"/>
    <x v="1"/>
    <x v="1"/>
  </r>
  <r>
    <s v="CP40"/>
    <s v="40355"/>
    <n v="1"/>
    <x v="2"/>
    <x v="4"/>
    <x v="5"/>
    <x v="1"/>
    <x v="1"/>
  </r>
  <r>
    <s v="CP40"/>
    <s v="40230"/>
    <n v="198"/>
    <x v="2"/>
    <x v="4"/>
    <x v="5"/>
    <x v="1"/>
    <x v="1"/>
  </r>
  <r>
    <s v="CP40"/>
    <s v="40330"/>
    <n v="198"/>
    <x v="2"/>
    <x v="4"/>
    <x v="5"/>
    <x v="1"/>
    <x v="1"/>
  </r>
  <r>
    <s v="CP40"/>
    <s v="40405"/>
    <n v="1"/>
    <x v="2"/>
    <x v="4"/>
    <x v="5"/>
    <x v="1"/>
    <x v="1"/>
  </r>
  <r>
    <s v="CP40"/>
    <s v="40605"/>
    <n v="1"/>
    <x v="2"/>
    <x v="4"/>
    <x v="5"/>
    <x v="1"/>
    <x v="1"/>
  </r>
  <r>
    <s v="CP40"/>
    <s v="40005"/>
    <n v="1"/>
    <x v="2"/>
    <x v="4"/>
    <x v="5"/>
    <x v="1"/>
    <x v="1"/>
  </r>
  <r>
    <s v="CP40"/>
    <s v="40010"/>
    <n v="1"/>
    <x v="2"/>
    <x v="4"/>
    <x v="5"/>
    <x v="1"/>
    <x v="1"/>
  </r>
  <r>
    <s v="CP40"/>
    <s v="40015"/>
    <n v="1"/>
    <x v="2"/>
    <x v="4"/>
    <x v="5"/>
    <x v="1"/>
    <x v="1"/>
  </r>
  <r>
    <s v="CP40"/>
    <s v="40020"/>
    <n v="1"/>
    <x v="2"/>
    <x v="4"/>
    <x v="5"/>
    <x v="1"/>
    <x v="1"/>
  </r>
  <r>
    <s v="CP40"/>
    <s v="40025"/>
    <n v="1"/>
    <x v="2"/>
    <x v="4"/>
    <x v="5"/>
    <x v="1"/>
    <x v="1"/>
  </r>
  <r>
    <s v="CP40"/>
    <s v="40030"/>
    <n v="1"/>
    <x v="2"/>
    <x v="4"/>
    <x v="5"/>
    <x v="1"/>
    <x v="1"/>
  </r>
  <r>
    <s v="CP40"/>
    <s v="40105"/>
    <n v="1"/>
    <x v="2"/>
    <x v="4"/>
    <x v="5"/>
    <x v="1"/>
    <x v="1"/>
  </r>
  <r>
    <s v="CP40"/>
    <s v="40110"/>
    <n v="1"/>
    <x v="2"/>
    <x v="4"/>
    <x v="5"/>
    <x v="1"/>
    <x v="1"/>
  </r>
  <r>
    <s v="CP40"/>
    <s v="40115"/>
    <n v="1"/>
    <x v="2"/>
    <x v="4"/>
    <x v="5"/>
    <x v="1"/>
    <x v="1"/>
  </r>
  <r>
    <s v="CP40"/>
    <s v="40120"/>
    <n v="1"/>
    <x v="2"/>
    <x v="4"/>
    <x v="5"/>
    <x v="1"/>
    <x v="1"/>
  </r>
  <r>
    <s v="CP40"/>
    <s v="40125"/>
    <n v="1"/>
    <x v="2"/>
    <x v="4"/>
    <x v="5"/>
    <x v="1"/>
    <x v="1"/>
  </r>
  <r>
    <s v="CP40"/>
    <s v="40130"/>
    <n v="1"/>
    <x v="2"/>
    <x v="4"/>
    <x v="5"/>
    <x v="1"/>
    <x v="1"/>
  </r>
  <r>
    <s v="CP40"/>
    <s v="40205"/>
    <n v="1"/>
    <x v="2"/>
    <x v="4"/>
    <x v="5"/>
    <x v="1"/>
    <x v="1"/>
  </r>
  <r>
    <s v="CP40"/>
    <s v="40210"/>
    <n v="1"/>
    <x v="2"/>
    <x v="4"/>
    <x v="5"/>
    <x v="1"/>
    <x v="1"/>
  </r>
  <r>
    <s v="CP40"/>
    <s v="40215"/>
    <n v="1"/>
    <x v="2"/>
    <x v="4"/>
    <x v="5"/>
    <x v="1"/>
    <x v="1"/>
  </r>
  <r>
    <s v="CP40"/>
    <s v="40220"/>
    <n v="1"/>
    <x v="2"/>
    <x v="4"/>
    <x v="5"/>
    <x v="1"/>
    <x v="1"/>
  </r>
  <r>
    <s v="CP40"/>
    <s v="40225"/>
    <n v="1"/>
    <x v="2"/>
    <x v="4"/>
    <x v="5"/>
    <x v="1"/>
    <x v="1"/>
  </r>
  <r>
    <s v="CP40"/>
    <s v="40235"/>
    <n v="1"/>
    <x v="2"/>
    <x v="4"/>
    <x v="5"/>
    <x v="1"/>
    <x v="1"/>
  </r>
  <r>
    <s v="CP40"/>
    <s v="40245"/>
    <n v="1"/>
    <x v="2"/>
    <x v="4"/>
    <x v="5"/>
    <x v="1"/>
    <x v="1"/>
  </r>
  <r>
    <s v="CP40"/>
    <s v="40248"/>
    <n v="1"/>
    <x v="2"/>
    <x v="4"/>
    <x v="5"/>
    <x v="1"/>
    <x v="1"/>
  </r>
  <r>
    <s v="CP40"/>
    <s v="40250"/>
    <n v="1"/>
    <x v="2"/>
    <x v="4"/>
    <x v="5"/>
    <x v="1"/>
    <x v="1"/>
  </r>
  <r>
    <s v="CP40"/>
    <s v="40305"/>
    <n v="1"/>
    <x v="2"/>
    <x v="4"/>
    <x v="5"/>
    <x v="1"/>
    <x v="1"/>
  </r>
  <r>
    <s v="CP40"/>
    <s v="40310"/>
    <n v="1"/>
    <x v="2"/>
    <x v="4"/>
    <x v="5"/>
    <x v="1"/>
    <x v="1"/>
  </r>
  <r>
    <s v="CP40"/>
    <s v="40312"/>
    <n v="1"/>
    <x v="2"/>
    <x v="4"/>
    <x v="5"/>
    <x v="1"/>
    <x v="1"/>
  </r>
  <r>
    <s v="CP40"/>
    <s v="40314"/>
    <n v="1"/>
    <x v="2"/>
    <x v="4"/>
    <x v="5"/>
    <x v="1"/>
    <x v="1"/>
  </r>
  <r>
    <s v="CP40"/>
    <s v="40316"/>
    <n v="1"/>
    <x v="2"/>
    <x v="4"/>
    <x v="5"/>
    <x v="1"/>
    <x v="1"/>
  </r>
  <r>
    <s v="CP40"/>
    <s v="40318"/>
    <n v="1"/>
    <x v="2"/>
    <x v="4"/>
    <x v="5"/>
    <x v="1"/>
    <x v="1"/>
  </r>
  <r>
    <s v="CP40"/>
    <s v="40320"/>
    <n v="1"/>
    <x v="2"/>
    <x v="4"/>
    <x v="5"/>
    <x v="1"/>
    <x v="1"/>
  </r>
  <r>
    <s v="CP40"/>
    <s v="40325"/>
    <s v="`"/>
    <x v="2"/>
    <x v="4"/>
    <x v="5"/>
    <x v="1"/>
    <x v="1"/>
  </r>
  <r>
    <s v="CP40"/>
    <s v="40335"/>
    <n v="1"/>
    <x v="2"/>
    <x v="4"/>
    <x v="5"/>
    <x v="1"/>
    <x v="1"/>
  </r>
  <r>
    <s v="CP40"/>
    <s v="40345"/>
    <n v="1"/>
    <x v="2"/>
    <x v="4"/>
    <x v="5"/>
    <x v="1"/>
    <x v="1"/>
  </r>
  <r>
    <s v="CP40"/>
    <s v="40348"/>
    <n v="1"/>
    <x v="2"/>
    <x v="4"/>
    <x v="5"/>
    <x v="1"/>
    <x v="1"/>
  </r>
  <r>
    <s v="CP40"/>
    <s v="40350"/>
    <n v="1"/>
    <x v="2"/>
    <x v="4"/>
    <x v="5"/>
    <x v="1"/>
    <x v="1"/>
  </r>
  <r>
    <s v="CP40"/>
    <s v="40410"/>
    <n v="1"/>
    <x v="2"/>
    <x v="4"/>
    <x v="5"/>
    <x v="1"/>
    <x v="1"/>
  </r>
  <r>
    <s v="CP40"/>
    <s v="40415"/>
    <n v="1"/>
    <x v="2"/>
    <x v="4"/>
    <x v="5"/>
    <x v="1"/>
    <x v="1"/>
  </r>
  <r>
    <s v="CP40"/>
    <s v="40420"/>
    <n v="1"/>
    <x v="2"/>
    <x v="4"/>
    <x v="5"/>
    <x v="1"/>
    <x v="1"/>
  </r>
  <r>
    <s v="CP40"/>
    <s v="40425"/>
    <n v="1"/>
    <x v="2"/>
    <x v="4"/>
    <x v="5"/>
    <x v="1"/>
    <x v="1"/>
  </r>
  <r>
    <s v="CP40"/>
    <s v="40430"/>
    <n v="1"/>
    <x v="2"/>
    <x v="4"/>
    <x v="5"/>
    <x v="1"/>
    <x v="1"/>
  </r>
  <r>
    <s v="CP40"/>
    <s v="40610"/>
    <n v="1"/>
    <x v="2"/>
    <x v="4"/>
    <x v="5"/>
    <x v="1"/>
    <x v="1"/>
  </r>
  <r>
    <s v="CP40"/>
    <s v="40615"/>
    <n v="1"/>
    <x v="2"/>
    <x v="4"/>
    <x v="5"/>
    <x v="1"/>
    <x v="1"/>
  </r>
  <r>
    <s v="CP40"/>
    <s v="40620"/>
    <n v="1"/>
    <x v="2"/>
    <x v="4"/>
    <x v="5"/>
    <x v="1"/>
    <x v="1"/>
  </r>
  <r>
    <s v="CP40"/>
    <s v="40625"/>
    <n v="1"/>
    <x v="2"/>
    <x v="4"/>
    <x v="5"/>
    <x v="1"/>
    <x v="1"/>
  </r>
  <r>
    <s v="CP40"/>
    <s v="40630"/>
    <n v="1"/>
    <x v="2"/>
    <x v="4"/>
    <x v="5"/>
    <x v="1"/>
    <x v="1"/>
  </r>
  <r>
    <s v="CP40"/>
    <s v="40703"/>
    <n v="1"/>
    <x v="2"/>
    <x v="4"/>
    <x v="5"/>
    <x v="1"/>
    <x v="1"/>
  </r>
  <r>
    <s v="CP40"/>
    <s v="40704"/>
    <n v="1"/>
    <x v="2"/>
    <x v="4"/>
    <x v="5"/>
    <x v="1"/>
    <x v="1"/>
  </r>
  <r>
    <s v="CP40"/>
    <s v="40705"/>
    <n v="1"/>
    <x v="2"/>
    <x v="4"/>
    <x v="5"/>
    <x v="1"/>
    <x v="1"/>
  </r>
  <r>
    <s v="CP40"/>
    <s v="40706"/>
    <n v="1"/>
    <x v="2"/>
    <x v="4"/>
    <x v="5"/>
    <x v="1"/>
    <x v="1"/>
  </r>
  <r>
    <s v="CP40"/>
    <s v="40707"/>
    <n v="1"/>
    <x v="2"/>
    <x v="4"/>
    <x v="5"/>
    <x v="1"/>
    <x v="1"/>
  </r>
  <r>
    <s v="CP40"/>
    <s v="40708"/>
    <n v="1"/>
    <x v="2"/>
    <x v="4"/>
    <x v="5"/>
    <x v="1"/>
    <x v="1"/>
  </r>
  <r>
    <s v="CP40"/>
    <s v="40709"/>
    <n v="1"/>
    <x v="2"/>
    <x v="4"/>
    <x v="5"/>
    <x v="1"/>
    <x v="1"/>
  </r>
  <r>
    <s v="CP40"/>
    <s v="40710"/>
    <n v="1"/>
    <x v="2"/>
    <x v="4"/>
    <x v="5"/>
    <x v="1"/>
    <x v="1"/>
  </r>
  <r>
    <s v="CP40"/>
    <s v="40711"/>
    <n v="1"/>
    <x v="2"/>
    <x v="4"/>
    <x v="5"/>
    <x v="1"/>
    <x v="1"/>
  </r>
  <r>
    <s v="CP40"/>
    <s v="40712"/>
    <n v="1"/>
    <x v="2"/>
    <x v="4"/>
    <x v="5"/>
    <x v="1"/>
    <x v="1"/>
  </r>
  <r>
    <s v="CP40"/>
    <s v="40713"/>
    <n v="1"/>
    <x v="2"/>
    <x v="4"/>
    <x v="5"/>
    <x v="1"/>
    <x v="1"/>
  </r>
  <r>
    <s v="CP40"/>
    <s v="40714"/>
    <n v="1"/>
    <x v="2"/>
    <x v="4"/>
    <x v="5"/>
    <x v="1"/>
    <x v="1"/>
  </r>
  <r>
    <s v="CP40"/>
    <s v="40715"/>
    <n v="1"/>
    <x v="2"/>
    <x v="4"/>
    <x v="5"/>
    <x v="1"/>
    <x v="1"/>
  </r>
  <r>
    <s v="CP40"/>
    <s v="40716"/>
    <n v="1"/>
    <x v="2"/>
    <x v="4"/>
    <x v="5"/>
    <x v="1"/>
    <x v="1"/>
  </r>
  <r>
    <s v="CP40"/>
    <s v="40717"/>
    <n v="1"/>
    <x v="2"/>
    <x v="4"/>
    <x v="5"/>
    <x v="1"/>
    <x v="1"/>
  </r>
  <r>
    <s v="CP40"/>
    <s v="40718"/>
    <n v="1"/>
    <x v="2"/>
    <x v="5"/>
    <x v="6"/>
    <x v="1"/>
    <x v="1"/>
  </r>
  <r>
    <s v="CP40"/>
    <s v="40719"/>
    <n v="1"/>
    <x v="2"/>
    <x v="5"/>
    <x v="6"/>
    <x v="1"/>
    <x v="1"/>
  </r>
  <r>
    <s v="CP40"/>
    <s v="40720"/>
    <n v="1"/>
    <x v="2"/>
    <x v="5"/>
    <x v="6"/>
    <x v="1"/>
    <x v="1"/>
  </r>
  <r>
    <s v="CP40"/>
    <s v="40721"/>
    <n v="1"/>
    <x v="2"/>
    <x v="5"/>
    <x v="6"/>
    <x v="1"/>
    <x v="1"/>
  </r>
  <r>
    <s v="CP40"/>
    <s v="40722"/>
    <n v="1"/>
    <x v="2"/>
    <x v="5"/>
    <x v="6"/>
    <x v="1"/>
    <x v="1"/>
  </r>
  <r>
    <s v="CP40"/>
    <s v="40723"/>
    <n v="1"/>
    <x v="2"/>
    <x v="5"/>
    <x v="6"/>
    <x v="1"/>
    <x v="1"/>
  </r>
  <r>
    <s v="CP40"/>
    <s v="40724"/>
    <n v="1"/>
    <x v="2"/>
    <x v="5"/>
    <x v="6"/>
    <x v="1"/>
    <x v="1"/>
  </r>
  <r>
    <s v="CP40"/>
    <s v="40725"/>
    <n v="1"/>
    <x v="2"/>
    <x v="5"/>
    <x v="6"/>
    <x v="1"/>
    <x v="1"/>
  </r>
  <r>
    <s v="CP40"/>
    <s v="40726"/>
    <n v="1"/>
    <x v="2"/>
    <x v="5"/>
    <x v="6"/>
    <x v="1"/>
    <x v="1"/>
  </r>
  <r>
    <s v="CP40"/>
    <s v="40727"/>
    <n v="1"/>
    <x v="2"/>
    <x v="5"/>
    <x v="6"/>
    <x v="1"/>
    <x v="1"/>
  </r>
  <r>
    <s v="CP40"/>
    <s v="40728"/>
    <n v="1"/>
    <x v="2"/>
    <x v="5"/>
    <x v="6"/>
    <x v="1"/>
    <x v="1"/>
  </r>
  <r>
    <s v="CP40"/>
    <s v="40729"/>
    <n v="1"/>
    <x v="2"/>
    <x v="5"/>
    <x v="6"/>
    <x v="1"/>
    <x v="1"/>
  </r>
  <r>
    <s v="CP40"/>
    <s v="40730"/>
    <n v="1"/>
    <x v="2"/>
    <x v="5"/>
    <x v="6"/>
    <x v="1"/>
    <x v="1"/>
  </r>
  <r>
    <s v="CP40"/>
    <s v="40731"/>
    <n v="1"/>
    <x v="2"/>
    <x v="5"/>
    <x v="6"/>
    <x v="1"/>
    <x v="1"/>
  </r>
  <r>
    <s v="CP40"/>
    <s v="40732"/>
    <n v="1"/>
    <x v="2"/>
    <x v="5"/>
    <x v="6"/>
    <x v="1"/>
    <x v="1"/>
  </r>
  <r>
    <s v="CP40"/>
    <s v="40733"/>
    <n v="1"/>
    <x v="2"/>
    <x v="5"/>
    <x v="6"/>
    <x v="1"/>
    <x v="1"/>
  </r>
  <r>
    <s v="CP40"/>
    <s v="40734"/>
    <n v="1"/>
    <x v="2"/>
    <x v="5"/>
    <x v="6"/>
    <x v="1"/>
    <x v="1"/>
  </r>
  <r>
    <s v="CP40"/>
    <s v="40735"/>
    <n v="1"/>
    <x v="2"/>
    <x v="5"/>
    <x v="6"/>
    <x v="1"/>
    <x v="1"/>
  </r>
  <r>
    <s v="CP40"/>
    <s v="40736"/>
    <n v="1"/>
    <x v="2"/>
    <x v="5"/>
    <x v="6"/>
    <x v="1"/>
    <x v="1"/>
  </r>
  <r>
    <s v="CP40"/>
    <s v="40737"/>
    <n v="1"/>
    <x v="2"/>
    <x v="5"/>
    <x v="6"/>
    <x v="1"/>
    <x v="1"/>
  </r>
  <r>
    <s v="CP40"/>
    <s v="40738"/>
    <n v="1"/>
    <x v="2"/>
    <x v="5"/>
    <x v="6"/>
    <x v="1"/>
    <x v="1"/>
  </r>
  <r>
    <s v="CP40"/>
    <s v="40739"/>
    <n v="1"/>
    <x v="2"/>
    <x v="5"/>
    <x v="6"/>
    <x v="1"/>
    <x v="1"/>
  </r>
  <r>
    <s v="CP40"/>
    <s v="40740"/>
    <n v="1"/>
    <x v="2"/>
    <x v="5"/>
    <x v="6"/>
    <x v="1"/>
    <x v="1"/>
  </r>
  <r>
    <s v="CP40"/>
    <s v="40741"/>
    <n v="1"/>
    <x v="2"/>
    <x v="5"/>
    <x v="6"/>
    <x v="1"/>
    <x v="1"/>
  </r>
  <r>
    <s v="CP40"/>
    <s v="40742"/>
    <n v="1"/>
    <x v="2"/>
    <x v="5"/>
    <x v="6"/>
    <x v="1"/>
    <x v="1"/>
  </r>
  <r>
    <s v="CP40"/>
    <s v="40743"/>
    <n v="1"/>
    <x v="2"/>
    <x v="5"/>
    <x v="6"/>
    <x v="1"/>
    <x v="1"/>
  </r>
  <r>
    <s v="CP40"/>
    <s v="40744"/>
    <n v="1"/>
    <x v="2"/>
    <x v="5"/>
    <x v="6"/>
    <x v="1"/>
    <x v="1"/>
  </r>
  <r>
    <s v="CP40"/>
    <s v="40745"/>
    <n v="1"/>
    <x v="2"/>
    <x v="5"/>
    <x v="6"/>
    <x v="1"/>
    <x v="1"/>
  </r>
  <r>
    <s v="CP40"/>
    <s v="40746"/>
    <n v="1"/>
    <x v="2"/>
    <x v="5"/>
    <x v="6"/>
    <x v="1"/>
    <x v="1"/>
  </r>
  <r>
    <s v="CP40"/>
    <s v="40747"/>
    <n v="1"/>
    <x v="2"/>
    <x v="5"/>
    <x v="6"/>
    <x v="1"/>
    <x v="1"/>
  </r>
  <r>
    <s v="CP40"/>
    <s v="40748"/>
    <n v="1"/>
    <x v="2"/>
    <x v="5"/>
    <x v="6"/>
    <x v="1"/>
    <x v="1"/>
  </r>
  <r>
    <s v="CP40"/>
    <s v="40749"/>
    <n v="1"/>
    <x v="2"/>
    <x v="5"/>
    <x v="6"/>
    <x v="1"/>
    <x v="1"/>
  </r>
  <r>
    <s v="CP40"/>
    <s v="40750"/>
    <n v="1"/>
    <x v="2"/>
    <x v="5"/>
    <x v="6"/>
    <x v="1"/>
    <x v="1"/>
  </r>
  <r>
    <s v="CP40"/>
    <s v="40751"/>
    <n v="1"/>
    <x v="2"/>
    <x v="5"/>
    <x v="6"/>
    <x v="1"/>
    <x v="1"/>
  </r>
  <r>
    <s v="CP40"/>
    <s v="40752"/>
    <n v="1"/>
    <x v="2"/>
    <x v="5"/>
    <x v="6"/>
    <x v="1"/>
    <x v="1"/>
  </r>
  <r>
    <s v="CP40"/>
    <s v="40753"/>
    <n v="1"/>
    <x v="2"/>
    <x v="5"/>
    <x v="6"/>
    <x v="1"/>
    <x v="1"/>
  </r>
  <r>
    <s v="CP40"/>
    <s v="40754"/>
    <n v="1"/>
    <x v="2"/>
    <x v="5"/>
    <x v="6"/>
    <x v="1"/>
    <x v="1"/>
  </r>
  <r>
    <s v="CP40"/>
    <s v="40755"/>
    <n v="1"/>
    <x v="2"/>
    <x v="5"/>
    <x v="6"/>
    <x v="1"/>
    <x v="1"/>
  </r>
  <r>
    <s v="CP40"/>
    <s v="40756"/>
    <n v="1"/>
    <x v="2"/>
    <x v="5"/>
    <x v="6"/>
    <x v="1"/>
    <x v="1"/>
  </r>
  <r>
    <s v="CP40"/>
    <s v="40757"/>
    <n v="1"/>
    <x v="2"/>
    <x v="5"/>
    <x v="6"/>
    <x v="1"/>
    <x v="1"/>
  </r>
  <r>
    <s v="CP40"/>
    <s v="40758"/>
    <n v="1"/>
    <x v="2"/>
    <x v="5"/>
    <x v="6"/>
    <x v="1"/>
    <x v="1"/>
  </r>
  <r>
    <s v="CP40"/>
    <s v="40759"/>
    <n v="1"/>
    <x v="2"/>
    <x v="5"/>
    <x v="6"/>
    <x v="1"/>
    <x v="1"/>
  </r>
  <r>
    <s v="CP40"/>
    <s v="40760"/>
    <n v="1"/>
    <x v="2"/>
    <x v="5"/>
    <x v="6"/>
    <x v="1"/>
    <x v="1"/>
  </r>
  <r>
    <s v="CP40"/>
    <s v="40761"/>
    <n v="1"/>
    <x v="2"/>
    <x v="5"/>
    <x v="6"/>
    <x v="1"/>
    <x v="1"/>
  </r>
  <r>
    <s v="CP40"/>
    <s v="40762"/>
    <n v="1"/>
    <x v="2"/>
    <x v="5"/>
    <x v="6"/>
    <x v="1"/>
    <x v="1"/>
  </r>
  <r>
    <s v="CP40"/>
    <s v="40763"/>
    <n v="1"/>
    <x v="2"/>
    <x v="5"/>
    <x v="6"/>
    <x v="1"/>
    <x v="1"/>
  </r>
  <r>
    <s v="CP40"/>
    <s v="40764"/>
    <n v="1"/>
    <x v="2"/>
    <x v="5"/>
    <x v="6"/>
    <x v="1"/>
    <x v="1"/>
  </r>
  <r>
    <s v="CP40"/>
    <s v="40765"/>
    <n v="1"/>
    <x v="2"/>
    <x v="5"/>
    <x v="6"/>
    <x v="1"/>
    <x v="1"/>
  </r>
  <r>
    <s v="CP40"/>
    <s v="40766"/>
    <n v="1"/>
    <x v="2"/>
    <x v="5"/>
    <x v="6"/>
    <x v="1"/>
    <x v="1"/>
  </r>
  <r>
    <s v="CP40"/>
    <s v="40767"/>
    <n v="1"/>
    <x v="2"/>
    <x v="5"/>
    <x v="6"/>
    <x v="1"/>
    <x v="1"/>
  </r>
  <r>
    <s v="CP40"/>
    <s v="40769"/>
    <n v="1"/>
    <x v="2"/>
    <x v="5"/>
    <x v="6"/>
    <x v="1"/>
    <x v="1"/>
  </r>
  <r>
    <s v="CP40"/>
    <s v="40770"/>
    <n v="1"/>
    <x v="2"/>
    <x v="5"/>
    <x v="6"/>
    <x v="1"/>
    <x v="1"/>
  </r>
  <r>
    <s v="CP40"/>
    <s v="40771"/>
    <n v="1"/>
    <x v="2"/>
    <x v="5"/>
    <x v="6"/>
    <x v="1"/>
    <x v="1"/>
  </r>
  <r>
    <s v="CP40"/>
    <s v="40772"/>
    <n v="1"/>
    <x v="2"/>
    <x v="5"/>
    <x v="6"/>
    <x v="1"/>
    <x v="1"/>
  </r>
  <r>
    <s v="CP40"/>
    <s v="40905"/>
    <n v="1"/>
    <x v="2"/>
    <x v="5"/>
    <x v="6"/>
    <x v="1"/>
    <x v="1"/>
  </r>
  <r>
    <s v="CP40"/>
    <s v="40910"/>
    <n v="1"/>
    <x v="2"/>
    <x v="5"/>
    <x v="6"/>
    <x v="1"/>
    <x v="1"/>
  </r>
  <r>
    <s v="CP40"/>
    <s v="40915"/>
    <n v="1"/>
    <x v="2"/>
    <x v="5"/>
    <x v="6"/>
    <x v="1"/>
    <x v="1"/>
  </r>
  <r>
    <s v="CP40"/>
    <s v="40920"/>
    <n v="1"/>
    <x v="2"/>
    <x v="5"/>
    <x v="6"/>
    <x v="1"/>
    <x v="1"/>
  </r>
  <r>
    <s v="CP40"/>
    <s v="40925"/>
    <n v="1"/>
    <x v="2"/>
    <x v="5"/>
    <x v="6"/>
    <x v="1"/>
    <x v="1"/>
  </r>
  <r>
    <s v="CP40"/>
    <s v="40930"/>
    <n v="1"/>
    <x v="2"/>
    <x v="5"/>
    <x v="6"/>
    <x v="1"/>
    <x v="1"/>
  </r>
  <r>
    <s v="CP40"/>
    <s v="40255"/>
    <n v="1"/>
    <x v="3"/>
    <x v="6"/>
    <x v="7"/>
    <x v="1"/>
    <x v="1"/>
  </r>
  <r>
    <s v="CP40"/>
    <s v="40355"/>
    <n v="1"/>
    <x v="3"/>
    <x v="6"/>
    <x v="7"/>
    <x v="1"/>
    <x v="1"/>
  </r>
  <r>
    <s v="CP40"/>
    <s v="40230"/>
    <n v="198"/>
    <x v="3"/>
    <x v="6"/>
    <x v="7"/>
    <x v="1"/>
    <x v="1"/>
  </r>
  <r>
    <s v="CP40"/>
    <s v="40330"/>
    <n v="198"/>
    <x v="3"/>
    <x v="6"/>
    <x v="7"/>
    <x v="1"/>
    <x v="1"/>
  </r>
  <r>
    <s v="CP40"/>
    <s v="40405"/>
    <n v="1"/>
    <x v="3"/>
    <x v="6"/>
    <x v="7"/>
    <x v="1"/>
    <x v="1"/>
  </r>
  <r>
    <s v="CP40"/>
    <s v="40605"/>
    <n v="1"/>
    <x v="3"/>
    <x v="6"/>
    <x v="7"/>
    <x v="1"/>
    <x v="1"/>
  </r>
  <r>
    <s v="CP40"/>
    <s v="40005"/>
    <n v="1"/>
    <x v="3"/>
    <x v="6"/>
    <x v="7"/>
    <x v="1"/>
    <x v="1"/>
  </r>
  <r>
    <s v="CP40"/>
    <s v="40010"/>
    <n v="1"/>
    <x v="3"/>
    <x v="6"/>
    <x v="7"/>
    <x v="1"/>
    <x v="1"/>
  </r>
  <r>
    <s v="CP40"/>
    <s v="40015"/>
    <n v="1"/>
    <x v="3"/>
    <x v="6"/>
    <x v="7"/>
    <x v="1"/>
    <x v="1"/>
  </r>
  <r>
    <s v="CP40"/>
    <s v="40020"/>
    <n v="1"/>
    <x v="3"/>
    <x v="6"/>
    <x v="7"/>
    <x v="1"/>
    <x v="1"/>
  </r>
  <r>
    <s v="CP40"/>
    <s v="40025"/>
    <n v="1"/>
    <x v="3"/>
    <x v="6"/>
    <x v="7"/>
    <x v="1"/>
    <x v="1"/>
  </r>
  <r>
    <s v="CP40"/>
    <s v="40030"/>
    <n v="1"/>
    <x v="3"/>
    <x v="6"/>
    <x v="7"/>
    <x v="1"/>
    <x v="1"/>
  </r>
  <r>
    <s v="CP40"/>
    <s v="40105"/>
    <n v="1"/>
    <x v="3"/>
    <x v="6"/>
    <x v="7"/>
    <x v="1"/>
    <x v="1"/>
  </r>
  <r>
    <s v="CP40"/>
    <s v="40110"/>
    <n v="1"/>
    <x v="3"/>
    <x v="6"/>
    <x v="7"/>
    <x v="1"/>
    <x v="1"/>
  </r>
  <r>
    <s v="CP40"/>
    <s v="40115"/>
    <n v="1"/>
    <x v="3"/>
    <x v="6"/>
    <x v="7"/>
    <x v="1"/>
    <x v="1"/>
  </r>
  <r>
    <s v="CP40"/>
    <s v="40120"/>
    <n v="1"/>
    <x v="3"/>
    <x v="6"/>
    <x v="7"/>
    <x v="1"/>
    <x v="1"/>
  </r>
  <r>
    <s v="CP40"/>
    <s v="40125"/>
    <n v="1"/>
    <x v="3"/>
    <x v="6"/>
    <x v="7"/>
    <x v="1"/>
    <x v="1"/>
  </r>
  <r>
    <s v="CP40"/>
    <s v="40130"/>
    <n v="1"/>
    <x v="3"/>
    <x v="6"/>
    <x v="7"/>
    <x v="1"/>
    <x v="1"/>
  </r>
  <r>
    <s v="CP40"/>
    <s v="40205"/>
    <n v="1"/>
    <x v="3"/>
    <x v="6"/>
    <x v="7"/>
    <x v="1"/>
    <x v="1"/>
  </r>
  <r>
    <s v="CP40"/>
    <s v="40210"/>
    <n v="1"/>
    <x v="3"/>
    <x v="6"/>
    <x v="7"/>
    <x v="1"/>
    <x v="1"/>
  </r>
  <r>
    <s v="CP40"/>
    <s v="40215"/>
    <n v="1"/>
    <x v="3"/>
    <x v="6"/>
    <x v="7"/>
    <x v="1"/>
    <x v="1"/>
  </r>
  <r>
    <s v="CP40"/>
    <s v="40220"/>
    <n v="1"/>
    <x v="3"/>
    <x v="6"/>
    <x v="7"/>
    <x v="1"/>
    <x v="1"/>
  </r>
  <r>
    <s v="CP40"/>
    <s v="40225"/>
    <n v="1"/>
    <x v="3"/>
    <x v="6"/>
    <x v="7"/>
    <x v="1"/>
    <x v="1"/>
  </r>
  <r>
    <s v="CP40"/>
    <s v="40235"/>
    <n v="1"/>
    <x v="3"/>
    <x v="6"/>
    <x v="7"/>
    <x v="1"/>
    <x v="1"/>
  </r>
  <r>
    <s v="CP40"/>
    <s v="40245"/>
    <n v="1"/>
    <x v="3"/>
    <x v="6"/>
    <x v="7"/>
    <x v="1"/>
    <x v="1"/>
  </r>
  <r>
    <s v="CP40"/>
    <s v="40248"/>
    <n v="1"/>
    <x v="3"/>
    <x v="6"/>
    <x v="7"/>
    <x v="1"/>
    <x v="1"/>
  </r>
  <r>
    <s v="CP40"/>
    <s v="40250"/>
    <n v="1"/>
    <x v="3"/>
    <x v="6"/>
    <x v="7"/>
    <x v="1"/>
    <x v="1"/>
  </r>
  <r>
    <s v="CP40"/>
    <s v="40305"/>
    <n v="1"/>
    <x v="3"/>
    <x v="6"/>
    <x v="7"/>
    <x v="1"/>
    <x v="1"/>
  </r>
  <r>
    <s v="CP40"/>
    <s v="40310"/>
    <n v="1"/>
    <x v="3"/>
    <x v="6"/>
    <x v="7"/>
    <x v="1"/>
    <x v="1"/>
  </r>
  <r>
    <s v="CP40"/>
    <s v="40312"/>
    <n v="1"/>
    <x v="3"/>
    <x v="6"/>
    <x v="7"/>
    <x v="1"/>
    <x v="1"/>
  </r>
  <r>
    <s v="CP40"/>
    <s v="40314"/>
    <n v="1"/>
    <x v="3"/>
    <x v="6"/>
    <x v="7"/>
    <x v="1"/>
    <x v="1"/>
  </r>
  <r>
    <s v="CP40"/>
    <s v="40316"/>
    <n v="1"/>
    <x v="3"/>
    <x v="6"/>
    <x v="7"/>
    <x v="1"/>
    <x v="1"/>
  </r>
  <r>
    <s v="CP40"/>
    <s v="40318"/>
    <n v="1"/>
    <x v="3"/>
    <x v="6"/>
    <x v="7"/>
    <x v="1"/>
    <x v="1"/>
  </r>
  <r>
    <s v="CP40"/>
    <s v="40320"/>
    <n v="1"/>
    <x v="3"/>
    <x v="6"/>
    <x v="7"/>
    <x v="1"/>
    <x v="1"/>
  </r>
  <r>
    <s v="CP40"/>
    <s v="40325"/>
    <s v="`"/>
    <x v="3"/>
    <x v="6"/>
    <x v="7"/>
    <x v="1"/>
    <x v="1"/>
  </r>
  <r>
    <s v="CP40"/>
    <s v="40335"/>
    <n v="1"/>
    <x v="3"/>
    <x v="6"/>
    <x v="7"/>
    <x v="1"/>
    <x v="1"/>
  </r>
  <r>
    <s v="CP40"/>
    <s v="40345"/>
    <n v="1"/>
    <x v="3"/>
    <x v="6"/>
    <x v="7"/>
    <x v="1"/>
    <x v="1"/>
  </r>
  <r>
    <s v="CP40"/>
    <s v="40348"/>
    <n v="1"/>
    <x v="3"/>
    <x v="6"/>
    <x v="7"/>
    <x v="1"/>
    <x v="1"/>
  </r>
  <r>
    <s v="CP40"/>
    <s v="40350"/>
    <n v="1"/>
    <x v="3"/>
    <x v="6"/>
    <x v="7"/>
    <x v="1"/>
    <x v="1"/>
  </r>
  <r>
    <s v="CP40"/>
    <s v="40410"/>
    <n v="1"/>
    <x v="3"/>
    <x v="6"/>
    <x v="7"/>
    <x v="1"/>
    <x v="1"/>
  </r>
  <r>
    <s v="CP40"/>
    <s v="40415"/>
    <n v="1"/>
    <x v="3"/>
    <x v="6"/>
    <x v="7"/>
    <x v="1"/>
    <x v="1"/>
  </r>
  <r>
    <s v="CP40"/>
    <s v="40420"/>
    <n v="1"/>
    <x v="3"/>
    <x v="6"/>
    <x v="7"/>
    <x v="1"/>
    <x v="1"/>
  </r>
  <r>
    <s v="CP40"/>
    <s v="40425"/>
    <n v="1"/>
    <x v="3"/>
    <x v="6"/>
    <x v="7"/>
    <x v="1"/>
    <x v="1"/>
  </r>
  <r>
    <s v="CP40"/>
    <s v="40430"/>
    <n v="1"/>
    <x v="3"/>
    <x v="6"/>
    <x v="7"/>
    <x v="1"/>
    <x v="1"/>
  </r>
  <r>
    <s v="CP40"/>
    <s v="40610"/>
    <n v="1"/>
    <x v="3"/>
    <x v="6"/>
    <x v="7"/>
    <x v="1"/>
    <x v="1"/>
  </r>
  <r>
    <s v="CP40"/>
    <s v="40615"/>
    <n v="1"/>
    <x v="3"/>
    <x v="6"/>
    <x v="7"/>
    <x v="1"/>
    <x v="1"/>
  </r>
  <r>
    <s v="CP40"/>
    <s v="40620"/>
    <n v="1"/>
    <x v="3"/>
    <x v="6"/>
    <x v="7"/>
    <x v="1"/>
    <x v="1"/>
  </r>
  <r>
    <s v="CP40"/>
    <s v="40625"/>
    <n v="1"/>
    <x v="3"/>
    <x v="6"/>
    <x v="7"/>
    <x v="1"/>
    <x v="1"/>
  </r>
  <r>
    <s v="CP40"/>
    <s v="40630"/>
    <n v="1"/>
    <x v="3"/>
    <x v="6"/>
    <x v="7"/>
    <x v="1"/>
    <x v="1"/>
  </r>
  <r>
    <s v="CP40"/>
    <s v="40703"/>
    <n v="1"/>
    <x v="3"/>
    <x v="6"/>
    <x v="7"/>
    <x v="1"/>
    <x v="1"/>
  </r>
  <r>
    <s v="CP40"/>
    <s v="40704"/>
    <n v="1"/>
    <x v="3"/>
    <x v="6"/>
    <x v="7"/>
    <x v="1"/>
    <x v="1"/>
  </r>
  <r>
    <s v="CP40"/>
    <s v="40705"/>
    <n v="1"/>
    <x v="3"/>
    <x v="6"/>
    <x v="7"/>
    <x v="1"/>
    <x v="1"/>
  </r>
  <r>
    <s v="CP40"/>
    <s v="40706"/>
    <n v="1"/>
    <x v="3"/>
    <x v="6"/>
    <x v="7"/>
    <x v="1"/>
    <x v="1"/>
  </r>
  <r>
    <s v="CP40"/>
    <s v="40707"/>
    <n v="1"/>
    <x v="3"/>
    <x v="6"/>
    <x v="7"/>
    <x v="1"/>
    <x v="1"/>
  </r>
  <r>
    <s v="CP40"/>
    <s v="40708"/>
    <n v="1"/>
    <x v="3"/>
    <x v="6"/>
    <x v="7"/>
    <x v="1"/>
    <x v="1"/>
  </r>
  <r>
    <s v="CP40"/>
    <s v="40709"/>
    <n v="1"/>
    <x v="3"/>
    <x v="6"/>
    <x v="7"/>
    <x v="1"/>
    <x v="1"/>
  </r>
  <r>
    <s v="CP40"/>
    <s v="40710"/>
    <n v="1"/>
    <x v="3"/>
    <x v="6"/>
    <x v="7"/>
    <x v="1"/>
    <x v="1"/>
  </r>
  <r>
    <s v="CP40"/>
    <s v="40711"/>
    <n v="1"/>
    <x v="3"/>
    <x v="6"/>
    <x v="7"/>
    <x v="1"/>
    <x v="1"/>
  </r>
  <r>
    <s v="CP40"/>
    <s v="40712"/>
    <n v="1"/>
    <x v="3"/>
    <x v="6"/>
    <x v="7"/>
    <x v="1"/>
    <x v="1"/>
  </r>
  <r>
    <s v="CP40"/>
    <s v="40713"/>
    <n v="1"/>
    <x v="3"/>
    <x v="6"/>
    <x v="7"/>
    <x v="1"/>
    <x v="1"/>
  </r>
  <r>
    <s v="CP40"/>
    <s v="40714"/>
    <n v="1"/>
    <x v="3"/>
    <x v="6"/>
    <x v="7"/>
    <x v="1"/>
    <x v="1"/>
  </r>
  <r>
    <s v="CP40"/>
    <s v="40715"/>
    <n v="1"/>
    <x v="3"/>
    <x v="6"/>
    <x v="7"/>
    <x v="1"/>
    <x v="1"/>
  </r>
  <r>
    <s v="CP40"/>
    <s v="40716"/>
    <n v="1"/>
    <x v="3"/>
    <x v="6"/>
    <x v="7"/>
    <x v="1"/>
    <x v="1"/>
  </r>
  <r>
    <s v="CP40"/>
    <s v="40717"/>
    <n v="1"/>
    <x v="3"/>
    <x v="6"/>
    <x v="7"/>
    <x v="1"/>
    <x v="1"/>
  </r>
  <r>
    <s v="CP40"/>
    <s v="40718"/>
    <n v="1"/>
    <x v="3"/>
    <x v="6"/>
    <x v="7"/>
    <x v="1"/>
    <x v="1"/>
  </r>
  <r>
    <s v="CP40"/>
    <s v="40719"/>
    <n v="1"/>
    <x v="3"/>
    <x v="6"/>
    <x v="7"/>
    <x v="1"/>
    <x v="1"/>
  </r>
  <r>
    <s v="CP40"/>
    <s v="40720"/>
    <n v="1"/>
    <x v="3"/>
    <x v="6"/>
    <x v="7"/>
    <x v="1"/>
    <x v="1"/>
  </r>
  <r>
    <s v="CP40"/>
    <s v="40721"/>
    <n v="1"/>
    <x v="3"/>
    <x v="6"/>
    <x v="7"/>
    <x v="1"/>
    <x v="1"/>
  </r>
  <r>
    <s v="CP40"/>
    <s v="40722"/>
    <n v="1"/>
    <x v="3"/>
    <x v="6"/>
    <x v="7"/>
    <x v="1"/>
    <x v="1"/>
  </r>
  <r>
    <s v="CP40"/>
    <s v="40723"/>
    <n v="1"/>
    <x v="3"/>
    <x v="6"/>
    <x v="7"/>
    <x v="1"/>
    <x v="1"/>
  </r>
  <r>
    <s v="CP40"/>
    <s v="40724"/>
    <n v="1"/>
    <x v="3"/>
    <x v="6"/>
    <x v="7"/>
    <x v="1"/>
    <x v="1"/>
  </r>
  <r>
    <s v="CP40"/>
    <s v="40725"/>
    <n v="1"/>
    <x v="3"/>
    <x v="6"/>
    <x v="7"/>
    <x v="1"/>
    <x v="1"/>
  </r>
  <r>
    <s v="CP40"/>
    <s v="40726"/>
    <n v="1"/>
    <x v="3"/>
    <x v="6"/>
    <x v="7"/>
    <x v="1"/>
    <x v="1"/>
  </r>
  <r>
    <s v="CP40"/>
    <s v="40727"/>
    <n v="1"/>
    <x v="3"/>
    <x v="6"/>
    <x v="7"/>
    <x v="1"/>
    <x v="1"/>
  </r>
  <r>
    <s v="CP40"/>
    <s v="40728"/>
    <n v="1"/>
    <x v="3"/>
    <x v="6"/>
    <x v="7"/>
    <x v="1"/>
    <x v="1"/>
  </r>
  <r>
    <s v="CP40"/>
    <s v="40729"/>
    <n v="1"/>
    <x v="3"/>
    <x v="6"/>
    <x v="7"/>
    <x v="1"/>
    <x v="1"/>
  </r>
  <r>
    <s v="CP40"/>
    <s v="40730"/>
    <n v="1"/>
    <x v="3"/>
    <x v="6"/>
    <x v="7"/>
    <x v="1"/>
    <x v="1"/>
  </r>
  <r>
    <s v="CP40"/>
    <s v="40731"/>
    <n v="1"/>
    <x v="3"/>
    <x v="6"/>
    <x v="7"/>
    <x v="1"/>
    <x v="1"/>
  </r>
  <r>
    <s v="CP40"/>
    <s v="40732"/>
    <n v="1"/>
    <x v="3"/>
    <x v="6"/>
    <x v="7"/>
    <x v="1"/>
    <x v="1"/>
  </r>
  <r>
    <s v="CP40"/>
    <s v="40733"/>
    <n v="1"/>
    <x v="3"/>
    <x v="6"/>
    <x v="7"/>
    <x v="1"/>
    <x v="1"/>
  </r>
  <r>
    <s v="CP40"/>
    <s v="40734"/>
    <n v="1"/>
    <x v="3"/>
    <x v="6"/>
    <x v="7"/>
    <x v="1"/>
    <x v="1"/>
  </r>
  <r>
    <s v="CP40"/>
    <s v="40735"/>
    <n v="1"/>
    <x v="3"/>
    <x v="6"/>
    <x v="7"/>
    <x v="1"/>
    <x v="1"/>
  </r>
  <r>
    <s v="CP40"/>
    <s v="40736"/>
    <n v="1"/>
    <x v="3"/>
    <x v="6"/>
    <x v="7"/>
    <x v="1"/>
    <x v="1"/>
  </r>
  <r>
    <s v="CP40"/>
    <s v="40737"/>
    <n v="1"/>
    <x v="3"/>
    <x v="6"/>
    <x v="7"/>
    <x v="1"/>
    <x v="1"/>
  </r>
  <r>
    <s v="CP40"/>
    <s v="40738"/>
    <n v="1"/>
    <x v="3"/>
    <x v="6"/>
    <x v="7"/>
    <x v="1"/>
    <x v="1"/>
  </r>
  <r>
    <s v="CP40"/>
    <s v="40739"/>
    <n v="1"/>
    <x v="3"/>
    <x v="6"/>
    <x v="7"/>
    <x v="1"/>
    <x v="1"/>
  </r>
  <r>
    <s v="CP40"/>
    <s v="40740"/>
    <n v="1"/>
    <x v="3"/>
    <x v="6"/>
    <x v="7"/>
    <x v="1"/>
    <x v="1"/>
  </r>
  <r>
    <s v="CP40"/>
    <s v="40741"/>
    <n v="1"/>
    <x v="3"/>
    <x v="6"/>
    <x v="7"/>
    <x v="1"/>
    <x v="1"/>
  </r>
  <r>
    <s v="CP40"/>
    <s v="40742"/>
    <n v="1"/>
    <x v="3"/>
    <x v="6"/>
    <x v="7"/>
    <x v="1"/>
    <x v="1"/>
  </r>
  <r>
    <s v="CP40"/>
    <s v="40743"/>
    <n v="1"/>
    <x v="3"/>
    <x v="6"/>
    <x v="7"/>
    <x v="1"/>
    <x v="1"/>
  </r>
  <r>
    <s v="CP40"/>
    <s v="40744"/>
    <n v="1"/>
    <x v="3"/>
    <x v="6"/>
    <x v="7"/>
    <x v="1"/>
    <x v="1"/>
  </r>
  <r>
    <s v="CP40"/>
    <s v="40745"/>
    <n v="1"/>
    <x v="3"/>
    <x v="6"/>
    <x v="7"/>
    <x v="1"/>
    <x v="1"/>
  </r>
  <r>
    <s v="CP40"/>
    <s v="40746"/>
    <n v="1"/>
    <x v="3"/>
    <x v="6"/>
    <x v="7"/>
    <x v="1"/>
    <x v="1"/>
  </r>
  <r>
    <s v="CP40"/>
    <s v="40747"/>
    <n v="1"/>
    <x v="3"/>
    <x v="6"/>
    <x v="7"/>
    <x v="1"/>
    <x v="1"/>
  </r>
  <r>
    <s v="CP40"/>
    <s v="40748"/>
    <n v="1"/>
    <x v="3"/>
    <x v="6"/>
    <x v="7"/>
    <x v="1"/>
    <x v="1"/>
  </r>
  <r>
    <s v="CP40"/>
    <s v="40749"/>
    <n v="1"/>
    <x v="3"/>
    <x v="6"/>
    <x v="7"/>
    <x v="1"/>
    <x v="1"/>
  </r>
  <r>
    <s v="CP40"/>
    <s v="40750"/>
    <n v="1"/>
    <x v="3"/>
    <x v="6"/>
    <x v="7"/>
    <x v="1"/>
    <x v="1"/>
  </r>
  <r>
    <s v="CP40"/>
    <s v="40751"/>
    <n v="1"/>
    <x v="3"/>
    <x v="6"/>
    <x v="7"/>
    <x v="1"/>
    <x v="1"/>
  </r>
  <r>
    <s v="CP40"/>
    <s v="40752"/>
    <n v="1"/>
    <x v="3"/>
    <x v="6"/>
    <x v="7"/>
    <x v="1"/>
    <x v="1"/>
  </r>
  <r>
    <s v="CP40"/>
    <s v="40753"/>
    <n v="1"/>
    <x v="3"/>
    <x v="6"/>
    <x v="7"/>
    <x v="1"/>
    <x v="1"/>
  </r>
  <r>
    <s v="CP40"/>
    <s v="40754"/>
    <n v="1"/>
    <x v="3"/>
    <x v="6"/>
    <x v="7"/>
    <x v="1"/>
    <x v="1"/>
  </r>
  <r>
    <s v="CP40"/>
    <s v="40755"/>
    <n v="1"/>
    <x v="3"/>
    <x v="6"/>
    <x v="7"/>
    <x v="1"/>
    <x v="1"/>
  </r>
  <r>
    <s v="CP40"/>
    <s v="40756"/>
    <n v="1"/>
    <x v="3"/>
    <x v="6"/>
    <x v="7"/>
    <x v="1"/>
    <x v="1"/>
  </r>
  <r>
    <s v="CP40"/>
    <s v="40757"/>
    <n v="1"/>
    <x v="3"/>
    <x v="6"/>
    <x v="7"/>
    <x v="1"/>
    <x v="1"/>
  </r>
  <r>
    <s v="CP40"/>
    <s v="40758"/>
    <n v="1"/>
    <x v="3"/>
    <x v="6"/>
    <x v="7"/>
    <x v="1"/>
    <x v="1"/>
  </r>
  <r>
    <s v="CP40"/>
    <s v="40759"/>
    <n v="1"/>
    <x v="3"/>
    <x v="6"/>
    <x v="7"/>
    <x v="1"/>
    <x v="1"/>
  </r>
  <r>
    <s v="CP40"/>
    <s v="40760"/>
    <n v="1"/>
    <x v="3"/>
    <x v="6"/>
    <x v="7"/>
    <x v="1"/>
    <x v="1"/>
  </r>
  <r>
    <s v="CP40"/>
    <s v="40761"/>
    <n v="1"/>
    <x v="3"/>
    <x v="6"/>
    <x v="7"/>
    <x v="1"/>
    <x v="1"/>
  </r>
  <r>
    <s v="CP40"/>
    <s v="40762"/>
    <n v="1"/>
    <x v="3"/>
    <x v="6"/>
    <x v="7"/>
    <x v="1"/>
    <x v="1"/>
  </r>
  <r>
    <s v="CP40"/>
    <s v="40763"/>
    <n v="1"/>
    <x v="3"/>
    <x v="6"/>
    <x v="7"/>
    <x v="1"/>
    <x v="1"/>
  </r>
  <r>
    <s v="CP40"/>
    <s v="40764"/>
    <n v="1"/>
    <x v="3"/>
    <x v="6"/>
    <x v="7"/>
    <x v="1"/>
    <x v="1"/>
  </r>
  <r>
    <s v="CP40"/>
    <s v="40765"/>
    <n v="1"/>
    <x v="3"/>
    <x v="6"/>
    <x v="7"/>
    <x v="1"/>
    <x v="1"/>
  </r>
  <r>
    <s v="CP40"/>
    <s v="40766"/>
    <n v="1"/>
    <x v="3"/>
    <x v="6"/>
    <x v="7"/>
    <x v="1"/>
    <x v="1"/>
  </r>
  <r>
    <s v="CP40"/>
    <s v="40767"/>
    <n v="1"/>
    <x v="3"/>
    <x v="6"/>
    <x v="7"/>
    <x v="1"/>
    <x v="1"/>
  </r>
  <r>
    <s v="CP40"/>
    <s v="40769"/>
    <n v="1"/>
    <x v="3"/>
    <x v="6"/>
    <x v="7"/>
    <x v="1"/>
    <x v="1"/>
  </r>
  <r>
    <s v="CP40"/>
    <s v="40770"/>
    <n v="1"/>
    <x v="3"/>
    <x v="6"/>
    <x v="7"/>
    <x v="1"/>
    <x v="1"/>
  </r>
  <r>
    <s v="CP40"/>
    <s v="40771"/>
    <n v="1"/>
    <x v="3"/>
    <x v="6"/>
    <x v="7"/>
    <x v="1"/>
    <x v="1"/>
  </r>
  <r>
    <s v="CP40"/>
    <s v="40772"/>
    <n v="1"/>
    <x v="3"/>
    <x v="6"/>
    <x v="7"/>
    <x v="1"/>
    <x v="1"/>
  </r>
  <r>
    <s v="CP40"/>
    <s v="40905"/>
    <n v="1"/>
    <x v="3"/>
    <x v="6"/>
    <x v="7"/>
    <x v="1"/>
    <x v="1"/>
  </r>
  <r>
    <s v="CP40"/>
    <s v="40910"/>
    <n v="1"/>
    <x v="3"/>
    <x v="6"/>
    <x v="7"/>
    <x v="1"/>
    <x v="1"/>
  </r>
  <r>
    <s v="CP40"/>
    <s v="40915"/>
    <n v="1"/>
    <x v="3"/>
    <x v="6"/>
    <x v="7"/>
    <x v="1"/>
    <x v="1"/>
  </r>
  <r>
    <s v="CP40"/>
    <s v="40920"/>
    <n v="1"/>
    <x v="3"/>
    <x v="6"/>
    <x v="7"/>
    <x v="1"/>
    <x v="1"/>
  </r>
  <r>
    <s v="CP40"/>
    <s v="40925"/>
    <n v="1"/>
    <x v="3"/>
    <x v="6"/>
    <x v="7"/>
    <x v="1"/>
    <x v="1"/>
  </r>
  <r>
    <s v="CP40"/>
    <s v="40930"/>
    <n v="1"/>
    <x v="3"/>
    <x v="6"/>
    <x v="7"/>
    <x v="1"/>
    <x v="1"/>
  </r>
  <r>
    <s v="CP40"/>
    <s v="40255"/>
    <n v="1"/>
    <x v="4"/>
    <x v="7"/>
    <x v="8"/>
    <x v="1"/>
    <x v="1"/>
  </r>
  <r>
    <s v="CP40"/>
    <s v="40355"/>
    <n v="1"/>
    <x v="4"/>
    <x v="7"/>
    <x v="8"/>
    <x v="1"/>
    <x v="1"/>
  </r>
  <r>
    <s v="CP40"/>
    <s v="40230"/>
    <n v="198"/>
    <x v="4"/>
    <x v="7"/>
    <x v="8"/>
    <x v="1"/>
    <x v="0"/>
  </r>
  <r>
    <s v="CP40"/>
    <s v="40330"/>
    <n v="198"/>
    <x v="4"/>
    <x v="7"/>
    <x v="8"/>
    <x v="1"/>
    <x v="0"/>
  </r>
  <r>
    <s v="CP40"/>
    <s v="40405"/>
    <n v="1"/>
    <x v="4"/>
    <x v="7"/>
    <x v="8"/>
    <x v="1"/>
    <x v="0"/>
  </r>
  <r>
    <s v="CP40"/>
    <s v="40605"/>
    <n v="1"/>
    <x v="4"/>
    <x v="7"/>
    <x v="8"/>
    <x v="1"/>
    <x v="0"/>
  </r>
  <r>
    <s v="CP40"/>
    <s v="40005"/>
    <n v="1"/>
    <x v="4"/>
    <x v="7"/>
    <x v="8"/>
    <x v="1"/>
    <x v="1"/>
  </r>
  <r>
    <s v="CP40"/>
    <s v="40010"/>
    <n v="1"/>
    <x v="4"/>
    <x v="7"/>
    <x v="8"/>
    <x v="1"/>
    <x v="1"/>
  </r>
  <r>
    <s v="CP40"/>
    <s v="40015"/>
    <n v="1"/>
    <x v="4"/>
    <x v="7"/>
    <x v="8"/>
    <x v="1"/>
    <x v="1"/>
  </r>
  <r>
    <s v="CP40"/>
    <s v="40020"/>
    <n v="1"/>
    <x v="4"/>
    <x v="7"/>
    <x v="8"/>
    <x v="1"/>
    <x v="1"/>
  </r>
  <r>
    <s v="CP40"/>
    <s v="40025"/>
    <n v="1"/>
    <x v="4"/>
    <x v="7"/>
    <x v="8"/>
    <x v="1"/>
    <x v="1"/>
  </r>
  <r>
    <s v="CP40"/>
    <s v="40030"/>
    <n v="1"/>
    <x v="4"/>
    <x v="7"/>
    <x v="8"/>
    <x v="1"/>
    <x v="1"/>
  </r>
  <r>
    <s v="CP40"/>
    <s v="40105"/>
    <n v="1"/>
    <x v="4"/>
    <x v="7"/>
    <x v="8"/>
    <x v="1"/>
    <x v="1"/>
  </r>
  <r>
    <s v="CP40"/>
    <s v="40110"/>
    <n v="1"/>
    <x v="4"/>
    <x v="7"/>
    <x v="8"/>
    <x v="1"/>
    <x v="1"/>
  </r>
  <r>
    <s v="CP40"/>
    <s v="40115"/>
    <n v="1"/>
    <x v="4"/>
    <x v="7"/>
    <x v="8"/>
    <x v="1"/>
    <x v="1"/>
  </r>
  <r>
    <s v="CP40"/>
    <s v="40120"/>
    <n v="1"/>
    <x v="4"/>
    <x v="7"/>
    <x v="8"/>
    <x v="1"/>
    <x v="1"/>
  </r>
  <r>
    <s v="CP40"/>
    <s v="40125"/>
    <n v="1"/>
    <x v="4"/>
    <x v="7"/>
    <x v="8"/>
    <x v="1"/>
    <x v="1"/>
  </r>
  <r>
    <s v="CP40"/>
    <s v="40130"/>
    <n v="1"/>
    <x v="4"/>
    <x v="7"/>
    <x v="8"/>
    <x v="1"/>
    <x v="1"/>
  </r>
  <r>
    <s v="CP40"/>
    <s v="40205"/>
    <n v="1"/>
    <x v="4"/>
    <x v="7"/>
    <x v="8"/>
    <x v="1"/>
    <x v="1"/>
  </r>
  <r>
    <s v="CP40"/>
    <s v="40210"/>
    <n v="1"/>
    <x v="4"/>
    <x v="7"/>
    <x v="8"/>
    <x v="1"/>
    <x v="1"/>
  </r>
  <r>
    <s v="CP40"/>
    <s v="40215"/>
    <n v="1"/>
    <x v="4"/>
    <x v="7"/>
    <x v="8"/>
    <x v="1"/>
    <x v="1"/>
  </r>
  <r>
    <s v="CP40"/>
    <s v="40220"/>
    <n v="1"/>
    <x v="4"/>
    <x v="7"/>
    <x v="8"/>
    <x v="1"/>
    <x v="1"/>
  </r>
  <r>
    <s v="CP40"/>
    <s v="40225"/>
    <n v="1"/>
    <x v="4"/>
    <x v="7"/>
    <x v="8"/>
    <x v="1"/>
    <x v="1"/>
  </r>
  <r>
    <s v="CP40"/>
    <s v="40235"/>
    <n v="1"/>
    <x v="4"/>
    <x v="7"/>
    <x v="8"/>
    <x v="1"/>
    <x v="1"/>
  </r>
  <r>
    <s v="CP40"/>
    <s v="40245"/>
    <n v="1"/>
    <x v="4"/>
    <x v="7"/>
    <x v="8"/>
    <x v="1"/>
    <x v="1"/>
  </r>
  <r>
    <s v="CP40"/>
    <s v="40248"/>
    <n v="1"/>
    <x v="4"/>
    <x v="7"/>
    <x v="8"/>
    <x v="1"/>
    <x v="1"/>
  </r>
  <r>
    <s v="CP40"/>
    <s v="40250"/>
    <n v="1"/>
    <x v="4"/>
    <x v="7"/>
    <x v="8"/>
    <x v="1"/>
    <x v="1"/>
  </r>
  <r>
    <s v="CP40"/>
    <s v="40305"/>
    <n v="1"/>
    <x v="4"/>
    <x v="7"/>
    <x v="8"/>
    <x v="1"/>
    <x v="1"/>
  </r>
  <r>
    <s v="CP40"/>
    <s v="40310"/>
    <n v="1"/>
    <x v="4"/>
    <x v="7"/>
    <x v="8"/>
    <x v="1"/>
    <x v="1"/>
  </r>
  <r>
    <s v="CP40"/>
    <s v="40312"/>
    <n v="1"/>
    <x v="4"/>
    <x v="7"/>
    <x v="8"/>
    <x v="1"/>
    <x v="1"/>
  </r>
  <r>
    <s v="CP40"/>
    <s v="40314"/>
    <n v="1"/>
    <x v="4"/>
    <x v="7"/>
    <x v="8"/>
    <x v="1"/>
    <x v="1"/>
  </r>
  <r>
    <s v="CP40"/>
    <s v="40316"/>
    <n v="1"/>
    <x v="4"/>
    <x v="7"/>
    <x v="8"/>
    <x v="1"/>
    <x v="1"/>
  </r>
  <r>
    <s v="CP40"/>
    <s v="40318"/>
    <n v="1"/>
    <x v="4"/>
    <x v="7"/>
    <x v="8"/>
    <x v="1"/>
    <x v="1"/>
  </r>
  <r>
    <s v="CP40"/>
    <s v="40320"/>
    <n v="1"/>
    <x v="4"/>
    <x v="7"/>
    <x v="8"/>
    <x v="1"/>
    <x v="1"/>
  </r>
  <r>
    <s v="CP40"/>
    <s v="40325"/>
    <s v="`"/>
    <x v="4"/>
    <x v="7"/>
    <x v="8"/>
    <x v="1"/>
    <x v="1"/>
  </r>
  <r>
    <s v="CP40"/>
    <s v="40335"/>
    <n v="1"/>
    <x v="4"/>
    <x v="7"/>
    <x v="8"/>
    <x v="1"/>
    <x v="1"/>
  </r>
  <r>
    <s v="CP40"/>
    <s v="40345"/>
    <n v="1"/>
    <x v="4"/>
    <x v="7"/>
    <x v="8"/>
    <x v="1"/>
    <x v="1"/>
  </r>
  <r>
    <s v="CP40"/>
    <s v="40348"/>
    <n v="1"/>
    <x v="4"/>
    <x v="7"/>
    <x v="8"/>
    <x v="1"/>
    <x v="1"/>
  </r>
  <r>
    <s v="CP40"/>
    <s v="40350"/>
    <n v="1"/>
    <x v="4"/>
    <x v="7"/>
    <x v="8"/>
    <x v="1"/>
    <x v="1"/>
  </r>
  <r>
    <s v="CP40"/>
    <s v="40410"/>
    <n v="1"/>
    <x v="4"/>
    <x v="7"/>
    <x v="8"/>
    <x v="1"/>
    <x v="1"/>
  </r>
  <r>
    <s v="CP40"/>
    <s v="40415"/>
    <n v="1"/>
    <x v="4"/>
    <x v="7"/>
    <x v="8"/>
    <x v="1"/>
    <x v="1"/>
  </r>
  <r>
    <s v="CP40"/>
    <s v="40420"/>
    <n v="1"/>
    <x v="4"/>
    <x v="7"/>
    <x v="8"/>
    <x v="1"/>
    <x v="1"/>
  </r>
  <r>
    <s v="CP40"/>
    <s v="40425"/>
    <n v="1"/>
    <x v="4"/>
    <x v="7"/>
    <x v="8"/>
    <x v="1"/>
    <x v="1"/>
  </r>
  <r>
    <s v="CP40"/>
    <s v="40430"/>
    <n v="1"/>
    <x v="4"/>
    <x v="7"/>
    <x v="8"/>
    <x v="1"/>
    <x v="1"/>
  </r>
  <r>
    <s v="CP40"/>
    <s v="40610"/>
    <n v="1"/>
    <x v="4"/>
    <x v="7"/>
    <x v="8"/>
    <x v="1"/>
    <x v="1"/>
  </r>
  <r>
    <s v="CP40"/>
    <s v="40615"/>
    <n v="1"/>
    <x v="4"/>
    <x v="7"/>
    <x v="8"/>
    <x v="1"/>
    <x v="1"/>
  </r>
  <r>
    <s v="CP40"/>
    <s v="40620"/>
    <n v="1"/>
    <x v="4"/>
    <x v="7"/>
    <x v="8"/>
    <x v="1"/>
    <x v="1"/>
  </r>
  <r>
    <s v="CP40"/>
    <s v="40625"/>
    <n v="1"/>
    <x v="4"/>
    <x v="7"/>
    <x v="8"/>
    <x v="1"/>
    <x v="1"/>
  </r>
  <r>
    <s v="CP40"/>
    <s v="40630"/>
    <n v="1"/>
    <x v="4"/>
    <x v="7"/>
    <x v="8"/>
    <x v="1"/>
    <x v="1"/>
  </r>
  <r>
    <s v="CP40"/>
    <s v="40703"/>
    <n v="1"/>
    <x v="4"/>
    <x v="7"/>
    <x v="8"/>
    <x v="1"/>
    <x v="1"/>
  </r>
  <r>
    <s v="CP40"/>
    <s v="40704"/>
    <n v="1"/>
    <x v="4"/>
    <x v="7"/>
    <x v="8"/>
    <x v="1"/>
    <x v="1"/>
  </r>
  <r>
    <s v="CP40"/>
    <s v="40705"/>
    <n v="1"/>
    <x v="4"/>
    <x v="7"/>
    <x v="8"/>
    <x v="1"/>
    <x v="1"/>
  </r>
  <r>
    <s v="CP40"/>
    <s v="40706"/>
    <n v="1"/>
    <x v="4"/>
    <x v="7"/>
    <x v="8"/>
    <x v="1"/>
    <x v="1"/>
  </r>
  <r>
    <s v="CP40"/>
    <s v="40707"/>
    <n v="1"/>
    <x v="4"/>
    <x v="7"/>
    <x v="8"/>
    <x v="1"/>
    <x v="1"/>
  </r>
  <r>
    <s v="CP40"/>
    <s v="40708"/>
    <n v="1"/>
    <x v="4"/>
    <x v="7"/>
    <x v="8"/>
    <x v="1"/>
    <x v="1"/>
  </r>
  <r>
    <s v="CP40"/>
    <s v="40709"/>
    <n v="1"/>
    <x v="4"/>
    <x v="7"/>
    <x v="8"/>
    <x v="1"/>
    <x v="1"/>
  </r>
  <r>
    <s v="CP40"/>
    <s v="40710"/>
    <n v="1"/>
    <x v="4"/>
    <x v="7"/>
    <x v="8"/>
    <x v="1"/>
    <x v="1"/>
  </r>
  <r>
    <s v="CP40"/>
    <s v="40711"/>
    <n v="1"/>
    <x v="4"/>
    <x v="7"/>
    <x v="8"/>
    <x v="1"/>
    <x v="1"/>
  </r>
  <r>
    <s v="CP40"/>
    <s v="40712"/>
    <n v="1"/>
    <x v="4"/>
    <x v="7"/>
    <x v="8"/>
    <x v="1"/>
    <x v="1"/>
  </r>
  <r>
    <s v="CP40"/>
    <s v="40713"/>
    <n v="1"/>
    <x v="4"/>
    <x v="7"/>
    <x v="8"/>
    <x v="1"/>
    <x v="1"/>
  </r>
  <r>
    <s v="CP40"/>
    <s v="40714"/>
    <n v="1"/>
    <x v="4"/>
    <x v="7"/>
    <x v="8"/>
    <x v="1"/>
    <x v="1"/>
  </r>
  <r>
    <s v="CP40"/>
    <s v="40715"/>
    <n v="1"/>
    <x v="4"/>
    <x v="8"/>
    <x v="9"/>
    <x v="1"/>
    <x v="1"/>
  </r>
  <r>
    <s v="CP40"/>
    <s v="40716"/>
    <n v="1"/>
    <x v="4"/>
    <x v="8"/>
    <x v="9"/>
    <x v="1"/>
    <x v="1"/>
  </r>
  <r>
    <s v="CP40"/>
    <s v="40717"/>
    <n v="1"/>
    <x v="4"/>
    <x v="8"/>
    <x v="9"/>
    <x v="1"/>
    <x v="1"/>
  </r>
  <r>
    <s v="CP40"/>
    <s v="40718"/>
    <n v="1"/>
    <x v="4"/>
    <x v="8"/>
    <x v="9"/>
    <x v="1"/>
    <x v="1"/>
  </r>
  <r>
    <s v="CP40"/>
    <s v="40719"/>
    <n v="1"/>
    <x v="4"/>
    <x v="8"/>
    <x v="9"/>
    <x v="1"/>
    <x v="1"/>
  </r>
  <r>
    <s v="CP40"/>
    <s v="40720"/>
    <n v="1"/>
    <x v="4"/>
    <x v="8"/>
    <x v="9"/>
    <x v="1"/>
    <x v="1"/>
  </r>
  <r>
    <s v="CP40"/>
    <s v="40721"/>
    <n v="1"/>
    <x v="4"/>
    <x v="8"/>
    <x v="9"/>
    <x v="1"/>
    <x v="1"/>
  </r>
  <r>
    <s v="CP40"/>
    <s v="40722"/>
    <n v="1"/>
    <x v="4"/>
    <x v="8"/>
    <x v="9"/>
    <x v="1"/>
    <x v="1"/>
  </r>
  <r>
    <s v="CP40"/>
    <s v="40723"/>
    <n v="1"/>
    <x v="4"/>
    <x v="8"/>
    <x v="9"/>
    <x v="1"/>
    <x v="1"/>
  </r>
  <r>
    <s v="CP40"/>
    <s v="40724"/>
    <n v="1"/>
    <x v="4"/>
    <x v="8"/>
    <x v="9"/>
    <x v="1"/>
    <x v="1"/>
  </r>
  <r>
    <s v="CP40"/>
    <s v="40725"/>
    <n v="1"/>
    <x v="4"/>
    <x v="8"/>
    <x v="9"/>
    <x v="1"/>
    <x v="1"/>
  </r>
  <r>
    <s v="CP40"/>
    <s v="40726"/>
    <n v="1"/>
    <x v="4"/>
    <x v="8"/>
    <x v="9"/>
    <x v="1"/>
    <x v="1"/>
  </r>
  <r>
    <s v="CP40"/>
    <s v="40727"/>
    <n v="1"/>
    <x v="4"/>
    <x v="8"/>
    <x v="9"/>
    <x v="1"/>
    <x v="1"/>
  </r>
  <r>
    <s v="CP40"/>
    <s v="40728"/>
    <n v="1"/>
    <x v="4"/>
    <x v="8"/>
    <x v="9"/>
    <x v="1"/>
    <x v="1"/>
  </r>
  <r>
    <s v="CP40"/>
    <s v="40729"/>
    <n v="1"/>
    <x v="4"/>
    <x v="8"/>
    <x v="9"/>
    <x v="1"/>
    <x v="1"/>
  </r>
  <r>
    <s v="CP40"/>
    <s v="40730"/>
    <n v="1"/>
    <x v="4"/>
    <x v="8"/>
    <x v="9"/>
    <x v="1"/>
    <x v="1"/>
  </r>
  <r>
    <s v="CP40"/>
    <s v="40731"/>
    <n v="1"/>
    <x v="4"/>
    <x v="8"/>
    <x v="9"/>
    <x v="1"/>
    <x v="1"/>
  </r>
  <r>
    <s v="CP40"/>
    <s v="40732"/>
    <n v="1"/>
    <x v="4"/>
    <x v="8"/>
    <x v="9"/>
    <x v="1"/>
    <x v="1"/>
  </r>
  <r>
    <s v="CP40"/>
    <s v="40733"/>
    <n v="1"/>
    <x v="4"/>
    <x v="8"/>
    <x v="9"/>
    <x v="1"/>
    <x v="1"/>
  </r>
  <r>
    <s v="CP40"/>
    <s v="40734"/>
    <n v="1"/>
    <x v="4"/>
    <x v="8"/>
    <x v="9"/>
    <x v="1"/>
    <x v="1"/>
  </r>
  <r>
    <s v="CP40"/>
    <s v="40735"/>
    <n v="1"/>
    <x v="4"/>
    <x v="8"/>
    <x v="9"/>
    <x v="1"/>
    <x v="1"/>
  </r>
  <r>
    <s v="CP40"/>
    <s v="40736"/>
    <n v="1"/>
    <x v="4"/>
    <x v="8"/>
    <x v="9"/>
    <x v="1"/>
    <x v="1"/>
  </r>
  <r>
    <s v="CP40"/>
    <s v="40737"/>
    <n v="1"/>
    <x v="4"/>
    <x v="8"/>
    <x v="9"/>
    <x v="1"/>
    <x v="1"/>
  </r>
  <r>
    <s v="CP40"/>
    <s v="40738"/>
    <n v="1"/>
    <x v="4"/>
    <x v="8"/>
    <x v="9"/>
    <x v="1"/>
    <x v="1"/>
  </r>
  <r>
    <s v="CP40"/>
    <s v="40739"/>
    <n v="1"/>
    <x v="4"/>
    <x v="8"/>
    <x v="9"/>
    <x v="1"/>
    <x v="1"/>
  </r>
  <r>
    <s v="CP40"/>
    <s v="40740"/>
    <n v="1"/>
    <x v="4"/>
    <x v="8"/>
    <x v="9"/>
    <x v="1"/>
    <x v="1"/>
  </r>
  <r>
    <s v="CP40"/>
    <s v="40741"/>
    <n v="1"/>
    <x v="4"/>
    <x v="8"/>
    <x v="9"/>
    <x v="1"/>
    <x v="1"/>
  </r>
  <r>
    <s v="CP40"/>
    <s v="40742"/>
    <n v="1"/>
    <x v="4"/>
    <x v="8"/>
    <x v="9"/>
    <x v="1"/>
    <x v="1"/>
  </r>
  <r>
    <s v="CP40"/>
    <s v="40743"/>
    <n v="1"/>
    <x v="4"/>
    <x v="8"/>
    <x v="9"/>
    <x v="1"/>
    <x v="1"/>
  </r>
  <r>
    <s v="CP40"/>
    <s v="40744"/>
    <n v="1"/>
    <x v="4"/>
    <x v="8"/>
    <x v="9"/>
    <x v="1"/>
    <x v="1"/>
  </r>
  <r>
    <s v="CP40"/>
    <s v="40745"/>
    <n v="1"/>
    <x v="4"/>
    <x v="8"/>
    <x v="9"/>
    <x v="1"/>
    <x v="1"/>
  </r>
  <r>
    <s v="CP40"/>
    <s v="40746"/>
    <n v="1"/>
    <x v="4"/>
    <x v="8"/>
    <x v="9"/>
    <x v="1"/>
    <x v="1"/>
  </r>
  <r>
    <s v="CP40"/>
    <s v="40747"/>
    <n v="1"/>
    <x v="4"/>
    <x v="8"/>
    <x v="9"/>
    <x v="1"/>
    <x v="1"/>
  </r>
  <r>
    <s v="CP40"/>
    <s v="40748"/>
    <n v="1"/>
    <x v="4"/>
    <x v="8"/>
    <x v="9"/>
    <x v="1"/>
    <x v="1"/>
  </r>
  <r>
    <s v="CP40"/>
    <s v="40749"/>
    <n v="1"/>
    <x v="4"/>
    <x v="8"/>
    <x v="9"/>
    <x v="1"/>
    <x v="1"/>
  </r>
  <r>
    <s v="CP40"/>
    <s v="40750"/>
    <n v="1"/>
    <x v="4"/>
    <x v="8"/>
    <x v="9"/>
    <x v="1"/>
    <x v="1"/>
  </r>
  <r>
    <s v="CP40"/>
    <s v="40751"/>
    <n v="1"/>
    <x v="4"/>
    <x v="8"/>
    <x v="9"/>
    <x v="1"/>
    <x v="1"/>
  </r>
  <r>
    <s v="CP40"/>
    <s v="40752"/>
    <n v="1"/>
    <x v="4"/>
    <x v="8"/>
    <x v="9"/>
    <x v="1"/>
    <x v="1"/>
  </r>
  <r>
    <s v="CP40"/>
    <s v="40753"/>
    <n v="1"/>
    <x v="4"/>
    <x v="8"/>
    <x v="9"/>
    <x v="1"/>
    <x v="1"/>
  </r>
  <r>
    <s v="CP40"/>
    <s v="40754"/>
    <n v="1"/>
    <x v="4"/>
    <x v="8"/>
    <x v="9"/>
    <x v="1"/>
    <x v="1"/>
  </r>
  <r>
    <s v="CP40"/>
    <s v="40755"/>
    <n v="1"/>
    <x v="4"/>
    <x v="8"/>
    <x v="9"/>
    <x v="1"/>
    <x v="1"/>
  </r>
  <r>
    <s v="CP40"/>
    <s v="40756"/>
    <n v="1"/>
    <x v="4"/>
    <x v="8"/>
    <x v="9"/>
    <x v="1"/>
    <x v="1"/>
  </r>
  <r>
    <s v="CP40"/>
    <s v="40757"/>
    <n v="1"/>
    <x v="4"/>
    <x v="8"/>
    <x v="9"/>
    <x v="1"/>
    <x v="1"/>
  </r>
  <r>
    <s v="CP40"/>
    <s v="40758"/>
    <n v="1"/>
    <x v="4"/>
    <x v="8"/>
    <x v="9"/>
    <x v="1"/>
    <x v="1"/>
  </r>
  <r>
    <s v="CP40"/>
    <s v="40759"/>
    <n v="1"/>
    <x v="4"/>
    <x v="8"/>
    <x v="9"/>
    <x v="1"/>
    <x v="1"/>
  </r>
  <r>
    <s v="CP40"/>
    <s v="40760"/>
    <n v="1"/>
    <x v="4"/>
    <x v="8"/>
    <x v="9"/>
    <x v="1"/>
    <x v="1"/>
  </r>
  <r>
    <s v="CP40"/>
    <s v="40761"/>
    <n v="1"/>
    <x v="4"/>
    <x v="8"/>
    <x v="9"/>
    <x v="1"/>
    <x v="1"/>
  </r>
  <r>
    <s v="CP40"/>
    <s v="40762"/>
    <n v="1"/>
    <x v="4"/>
    <x v="8"/>
    <x v="9"/>
    <x v="1"/>
    <x v="1"/>
  </r>
  <r>
    <s v="CP40"/>
    <s v="40763"/>
    <n v="1"/>
    <x v="4"/>
    <x v="8"/>
    <x v="9"/>
    <x v="1"/>
    <x v="1"/>
  </r>
  <r>
    <s v="CP40"/>
    <s v="40764"/>
    <n v="1"/>
    <x v="4"/>
    <x v="8"/>
    <x v="9"/>
    <x v="1"/>
    <x v="1"/>
  </r>
  <r>
    <s v="CP40"/>
    <s v="40765"/>
    <n v="1"/>
    <x v="4"/>
    <x v="8"/>
    <x v="9"/>
    <x v="1"/>
    <x v="1"/>
  </r>
  <r>
    <s v="CP40"/>
    <s v="40766"/>
    <n v="1"/>
    <x v="4"/>
    <x v="8"/>
    <x v="9"/>
    <x v="1"/>
    <x v="1"/>
  </r>
  <r>
    <s v="CP40"/>
    <s v="40767"/>
    <n v="1"/>
    <x v="4"/>
    <x v="8"/>
    <x v="9"/>
    <x v="1"/>
    <x v="1"/>
  </r>
  <r>
    <s v="CP40"/>
    <s v="40769"/>
    <n v="1"/>
    <x v="4"/>
    <x v="8"/>
    <x v="9"/>
    <x v="1"/>
    <x v="1"/>
  </r>
  <r>
    <s v="CP40"/>
    <s v="40770"/>
    <n v="1"/>
    <x v="4"/>
    <x v="8"/>
    <x v="9"/>
    <x v="1"/>
    <x v="1"/>
  </r>
  <r>
    <s v="CP40"/>
    <s v="40771"/>
    <n v="1"/>
    <x v="4"/>
    <x v="8"/>
    <x v="9"/>
    <x v="1"/>
    <x v="1"/>
  </r>
  <r>
    <s v="CP40"/>
    <s v="40772"/>
    <n v="1"/>
    <x v="4"/>
    <x v="8"/>
    <x v="9"/>
    <x v="1"/>
    <x v="1"/>
  </r>
  <r>
    <s v="CP40"/>
    <s v="40905"/>
    <n v="1"/>
    <x v="4"/>
    <x v="8"/>
    <x v="9"/>
    <x v="1"/>
    <x v="1"/>
  </r>
  <r>
    <s v="CP40"/>
    <s v="40910"/>
    <n v="1"/>
    <x v="4"/>
    <x v="8"/>
    <x v="9"/>
    <x v="1"/>
    <x v="1"/>
  </r>
  <r>
    <s v="CP40"/>
    <s v="40915"/>
    <n v="1"/>
    <x v="4"/>
    <x v="8"/>
    <x v="9"/>
    <x v="1"/>
    <x v="1"/>
  </r>
  <r>
    <s v="CP40"/>
    <s v="40920"/>
    <n v="1"/>
    <x v="4"/>
    <x v="8"/>
    <x v="9"/>
    <x v="1"/>
    <x v="1"/>
  </r>
  <r>
    <s v="CP40"/>
    <s v="40925"/>
    <n v="1"/>
    <x v="4"/>
    <x v="8"/>
    <x v="9"/>
    <x v="1"/>
    <x v="1"/>
  </r>
  <r>
    <s v="CP40"/>
    <s v="40930"/>
    <n v="1"/>
    <x v="4"/>
    <x v="8"/>
    <x v="9"/>
    <x v="1"/>
    <x v="1"/>
  </r>
  <r>
    <s v="CP40"/>
    <s v="40255"/>
    <n v="1"/>
    <x v="5"/>
    <x v="9"/>
    <x v="10"/>
    <x v="2"/>
    <x v="1"/>
  </r>
  <r>
    <s v="CP40"/>
    <s v="40355"/>
    <n v="1"/>
    <x v="5"/>
    <x v="9"/>
    <x v="10"/>
    <x v="2"/>
    <x v="1"/>
  </r>
  <r>
    <s v="CP40"/>
    <s v="40230"/>
    <n v="198"/>
    <x v="5"/>
    <x v="9"/>
    <x v="10"/>
    <x v="2"/>
    <x v="1"/>
  </r>
  <r>
    <s v="CP40"/>
    <s v="40330"/>
    <n v="198"/>
    <x v="5"/>
    <x v="9"/>
    <x v="10"/>
    <x v="2"/>
    <x v="1"/>
  </r>
  <r>
    <s v="CP40"/>
    <s v="40405"/>
    <n v="1"/>
    <x v="5"/>
    <x v="9"/>
    <x v="10"/>
    <x v="2"/>
    <x v="1"/>
  </r>
  <r>
    <s v="CP40"/>
    <s v="40605"/>
    <n v="1"/>
    <x v="5"/>
    <x v="9"/>
    <x v="10"/>
    <x v="2"/>
    <x v="1"/>
  </r>
  <r>
    <s v="CP40"/>
    <s v="40005"/>
    <n v="1"/>
    <x v="5"/>
    <x v="9"/>
    <x v="10"/>
    <x v="2"/>
    <x v="1"/>
  </r>
  <r>
    <s v="CP40"/>
    <s v="40010"/>
    <n v="1"/>
    <x v="5"/>
    <x v="9"/>
    <x v="10"/>
    <x v="2"/>
    <x v="1"/>
  </r>
  <r>
    <s v="CP40"/>
    <s v="40015"/>
    <n v="1"/>
    <x v="5"/>
    <x v="9"/>
    <x v="10"/>
    <x v="2"/>
    <x v="1"/>
  </r>
  <r>
    <s v="CP40"/>
    <s v="40020"/>
    <n v="1"/>
    <x v="5"/>
    <x v="9"/>
    <x v="10"/>
    <x v="2"/>
    <x v="1"/>
  </r>
  <r>
    <s v="CP40"/>
    <s v="40025"/>
    <n v="1"/>
    <x v="5"/>
    <x v="9"/>
    <x v="10"/>
    <x v="2"/>
    <x v="1"/>
  </r>
  <r>
    <s v="CP40"/>
    <s v="40030"/>
    <n v="1"/>
    <x v="5"/>
    <x v="9"/>
    <x v="10"/>
    <x v="2"/>
    <x v="1"/>
  </r>
  <r>
    <s v="CP40"/>
    <s v="40105"/>
    <n v="1"/>
    <x v="5"/>
    <x v="9"/>
    <x v="10"/>
    <x v="2"/>
    <x v="1"/>
  </r>
  <r>
    <s v="CP40"/>
    <s v="40110"/>
    <n v="1"/>
    <x v="5"/>
    <x v="9"/>
    <x v="10"/>
    <x v="2"/>
    <x v="1"/>
  </r>
  <r>
    <s v="CP40"/>
    <s v="40115"/>
    <n v="1"/>
    <x v="5"/>
    <x v="9"/>
    <x v="10"/>
    <x v="2"/>
    <x v="1"/>
  </r>
  <r>
    <s v="CP40"/>
    <s v="40120"/>
    <n v="1"/>
    <x v="5"/>
    <x v="9"/>
    <x v="10"/>
    <x v="2"/>
    <x v="1"/>
  </r>
  <r>
    <s v="CP40"/>
    <s v="40125"/>
    <n v="1"/>
    <x v="5"/>
    <x v="9"/>
    <x v="10"/>
    <x v="2"/>
    <x v="1"/>
  </r>
  <r>
    <s v="CP40"/>
    <s v="40130"/>
    <n v="1"/>
    <x v="5"/>
    <x v="9"/>
    <x v="10"/>
    <x v="2"/>
    <x v="1"/>
  </r>
  <r>
    <s v="CP40"/>
    <s v="40205"/>
    <n v="1"/>
    <x v="5"/>
    <x v="9"/>
    <x v="10"/>
    <x v="2"/>
    <x v="1"/>
  </r>
  <r>
    <s v="CP40"/>
    <s v="40210"/>
    <n v="1"/>
    <x v="5"/>
    <x v="9"/>
    <x v="10"/>
    <x v="2"/>
    <x v="1"/>
  </r>
  <r>
    <s v="CP40"/>
    <s v="40215"/>
    <n v="1"/>
    <x v="5"/>
    <x v="9"/>
    <x v="10"/>
    <x v="2"/>
    <x v="1"/>
  </r>
  <r>
    <s v="CP40"/>
    <s v="40220"/>
    <n v="1"/>
    <x v="5"/>
    <x v="9"/>
    <x v="10"/>
    <x v="2"/>
    <x v="1"/>
  </r>
  <r>
    <s v="CP40"/>
    <s v="40225"/>
    <n v="1"/>
    <x v="5"/>
    <x v="9"/>
    <x v="10"/>
    <x v="2"/>
    <x v="1"/>
  </r>
  <r>
    <s v="CP40"/>
    <s v="40235"/>
    <n v="1"/>
    <x v="5"/>
    <x v="9"/>
    <x v="10"/>
    <x v="2"/>
    <x v="1"/>
  </r>
  <r>
    <s v="CP40"/>
    <s v="40245"/>
    <n v="1"/>
    <x v="5"/>
    <x v="9"/>
    <x v="10"/>
    <x v="2"/>
    <x v="1"/>
  </r>
  <r>
    <s v="CP40"/>
    <s v="40248"/>
    <n v="1"/>
    <x v="5"/>
    <x v="9"/>
    <x v="10"/>
    <x v="2"/>
    <x v="1"/>
  </r>
  <r>
    <s v="CP40"/>
    <s v="40250"/>
    <n v="1"/>
    <x v="5"/>
    <x v="9"/>
    <x v="10"/>
    <x v="2"/>
    <x v="1"/>
  </r>
  <r>
    <s v="CP40"/>
    <s v="40305"/>
    <n v="1"/>
    <x v="5"/>
    <x v="9"/>
    <x v="10"/>
    <x v="2"/>
    <x v="1"/>
  </r>
  <r>
    <s v="CP40"/>
    <s v="40310"/>
    <n v="1"/>
    <x v="5"/>
    <x v="9"/>
    <x v="10"/>
    <x v="2"/>
    <x v="1"/>
  </r>
  <r>
    <s v="CP40"/>
    <s v="40312"/>
    <n v="1"/>
    <x v="5"/>
    <x v="9"/>
    <x v="10"/>
    <x v="2"/>
    <x v="1"/>
  </r>
  <r>
    <s v="CP40"/>
    <s v="40314"/>
    <n v="1"/>
    <x v="5"/>
    <x v="9"/>
    <x v="10"/>
    <x v="2"/>
    <x v="1"/>
  </r>
  <r>
    <s v="CP40"/>
    <s v="40316"/>
    <n v="1"/>
    <x v="5"/>
    <x v="9"/>
    <x v="10"/>
    <x v="2"/>
    <x v="1"/>
  </r>
  <r>
    <s v="CP40"/>
    <s v="40318"/>
    <n v="1"/>
    <x v="5"/>
    <x v="9"/>
    <x v="10"/>
    <x v="2"/>
    <x v="1"/>
  </r>
  <r>
    <s v="CP40"/>
    <s v="40320"/>
    <n v="1"/>
    <x v="5"/>
    <x v="9"/>
    <x v="10"/>
    <x v="2"/>
    <x v="1"/>
  </r>
  <r>
    <s v="CP40"/>
    <s v="40325"/>
    <s v="`"/>
    <x v="5"/>
    <x v="9"/>
    <x v="10"/>
    <x v="2"/>
    <x v="1"/>
  </r>
  <r>
    <s v="CP40"/>
    <s v="40335"/>
    <n v="1"/>
    <x v="5"/>
    <x v="9"/>
    <x v="10"/>
    <x v="2"/>
    <x v="1"/>
  </r>
  <r>
    <s v="CP40"/>
    <s v="40345"/>
    <n v="1"/>
    <x v="5"/>
    <x v="9"/>
    <x v="10"/>
    <x v="2"/>
    <x v="1"/>
  </r>
  <r>
    <s v="CP40"/>
    <s v="40348"/>
    <n v="1"/>
    <x v="5"/>
    <x v="9"/>
    <x v="10"/>
    <x v="2"/>
    <x v="1"/>
  </r>
  <r>
    <s v="CP40"/>
    <s v="40350"/>
    <n v="1"/>
    <x v="5"/>
    <x v="9"/>
    <x v="10"/>
    <x v="2"/>
    <x v="1"/>
  </r>
  <r>
    <s v="CP40"/>
    <s v="40410"/>
    <n v="1"/>
    <x v="5"/>
    <x v="9"/>
    <x v="10"/>
    <x v="2"/>
    <x v="1"/>
  </r>
  <r>
    <s v="CP40"/>
    <s v="40415"/>
    <n v="1"/>
    <x v="5"/>
    <x v="9"/>
    <x v="10"/>
    <x v="2"/>
    <x v="1"/>
  </r>
  <r>
    <s v="CP40"/>
    <s v="40420"/>
    <n v="1"/>
    <x v="5"/>
    <x v="9"/>
    <x v="10"/>
    <x v="2"/>
    <x v="1"/>
  </r>
  <r>
    <s v="CP40"/>
    <s v="40425"/>
    <n v="1"/>
    <x v="5"/>
    <x v="9"/>
    <x v="10"/>
    <x v="2"/>
    <x v="1"/>
  </r>
  <r>
    <s v="CP40"/>
    <s v="40430"/>
    <n v="1"/>
    <x v="5"/>
    <x v="9"/>
    <x v="10"/>
    <x v="2"/>
    <x v="1"/>
  </r>
  <r>
    <s v="CP40"/>
    <s v="40610"/>
    <n v="1"/>
    <x v="5"/>
    <x v="9"/>
    <x v="10"/>
    <x v="2"/>
    <x v="1"/>
  </r>
  <r>
    <s v="CP40"/>
    <s v="40615"/>
    <n v="1"/>
    <x v="5"/>
    <x v="9"/>
    <x v="10"/>
    <x v="2"/>
    <x v="1"/>
  </r>
  <r>
    <s v="CP40"/>
    <s v="40620"/>
    <n v="1"/>
    <x v="5"/>
    <x v="9"/>
    <x v="10"/>
    <x v="2"/>
    <x v="1"/>
  </r>
  <r>
    <s v="CP40"/>
    <s v="40625"/>
    <n v="1"/>
    <x v="5"/>
    <x v="9"/>
    <x v="10"/>
    <x v="2"/>
    <x v="1"/>
  </r>
  <r>
    <s v="CP40"/>
    <s v="40630"/>
    <n v="1"/>
    <x v="5"/>
    <x v="9"/>
    <x v="10"/>
    <x v="2"/>
    <x v="1"/>
  </r>
  <r>
    <s v="CP40"/>
    <s v="40703"/>
    <n v="1"/>
    <x v="5"/>
    <x v="9"/>
    <x v="10"/>
    <x v="2"/>
    <x v="1"/>
  </r>
  <r>
    <s v="CP40"/>
    <s v="40704"/>
    <n v="1"/>
    <x v="5"/>
    <x v="9"/>
    <x v="10"/>
    <x v="2"/>
    <x v="1"/>
  </r>
  <r>
    <s v="CP40"/>
    <s v="40705"/>
    <n v="1"/>
    <x v="5"/>
    <x v="9"/>
    <x v="10"/>
    <x v="2"/>
    <x v="1"/>
  </r>
  <r>
    <s v="CP40"/>
    <s v="40706"/>
    <n v="1"/>
    <x v="5"/>
    <x v="9"/>
    <x v="10"/>
    <x v="2"/>
    <x v="1"/>
  </r>
  <r>
    <s v="CP40"/>
    <s v="40707"/>
    <n v="1"/>
    <x v="5"/>
    <x v="9"/>
    <x v="10"/>
    <x v="2"/>
    <x v="1"/>
  </r>
  <r>
    <s v="CP40"/>
    <s v="40708"/>
    <n v="1"/>
    <x v="5"/>
    <x v="9"/>
    <x v="10"/>
    <x v="2"/>
    <x v="1"/>
  </r>
  <r>
    <s v="CP40"/>
    <s v="40709"/>
    <n v="1"/>
    <x v="5"/>
    <x v="9"/>
    <x v="10"/>
    <x v="2"/>
    <x v="1"/>
  </r>
  <r>
    <s v="CP40"/>
    <s v="40710"/>
    <n v="1"/>
    <x v="5"/>
    <x v="9"/>
    <x v="10"/>
    <x v="2"/>
    <x v="1"/>
  </r>
  <r>
    <s v="CP40"/>
    <s v="40711"/>
    <n v="1"/>
    <x v="5"/>
    <x v="9"/>
    <x v="10"/>
    <x v="2"/>
    <x v="1"/>
  </r>
  <r>
    <s v="CP40"/>
    <s v="40712"/>
    <n v="1"/>
    <x v="5"/>
    <x v="9"/>
    <x v="10"/>
    <x v="2"/>
    <x v="1"/>
  </r>
  <r>
    <s v="CP40"/>
    <s v="40713"/>
    <n v="1"/>
    <x v="5"/>
    <x v="9"/>
    <x v="10"/>
    <x v="2"/>
    <x v="1"/>
  </r>
  <r>
    <s v="CP40"/>
    <s v="40714"/>
    <n v="1"/>
    <x v="5"/>
    <x v="9"/>
    <x v="10"/>
    <x v="2"/>
    <x v="1"/>
  </r>
  <r>
    <s v="CP40"/>
    <s v="40715"/>
    <n v="1"/>
    <x v="5"/>
    <x v="9"/>
    <x v="10"/>
    <x v="2"/>
    <x v="1"/>
  </r>
  <r>
    <s v="CP40"/>
    <s v="40716"/>
    <n v="1"/>
    <x v="5"/>
    <x v="9"/>
    <x v="10"/>
    <x v="2"/>
    <x v="1"/>
  </r>
  <r>
    <s v="CP40"/>
    <s v="40717"/>
    <n v="1"/>
    <x v="5"/>
    <x v="9"/>
    <x v="10"/>
    <x v="2"/>
    <x v="1"/>
  </r>
  <r>
    <s v="CP40"/>
    <s v="40718"/>
    <n v="1"/>
    <x v="5"/>
    <x v="9"/>
    <x v="10"/>
    <x v="2"/>
    <x v="1"/>
  </r>
  <r>
    <s v="CP40"/>
    <s v="40719"/>
    <n v="1"/>
    <x v="5"/>
    <x v="9"/>
    <x v="10"/>
    <x v="2"/>
    <x v="1"/>
  </r>
  <r>
    <s v="CP40"/>
    <s v="40720"/>
    <n v="1"/>
    <x v="5"/>
    <x v="9"/>
    <x v="10"/>
    <x v="2"/>
    <x v="1"/>
  </r>
  <r>
    <s v="CP40"/>
    <s v="40721"/>
    <n v="1"/>
    <x v="5"/>
    <x v="9"/>
    <x v="10"/>
    <x v="2"/>
    <x v="1"/>
  </r>
  <r>
    <s v="CP40"/>
    <s v="40722"/>
    <n v="1"/>
    <x v="5"/>
    <x v="9"/>
    <x v="10"/>
    <x v="2"/>
    <x v="1"/>
  </r>
  <r>
    <s v="CP40"/>
    <s v="40723"/>
    <n v="1"/>
    <x v="5"/>
    <x v="9"/>
    <x v="10"/>
    <x v="2"/>
    <x v="1"/>
  </r>
  <r>
    <s v="CP40"/>
    <s v="40724"/>
    <n v="1"/>
    <x v="5"/>
    <x v="9"/>
    <x v="10"/>
    <x v="2"/>
    <x v="1"/>
  </r>
  <r>
    <s v="CP40"/>
    <s v="40725"/>
    <n v="1"/>
    <x v="5"/>
    <x v="9"/>
    <x v="10"/>
    <x v="2"/>
    <x v="1"/>
  </r>
  <r>
    <s v="CP40"/>
    <s v="40726"/>
    <n v="1"/>
    <x v="5"/>
    <x v="9"/>
    <x v="10"/>
    <x v="2"/>
    <x v="1"/>
  </r>
  <r>
    <s v="CP40"/>
    <s v="40727"/>
    <n v="1"/>
    <x v="5"/>
    <x v="9"/>
    <x v="10"/>
    <x v="2"/>
    <x v="1"/>
  </r>
  <r>
    <s v="CP40"/>
    <s v="40728"/>
    <n v="1"/>
    <x v="5"/>
    <x v="9"/>
    <x v="10"/>
    <x v="2"/>
    <x v="1"/>
  </r>
  <r>
    <s v="CP40"/>
    <s v="40729"/>
    <n v="1"/>
    <x v="5"/>
    <x v="9"/>
    <x v="10"/>
    <x v="2"/>
    <x v="1"/>
  </r>
  <r>
    <s v="CP40"/>
    <s v="40730"/>
    <n v="1"/>
    <x v="5"/>
    <x v="9"/>
    <x v="10"/>
    <x v="2"/>
    <x v="1"/>
  </r>
  <r>
    <s v="CP40"/>
    <s v="40731"/>
    <n v="1"/>
    <x v="5"/>
    <x v="9"/>
    <x v="10"/>
    <x v="2"/>
    <x v="1"/>
  </r>
  <r>
    <s v="CP40"/>
    <s v="40732"/>
    <n v="1"/>
    <x v="5"/>
    <x v="9"/>
    <x v="10"/>
    <x v="2"/>
    <x v="1"/>
  </r>
  <r>
    <s v="CP40"/>
    <s v="40733"/>
    <n v="1"/>
    <x v="5"/>
    <x v="9"/>
    <x v="10"/>
    <x v="2"/>
    <x v="1"/>
  </r>
  <r>
    <s v="CP40"/>
    <s v="40734"/>
    <n v="1"/>
    <x v="5"/>
    <x v="9"/>
    <x v="10"/>
    <x v="2"/>
    <x v="1"/>
  </r>
  <r>
    <s v="CP40"/>
    <s v="40735"/>
    <n v="1"/>
    <x v="5"/>
    <x v="9"/>
    <x v="10"/>
    <x v="2"/>
    <x v="1"/>
  </r>
  <r>
    <s v="CP40"/>
    <s v="40736"/>
    <n v="1"/>
    <x v="5"/>
    <x v="9"/>
    <x v="10"/>
    <x v="2"/>
    <x v="1"/>
  </r>
  <r>
    <s v="CP40"/>
    <s v="40737"/>
    <n v="1"/>
    <x v="5"/>
    <x v="9"/>
    <x v="10"/>
    <x v="2"/>
    <x v="1"/>
  </r>
  <r>
    <s v="CP40"/>
    <s v="40738"/>
    <n v="1"/>
    <x v="5"/>
    <x v="9"/>
    <x v="10"/>
    <x v="2"/>
    <x v="1"/>
  </r>
  <r>
    <s v="CP40"/>
    <s v="40739"/>
    <n v="1"/>
    <x v="5"/>
    <x v="9"/>
    <x v="10"/>
    <x v="2"/>
    <x v="1"/>
  </r>
  <r>
    <s v="CP40"/>
    <s v="40740"/>
    <n v="1"/>
    <x v="5"/>
    <x v="9"/>
    <x v="10"/>
    <x v="2"/>
    <x v="1"/>
  </r>
  <r>
    <s v="CP40"/>
    <s v="40741"/>
    <n v="1"/>
    <x v="5"/>
    <x v="9"/>
    <x v="10"/>
    <x v="2"/>
    <x v="1"/>
  </r>
  <r>
    <s v="CP40"/>
    <s v="40742"/>
    <n v="1"/>
    <x v="5"/>
    <x v="9"/>
    <x v="10"/>
    <x v="2"/>
    <x v="1"/>
  </r>
  <r>
    <s v="CP40"/>
    <s v="40743"/>
    <n v="1"/>
    <x v="5"/>
    <x v="9"/>
    <x v="10"/>
    <x v="2"/>
    <x v="1"/>
  </r>
  <r>
    <s v="CP40"/>
    <s v="40744"/>
    <n v="1"/>
    <x v="5"/>
    <x v="9"/>
    <x v="10"/>
    <x v="2"/>
    <x v="1"/>
  </r>
  <r>
    <s v="CP40"/>
    <s v="40745"/>
    <n v="1"/>
    <x v="5"/>
    <x v="9"/>
    <x v="10"/>
    <x v="2"/>
    <x v="1"/>
  </r>
  <r>
    <s v="CP40"/>
    <s v="40746"/>
    <n v="1"/>
    <x v="5"/>
    <x v="9"/>
    <x v="10"/>
    <x v="2"/>
    <x v="1"/>
  </r>
  <r>
    <s v="CP40"/>
    <s v="40747"/>
    <n v="1"/>
    <x v="5"/>
    <x v="9"/>
    <x v="10"/>
    <x v="2"/>
    <x v="1"/>
  </r>
  <r>
    <s v="CP40"/>
    <s v="40748"/>
    <n v="1"/>
    <x v="5"/>
    <x v="9"/>
    <x v="10"/>
    <x v="2"/>
    <x v="1"/>
  </r>
  <r>
    <s v="CP40"/>
    <s v="40749"/>
    <n v="1"/>
    <x v="5"/>
    <x v="9"/>
    <x v="10"/>
    <x v="2"/>
    <x v="1"/>
  </r>
  <r>
    <s v="CP40"/>
    <s v="40750"/>
    <n v="1"/>
    <x v="5"/>
    <x v="9"/>
    <x v="10"/>
    <x v="2"/>
    <x v="1"/>
  </r>
  <r>
    <s v="CP40"/>
    <s v="40751"/>
    <n v="1"/>
    <x v="5"/>
    <x v="9"/>
    <x v="10"/>
    <x v="2"/>
    <x v="1"/>
  </r>
  <r>
    <s v="CP40"/>
    <s v="40752"/>
    <n v="1"/>
    <x v="5"/>
    <x v="9"/>
    <x v="10"/>
    <x v="2"/>
    <x v="1"/>
  </r>
  <r>
    <s v="CP40"/>
    <s v="40753"/>
    <n v="1"/>
    <x v="5"/>
    <x v="9"/>
    <x v="10"/>
    <x v="2"/>
    <x v="1"/>
  </r>
  <r>
    <s v="CP40"/>
    <s v="40754"/>
    <n v="1"/>
    <x v="5"/>
    <x v="9"/>
    <x v="10"/>
    <x v="2"/>
    <x v="1"/>
  </r>
  <r>
    <s v="CP40"/>
    <s v="40755"/>
    <n v="1"/>
    <x v="5"/>
    <x v="9"/>
    <x v="10"/>
    <x v="2"/>
    <x v="1"/>
  </r>
  <r>
    <s v="CP40"/>
    <s v="40756"/>
    <n v="1"/>
    <x v="5"/>
    <x v="9"/>
    <x v="10"/>
    <x v="2"/>
    <x v="1"/>
  </r>
  <r>
    <s v="CP40"/>
    <s v="40757"/>
    <n v="1"/>
    <x v="5"/>
    <x v="9"/>
    <x v="10"/>
    <x v="2"/>
    <x v="1"/>
  </r>
  <r>
    <s v="CP40"/>
    <s v="40758"/>
    <n v="1"/>
    <x v="5"/>
    <x v="9"/>
    <x v="10"/>
    <x v="2"/>
    <x v="1"/>
  </r>
  <r>
    <s v="CP40"/>
    <s v="40759"/>
    <n v="1"/>
    <x v="5"/>
    <x v="9"/>
    <x v="10"/>
    <x v="2"/>
    <x v="1"/>
  </r>
  <r>
    <s v="CP40"/>
    <s v="40760"/>
    <n v="1"/>
    <x v="5"/>
    <x v="9"/>
    <x v="10"/>
    <x v="2"/>
    <x v="1"/>
  </r>
  <r>
    <s v="CP40"/>
    <s v="40761"/>
    <n v="1"/>
    <x v="5"/>
    <x v="9"/>
    <x v="10"/>
    <x v="2"/>
    <x v="1"/>
  </r>
  <r>
    <s v="CP40"/>
    <s v="40762"/>
    <n v="1"/>
    <x v="5"/>
    <x v="9"/>
    <x v="10"/>
    <x v="2"/>
    <x v="1"/>
  </r>
  <r>
    <s v="CP40"/>
    <s v="40763"/>
    <n v="1"/>
    <x v="5"/>
    <x v="9"/>
    <x v="10"/>
    <x v="2"/>
    <x v="1"/>
  </r>
  <r>
    <s v="CP40"/>
    <s v="40764"/>
    <n v="1"/>
    <x v="5"/>
    <x v="9"/>
    <x v="10"/>
    <x v="2"/>
    <x v="1"/>
  </r>
  <r>
    <s v="CP40"/>
    <s v="40765"/>
    <n v="1"/>
    <x v="5"/>
    <x v="9"/>
    <x v="10"/>
    <x v="2"/>
    <x v="1"/>
  </r>
  <r>
    <s v="CP40"/>
    <s v="40766"/>
    <n v="1"/>
    <x v="5"/>
    <x v="9"/>
    <x v="10"/>
    <x v="2"/>
    <x v="1"/>
  </r>
  <r>
    <s v="CP40"/>
    <s v="40767"/>
    <n v="1"/>
    <x v="5"/>
    <x v="9"/>
    <x v="10"/>
    <x v="2"/>
    <x v="1"/>
  </r>
  <r>
    <s v="CP40"/>
    <s v="40769"/>
    <n v="1"/>
    <x v="5"/>
    <x v="9"/>
    <x v="10"/>
    <x v="2"/>
    <x v="1"/>
  </r>
  <r>
    <s v="CP40"/>
    <s v="40770"/>
    <n v="1"/>
    <x v="5"/>
    <x v="9"/>
    <x v="10"/>
    <x v="2"/>
    <x v="1"/>
  </r>
  <r>
    <s v="CP40"/>
    <s v="40771"/>
    <n v="1"/>
    <x v="5"/>
    <x v="9"/>
    <x v="10"/>
    <x v="2"/>
    <x v="1"/>
  </r>
  <r>
    <s v="CP40"/>
    <s v="40772"/>
    <n v="1"/>
    <x v="5"/>
    <x v="9"/>
    <x v="10"/>
    <x v="2"/>
    <x v="1"/>
  </r>
  <r>
    <s v="CP40"/>
    <s v="40905"/>
    <n v="1"/>
    <x v="5"/>
    <x v="9"/>
    <x v="10"/>
    <x v="2"/>
    <x v="1"/>
  </r>
  <r>
    <s v="CP40"/>
    <s v="40910"/>
    <n v="1"/>
    <x v="5"/>
    <x v="9"/>
    <x v="10"/>
    <x v="2"/>
    <x v="1"/>
  </r>
  <r>
    <s v="CP40"/>
    <s v="40915"/>
    <n v="1"/>
    <x v="5"/>
    <x v="9"/>
    <x v="10"/>
    <x v="2"/>
    <x v="1"/>
  </r>
  <r>
    <s v="CP40"/>
    <s v="40920"/>
    <n v="1"/>
    <x v="5"/>
    <x v="9"/>
    <x v="10"/>
    <x v="2"/>
    <x v="1"/>
  </r>
  <r>
    <s v="CP40"/>
    <s v="40925"/>
    <n v="1"/>
    <x v="5"/>
    <x v="9"/>
    <x v="10"/>
    <x v="2"/>
    <x v="1"/>
  </r>
  <r>
    <s v="CP40"/>
    <s v="40930"/>
    <n v="1"/>
    <x v="5"/>
    <x v="9"/>
    <x v="10"/>
    <x v="2"/>
    <x v="1"/>
  </r>
  <r>
    <s v="CP40"/>
    <s v="40255"/>
    <n v="1"/>
    <x v="6"/>
    <x v="10"/>
    <x v="11"/>
    <x v="1"/>
    <x v="1"/>
  </r>
  <r>
    <s v="CP40"/>
    <s v="40355"/>
    <n v="1"/>
    <x v="6"/>
    <x v="10"/>
    <x v="11"/>
    <x v="1"/>
    <x v="1"/>
  </r>
  <r>
    <s v="CP40"/>
    <s v="40230"/>
    <n v="198"/>
    <x v="6"/>
    <x v="10"/>
    <x v="11"/>
    <x v="1"/>
    <x v="1"/>
  </r>
  <r>
    <s v="CP40"/>
    <s v="40330"/>
    <n v="198"/>
    <x v="6"/>
    <x v="10"/>
    <x v="11"/>
    <x v="1"/>
    <x v="1"/>
  </r>
  <r>
    <s v="CP40"/>
    <s v="40405"/>
    <n v="1"/>
    <x v="6"/>
    <x v="10"/>
    <x v="11"/>
    <x v="1"/>
    <x v="1"/>
  </r>
  <r>
    <s v="CP40"/>
    <s v="40605"/>
    <n v="1"/>
    <x v="6"/>
    <x v="10"/>
    <x v="11"/>
    <x v="1"/>
    <x v="1"/>
  </r>
  <r>
    <s v="CP40"/>
    <s v="40005"/>
    <n v="1"/>
    <x v="6"/>
    <x v="10"/>
    <x v="11"/>
    <x v="1"/>
    <x v="1"/>
  </r>
  <r>
    <s v="CP40"/>
    <s v="40010"/>
    <n v="1"/>
    <x v="6"/>
    <x v="10"/>
    <x v="11"/>
    <x v="1"/>
    <x v="1"/>
  </r>
  <r>
    <s v="CP40"/>
    <s v="40015"/>
    <n v="1"/>
    <x v="6"/>
    <x v="10"/>
    <x v="11"/>
    <x v="1"/>
    <x v="1"/>
  </r>
  <r>
    <s v="CP40"/>
    <s v="40020"/>
    <n v="1"/>
    <x v="6"/>
    <x v="10"/>
    <x v="11"/>
    <x v="1"/>
    <x v="1"/>
  </r>
  <r>
    <s v="CP40"/>
    <s v="40025"/>
    <n v="1"/>
    <x v="6"/>
    <x v="10"/>
    <x v="11"/>
    <x v="1"/>
    <x v="1"/>
  </r>
  <r>
    <s v="CP40"/>
    <s v="40030"/>
    <n v="1"/>
    <x v="6"/>
    <x v="10"/>
    <x v="11"/>
    <x v="1"/>
    <x v="1"/>
  </r>
  <r>
    <s v="CP40"/>
    <s v="40105"/>
    <n v="1"/>
    <x v="6"/>
    <x v="10"/>
    <x v="11"/>
    <x v="1"/>
    <x v="1"/>
  </r>
  <r>
    <s v="CP40"/>
    <s v="40110"/>
    <n v="1"/>
    <x v="6"/>
    <x v="10"/>
    <x v="11"/>
    <x v="1"/>
    <x v="1"/>
  </r>
  <r>
    <s v="CP40"/>
    <s v="40115"/>
    <n v="1"/>
    <x v="6"/>
    <x v="10"/>
    <x v="11"/>
    <x v="1"/>
    <x v="1"/>
  </r>
  <r>
    <s v="CP40"/>
    <s v="40120"/>
    <n v="1"/>
    <x v="6"/>
    <x v="10"/>
    <x v="11"/>
    <x v="1"/>
    <x v="1"/>
  </r>
  <r>
    <s v="CP40"/>
    <s v="40125"/>
    <n v="1"/>
    <x v="6"/>
    <x v="10"/>
    <x v="11"/>
    <x v="1"/>
    <x v="1"/>
  </r>
  <r>
    <s v="CP40"/>
    <s v="40130"/>
    <n v="1"/>
    <x v="6"/>
    <x v="10"/>
    <x v="11"/>
    <x v="1"/>
    <x v="1"/>
  </r>
  <r>
    <s v="CP40"/>
    <s v="40205"/>
    <n v="1"/>
    <x v="6"/>
    <x v="10"/>
    <x v="11"/>
    <x v="1"/>
    <x v="1"/>
  </r>
  <r>
    <s v="CP40"/>
    <s v="40210"/>
    <n v="1"/>
    <x v="6"/>
    <x v="10"/>
    <x v="11"/>
    <x v="1"/>
    <x v="1"/>
  </r>
  <r>
    <s v="CP40"/>
    <s v="40215"/>
    <n v="1"/>
    <x v="6"/>
    <x v="10"/>
    <x v="11"/>
    <x v="1"/>
    <x v="1"/>
  </r>
  <r>
    <s v="CP40"/>
    <s v="40220"/>
    <n v="1"/>
    <x v="6"/>
    <x v="10"/>
    <x v="11"/>
    <x v="1"/>
    <x v="1"/>
  </r>
  <r>
    <s v="CP40"/>
    <s v="40225"/>
    <n v="1"/>
    <x v="6"/>
    <x v="10"/>
    <x v="11"/>
    <x v="1"/>
    <x v="1"/>
  </r>
  <r>
    <s v="CP40"/>
    <s v="40235"/>
    <n v="1"/>
    <x v="6"/>
    <x v="10"/>
    <x v="11"/>
    <x v="1"/>
    <x v="1"/>
  </r>
  <r>
    <s v="CP40"/>
    <s v="40245"/>
    <n v="1"/>
    <x v="6"/>
    <x v="10"/>
    <x v="11"/>
    <x v="1"/>
    <x v="1"/>
  </r>
  <r>
    <s v="CP40"/>
    <s v="40248"/>
    <n v="1"/>
    <x v="6"/>
    <x v="10"/>
    <x v="11"/>
    <x v="1"/>
    <x v="1"/>
  </r>
  <r>
    <s v="CP40"/>
    <s v="40250"/>
    <n v="1"/>
    <x v="6"/>
    <x v="10"/>
    <x v="11"/>
    <x v="1"/>
    <x v="1"/>
  </r>
  <r>
    <s v="CP40"/>
    <s v="40305"/>
    <n v="1"/>
    <x v="6"/>
    <x v="10"/>
    <x v="11"/>
    <x v="1"/>
    <x v="1"/>
  </r>
  <r>
    <s v="CP40"/>
    <s v="40310"/>
    <n v="1"/>
    <x v="6"/>
    <x v="10"/>
    <x v="11"/>
    <x v="1"/>
    <x v="1"/>
  </r>
  <r>
    <s v="CP40"/>
    <s v="40312"/>
    <n v="1"/>
    <x v="6"/>
    <x v="10"/>
    <x v="11"/>
    <x v="1"/>
    <x v="1"/>
  </r>
  <r>
    <s v="CP40"/>
    <s v="40314"/>
    <n v="1"/>
    <x v="6"/>
    <x v="10"/>
    <x v="11"/>
    <x v="1"/>
    <x v="1"/>
  </r>
  <r>
    <s v="CP40"/>
    <s v="40316"/>
    <n v="1"/>
    <x v="6"/>
    <x v="10"/>
    <x v="11"/>
    <x v="1"/>
    <x v="1"/>
  </r>
  <r>
    <s v="CP40"/>
    <s v="40318"/>
    <n v="1"/>
    <x v="6"/>
    <x v="10"/>
    <x v="11"/>
    <x v="1"/>
    <x v="1"/>
  </r>
  <r>
    <s v="CP40"/>
    <s v="40320"/>
    <n v="1"/>
    <x v="6"/>
    <x v="10"/>
    <x v="11"/>
    <x v="1"/>
    <x v="1"/>
  </r>
  <r>
    <s v="CP40"/>
    <s v="40325"/>
    <s v="`"/>
    <x v="6"/>
    <x v="10"/>
    <x v="11"/>
    <x v="1"/>
    <x v="1"/>
  </r>
  <r>
    <s v="CP40"/>
    <s v="40335"/>
    <n v="1"/>
    <x v="6"/>
    <x v="10"/>
    <x v="11"/>
    <x v="1"/>
    <x v="1"/>
  </r>
  <r>
    <s v="CP40"/>
    <s v="40345"/>
    <n v="1"/>
    <x v="6"/>
    <x v="10"/>
    <x v="11"/>
    <x v="1"/>
    <x v="1"/>
  </r>
  <r>
    <s v="CP40"/>
    <s v="40348"/>
    <n v="1"/>
    <x v="6"/>
    <x v="10"/>
    <x v="11"/>
    <x v="1"/>
    <x v="1"/>
  </r>
  <r>
    <s v="CP40"/>
    <s v="40350"/>
    <n v="1"/>
    <x v="6"/>
    <x v="10"/>
    <x v="11"/>
    <x v="1"/>
    <x v="1"/>
  </r>
  <r>
    <s v="CP40"/>
    <s v="40410"/>
    <n v="1"/>
    <x v="6"/>
    <x v="10"/>
    <x v="11"/>
    <x v="1"/>
    <x v="1"/>
  </r>
  <r>
    <s v="CP40"/>
    <s v="40415"/>
    <n v="1"/>
    <x v="6"/>
    <x v="10"/>
    <x v="11"/>
    <x v="1"/>
    <x v="1"/>
  </r>
  <r>
    <s v="CP40"/>
    <s v="40420"/>
    <n v="1"/>
    <x v="6"/>
    <x v="10"/>
    <x v="11"/>
    <x v="1"/>
    <x v="1"/>
  </r>
  <r>
    <s v="CP40"/>
    <s v="40425"/>
    <n v="1"/>
    <x v="6"/>
    <x v="10"/>
    <x v="11"/>
    <x v="1"/>
    <x v="1"/>
  </r>
  <r>
    <s v="CP40"/>
    <s v="40430"/>
    <n v="1"/>
    <x v="6"/>
    <x v="10"/>
    <x v="11"/>
    <x v="1"/>
    <x v="1"/>
  </r>
  <r>
    <s v="CP40"/>
    <s v="40610"/>
    <n v="1"/>
    <x v="6"/>
    <x v="10"/>
    <x v="11"/>
    <x v="1"/>
    <x v="1"/>
  </r>
  <r>
    <s v="CP40"/>
    <s v="40615"/>
    <n v="1"/>
    <x v="6"/>
    <x v="10"/>
    <x v="11"/>
    <x v="1"/>
    <x v="1"/>
  </r>
  <r>
    <s v="CP40"/>
    <s v="40620"/>
    <n v="1"/>
    <x v="6"/>
    <x v="10"/>
    <x v="11"/>
    <x v="1"/>
    <x v="1"/>
  </r>
  <r>
    <s v="CP40"/>
    <s v="40625"/>
    <n v="1"/>
    <x v="6"/>
    <x v="10"/>
    <x v="11"/>
    <x v="1"/>
    <x v="1"/>
  </r>
  <r>
    <s v="CP40"/>
    <s v="40630"/>
    <n v="1"/>
    <x v="6"/>
    <x v="10"/>
    <x v="11"/>
    <x v="1"/>
    <x v="1"/>
  </r>
  <r>
    <s v="CP40"/>
    <s v="40703"/>
    <n v="1"/>
    <x v="6"/>
    <x v="10"/>
    <x v="11"/>
    <x v="1"/>
    <x v="1"/>
  </r>
  <r>
    <s v="CP40"/>
    <s v="40704"/>
    <n v="1"/>
    <x v="6"/>
    <x v="10"/>
    <x v="11"/>
    <x v="1"/>
    <x v="1"/>
  </r>
  <r>
    <s v="CP40"/>
    <s v="40705"/>
    <n v="1"/>
    <x v="6"/>
    <x v="10"/>
    <x v="11"/>
    <x v="1"/>
    <x v="1"/>
  </r>
  <r>
    <s v="CP40"/>
    <s v="40706"/>
    <n v="1"/>
    <x v="6"/>
    <x v="10"/>
    <x v="11"/>
    <x v="1"/>
    <x v="1"/>
  </r>
  <r>
    <s v="CP40"/>
    <s v="40707"/>
    <n v="1"/>
    <x v="6"/>
    <x v="10"/>
    <x v="11"/>
    <x v="1"/>
    <x v="1"/>
  </r>
  <r>
    <s v="CP40"/>
    <s v="40708"/>
    <n v="1"/>
    <x v="6"/>
    <x v="10"/>
    <x v="11"/>
    <x v="1"/>
    <x v="1"/>
  </r>
  <r>
    <s v="CP40"/>
    <s v="40709"/>
    <n v="1"/>
    <x v="6"/>
    <x v="10"/>
    <x v="11"/>
    <x v="1"/>
    <x v="1"/>
  </r>
  <r>
    <s v="CP40"/>
    <s v="40710"/>
    <n v="1"/>
    <x v="6"/>
    <x v="10"/>
    <x v="11"/>
    <x v="1"/>
    <x v="1"/>
  </r>
  <r>
    <s v="CP40"/>
    <s v="40711"/>
    <n v="1"/>
    <x v="6"/>
    <x v="10"/>
    <x v="11"/>
    <x v="1"/>
    <x v="1"/>
  </r>
  <r>
    <s v="CP40"/>
    <s v="40712"/>
    <n v="1"/>
    <x v="6"/>
    <x v="10"/>
    <x v="11"/>
    <x v="1"/>
    <x v="1"/>
  </r>
  <r>
    <s v="CP40"/>
    <s v="40713"/>
    <n v="1"/>
    <x v="6"/>
    <x v="10"/>
    <x v="11"/>
    <x v="1"/>
    <x v="1"/>
  </r>
  <r>
    <s v="CP40"/>
    <s v="40714"/>
    <n v="1"/>
    <x v="6"/>
    <x v="10"/>
    <x v="11"/>
    <x v="1"/>
    <x v="1"/>
  </r>
  <r>
    <s v="CP40"/>
    <s v="40715"/>
    <n v="1"/>
    <x v="6"/>
    <x v="10"/>
    <x v="11"/>
    <x v="1"/>
    <x v="1"/>
  </r>
  <r>
    <s v="CP40"/>
    <s v="40716"/>
    <n v="1"/>
    <x v="6"/>
    <x v="10"/>
    <x v="11"/>
    <x v="1"/>
    <x v="1"/>
  </r>
  <r>
    <s v="CP40"/>
    <s v="40717"/>
    <n v="1"/>
    <x v="6"/>
    <x v="10"/>
    <x v="11"/>
    <x v="1"/>
    <x v="1"/>
  </r>
  <r>
    <s v="CP40"/>
    <s v="40718"/>
    <n v="1"/>
    <x v="6"/>
    <x v="10"/>
    <x v="11"/>
    <x v="1"/>
    <x v="1"/>
  </r>
  <r>
    <s v="CP40"/>
    <s v="40719"/>
    <n v="1"/>
    <x v="6"/>
    <x v="10"/>
    <x v="11"/>
    <x v="1"/>
    <x v="1"/>
  </r>
  <r>
    <s v="CP40"/>
    <s v="40720"/>
    <n v="1"/>
    <x v="6"/>
    <x v="10"/>
    <x v="11"/>
    <x v="1"/>
    <x v="1"/>
  </r>
  <r>
    <s v="CP40"/>
    <s v="40721"/>
    <n v="1"/>
    <x v="6"/>
    <x v="10"/>
    <x v="11"/>
    <x v="1"/>
    <x v="1"/>
  </r>
  <r>
    <s v="CP40"/>
    <s v="40722"/>
    <n v="1"/>
    <x v="6"/>
    <x v="10"/>
    <x v="11"/>
    <x v="1"/>
    <x v="1"/>
  </r>
  <r>
    <s v="CP40"/>
    <s v="40723"/>
    <n v="1"/>
    <x v="6"/>
    <x v="10"/>
    <x v="11"/>
    <x v="1"/>
    <x v="1"/>
  </r>
  <r>
    <s v="CP40"/>
    <s v="40724"/>
    <n v="1"/>
    <x v="6"/>
    <x v="10"/>
    <x v="11"/>
    <x v="1"/>
    <x v="1"/>
  </r>
  <r>
    <s v="CP40"/>
    <s v="40725"/>
    <n v="1"/>
    <x v="6"/>
    <x v="10"/>
    <x v="11"/>
    <x v="1"/>
    <x v="1"/>
  </r>
  <r>
    <s v="CP40"/>
    <s v="40726"/>
    <n v="1"/>
    <x v="6"/>
    <x v="10"/>
    <x v="11"/>
    <x v="1"/>
    <x v="1"/>
  </r>
  <r>
    <s v="CP40"/>
    <s v="40727"/>
    <n v="1"/>
    <x v="6"/>
    <x v="10"/>
    <x v="11"/>
    <x v="1"/>
    <x v="1"/>
  </r>
  <r>
    <s v="CP40"/>
    <s v="40728"/>
    <n v="1"/>
    <x v="6"/>
    <x v="10"/>
    <x v="11"/>
    <x v="1"/>
    <x v="1"/>
  </r>
  <r>
    <s v="CP40"/>
    <s v="40729"/>
    <n v="1"/>
    <x v="6"/>
    <x v="10"/>
    <x v="11"/>
    <x v="1"/>
    <x v="1"/>
  </r>
  <r>
    <s v="CP40"/>
    <s v="40730"/>
    <n v="1"/>
    <x v="6"/>
    <x v="10"/>
    <x v="11"/>
    <x v="1"/>
    <x v="1"/>
  </r>
  <r>
    <s v="CP40"/>
    <s v="40731"/>
    <n v="1"/>
    <x v="6"/>
    <x v="10"/>
    <x v="11"/>
    <x v="1"/>
    <x v="1"/>
  </r>
  <r>
    <s v="CP40"/>
    <s v="40732"/>
    <n v="1"/>
    <x v="6"/>
    <x v="10"/>
    <x v="11"/>
    <x v="1"/>
    <x v="1"/>
  </r>
  <r>
    <s v="CP40"/>
    <s v="40733"/>
    <n v="1"/>
    <x v="6"/>
    <x v="10"/>
    <x v="11"/>
    <x v="1"/>
    <x v="1"/>
  </r>
  <r>
    <s v="CP40"/>
    <s v="40734"/>
    <n v="1"/>
    <x v="6"/>
    <x v="10"/>
    <x v="11"/>
    <x v="1"/>
    <x v="1"/>
  </r>
  <r>
    <s v="CP40"/>
    <s v="40735"/>
    <n v="1"/>
    <x v="6"/>
    <x v="10"/>
    <x v="11"/>
    <x v="1"/>
    <x v="1"/>
  </r>
  <r>
    <s v="CP40"/>
    <s v="40736"/>
    <n v="1"/>
    <x v="6"/>
    <x v="10"/>
    <x v="11"/>
    <x v="1"/>
    <x v="1"/>
  </r>
  <r>
    <s v="CP40"/>
    <s v="40737"/>
    <n v="1"/>
    <x v="6"/>
    <x v="10"/>
    <x v="11"/>
    <x v="1"/>
    <x v="1"/>
  </r>
  <r>
    <s v="CP40"/>
    <s v="40738"/>
    <n v="1"/>
    <x v="6"/>
    <x v="10"/>
    <x v="11"/>
    <x v="1"/>
    <x v="1"/>
  </r>
  <r>
    <s v="CP40"/>
    <s v="40739"/>
    <n v="1"/>
    <x v="6"/>
    <x v="10"/>
    <x v="11"/>
    <x v="1"/>
    <x v="1"/>
  </r>
  <r>
    <s v="CP40"/>
    <s v="40740"/>
    <n v="1"/>
    <x v="6"/>
    <x v="10"/>
    <x v="11"/>
    <x v="1"/>
    <x v="1"/>
  </r>
  <r>
    <s v="CP40"/>
    <s v="40741"/>
    <n v="1"/>
    <x v="6"/>
    <x v="10"/>
    <x v="11"/>
    <x v="1"/>
    <x v="1"/>
  </r>
  <r>
    <s v="CP40"/>
    <s v="40742"/>
    <n v="1"/>
    <x v="6"/>
    <x v="10"/>
    <x v="11"/>
    <x v="1"/>
    <x v="1"/>
  </r>
  <r>
    <s v="CP40"/>
    <s v="40743"/>
    <n v="1"/>
    <x v="6"/>
    <x v="10"/>
    <x v="11"/>
    <x v="1"/>
    <x v="1"/>
  </r>
  <r>
    <s v="CP40"/>
    <s v="40744"/>
    <n v="1"/>
    <x v="6"/>
    <x v="10"/>
    <x v="11"/>
    <x v="1"/>
    <x v="1"/>
  </r>
  <r>
    <s v="CP40"/>
    <s v="40745"/>
    <n v="1"/>
    <x v="6"/>
    <x v="10"/>
    <x v="11"/>
    <x v="1"/>
    <x v="1"/>
  </r>
  <r>
    <s v="CP40"/>
    <s v="40746"/>
    <n v="1"/>
    <x v="6"/>
    <x v="10"/>
    <x v="11"/>
    <x v="1"/>
    <x v="1"/>
  </r>
  <r>
    <s v="CP40"/>
    <s v="40747"/>
    <n v="1"/>
    <x v="6"/>
    <x v="10"/>
    <x v="11"/>
    <x v="1"/>
    <x v="1"/>
  </r>
  <r>
    <s v="CP40"/>
    <s v="40748"/>
    <n v="1"/>
    <x v="6"/>
    <x v="10"/>
    <x v="11"/>
    <x v="1"/>
    <x v="1"/>
  </r>
  <r>
    <s v="CP40"/>
    <s v="40749"/>
    <n v="1"/>
    <x v="6"/>
    <x v="10"/>
    <x v="11"/>
    <x v="1"/>
    <x v="1"/>
  </r>
  <r>
    <s v="CP40"/>
    <s v="40750"/>
    <n v="1"/>
    <x v="6"/>
    <x v="10"/>
    <x v="11"/>
    <x v="1"/>
    <x v="1"/>
  </r>
  <r>
    <s v="CP40"/>
    <s v="40751"/>
    <n v="1"/>
    <x v="6"/>
    <x v="10"/>
    <x v="11"/>
    <x v="1"/>
    <x v="1"/>
  </r>
  <r>
    <s v="CP40"/>
    <s v="40752"/>
    <n v="1"/>
    <x v="6"/>
    <x v="10"/>
    <x v="11"/>
    <x v="1"/>
    <x v="1"/>
  </r>
  <r>
    <s v="CP40"/>
    <s v="40753"/>
    <n v="1"/>
    <x v="6"/>
    <x v="10"/>
    <x v="11"/>
    <x v="1"/>
    <x v="1"/>
  </r>
  <r>
    <s v="CP40"/>
    <s v="40754"/>
    <n v="1"/>
    <x v="6"/>
    <x v="10"/>
    <x v="11"/>
    <x v="1"/>
    <x v="1"/>
  </r>
  <r>
    <s v="CP40"/>
    <s v="40755"/>
    <n v="1"/>
    <x v="6"/>
    <x v="10"/>
    <x v="11"/>
    <x v="1"/>
    <x v="1"/>
  </r>
  <r>
    <s v="CP40"/>
    <s v="40756"/>
    <n v="1"/>
    <x v="6"/>
    <x v="10"/>
    <x v="11"/>
    <x v="1"/>
    <x v="1"/>
  </r>
  <r>
    <s v="CP40"/>
    <s v="40757"/>
    <n v="1"/>
    <x v="6"/>
    <x v="10"/>
    <x v="11"/>
    <x v="1"/>
    <x v="1"/>
  </r>
  <r>
    <s v="CP40"/>
    <s v="40758"/>
    <n v="1"/>
    <x v="6"/>
    <x v="10"/>
    <x v="11"/>
    <x v="1"/>
    <x v="1"/>
  </r>
  <r>
    <s v="CP40"/>
    <s v="40759"/>
    <n v="1"/>
    <x v="6"/>
    <x v="10"/>
    <x v="11"/>
    <x v="1"/>
    <x v="1"/>
  </r>
  <r>
    <s v="CP40"/>
    <s v="40760"/>
    <n v="1"/>
    <x v="6"/>
    <x v="10"/>
    <x v="11"/>
    <x v="1"/>
    <x v="1"/>
  </r>
  <r>
    <s v="CP40"/>
    <s v="40761"/>
    <n v="1"/>
    <x v="6"/>
    <x v="10"/>
    <x v="11"/>
    <x v="1"/>
    <x v="1"/>
  </r>
  <r>
    <s v="CP40"/>
    <s v="40762"/>
    <n v="1"/>
    <x v="6"/>
    <x v="10"/>
    <x v="11"/>
    <x v="1"/>
    <x v="1"/>
  </r>
  <r>
    <s v="CP40"/>
    <s v="40763"/>
    <n v="1"/>
    <x v="6"/>
    <x v="10"/>
    <x v="11"/>
    <x v="1"/>
    <x v="1"/>
  </r>
  <r>
    <s v="CP40"/>
    <s v="40764"/>
    <n v="1"/>
    <x v="6"/>
    <x v="10"/>
    <x v="11"/>
    <x v="1"/>
    <x v="1"/>
  </r>
  <r>
    <s v="CP40"/>
    <s v="40765"/>
    <n v="1"/>
    <x v="6"/>
    <x v="10"/>
    <x v="11"/>
    <x v="1"/>
    <x v="1"/>
  </r>
  <r>
    <s v="CP40"/>
    <s v="40766"/>
    <n v="1"/>
    <x v="6"/>
    <x v="10"/>
    <x v="11"/>
    <x v="1"/>
    <x v="1"/>
  </r>
  <r>
    <s v="CP40"/>
    <s v="40767"/>
    <n v="1"/>
    <x v="6"/>
    <x v="10"/>
    <x v="11"/>
    <x v="1"/>
    <x v="1"/>
  </r>
  <r>
    <s v="CP40"/>
    <s v="40769"/>
    <n v="1"/>
    <x v="6"/>
    <x v="10"/>
    <x v="11"/>
    <x v="1"/>
    <x v="1"/>
  </r>
  <r>
    <s v="CP40"/>
    <s v="40770"/>
    <n v="1"/>
    <x v="6"/>
    <x v="10"/>
    <x v="11"/>
    <x v="1"/>
    <x v="1"/>
  </r>
  <r>
    <s v="CP40"/>
    <s v="40771"/>
    <n v="1"/>
    <x v="6"/>
    <x v="10"/>
    <x v="11"/>
    <x v="1"/>
    <x v="1"/>
  </r>
  <r>
    <s v="CP40"/>
    <s v="40772"/>
    <n v="1"/>
    <x v="6"/>
    <x v="10"/>
    <x v="11"/>
    <x v="1"/>
    <x v="1"/>
  </r>
  <r>
    <s v="CP40"/>
    <s v="40905"/>
    <n v="1"/>
    <x v="6"/>
    <x v="10"/>
    <x v="11"/>
    <x v="1"/>
    <x v="1"/>
  </r>
  <r>
    <s v="CP40"/>
    <s v="40910"/>
    <n v="1"/>
    <x v="6"/>
    <x v="10"/>
    <x v="11"/>
    <x v="1"/>
    <x v="1"/>
  </r>
  <r>
    <s v="CP40"/>
    <s v="40915"/>
    <n v="1"/>
    <x v="6"/>
    <x v="10"/>
    <x v="11"/>
    <x v="1"/>
    <x v="1"/>
  </r>
  <r>
    <s v="CP40"/>
    <s v="40920"/>
    <n v="1"/>
    <x v="6"/>
    <x v="10"/>
    <x v="11"/>
    <x v="1"/>
    <x v="1"/>
  </r>
  <r>
    <s v="CP40"/>
    <s v="40925"/>
    <n v="1"/>
    <x v="6"/>
    <x v="10"/>
    <x v="11"/>
    <x v="1"/>
    <x v="1"/>
  </r>
  <r>
    <s v="CP40"/>
    <s v="40930"/>
    <n v="1"/>
    <x v="6"/>
    <x v="10"/>
    <x v="11"/>
    <x v="1"/>
    <x v="1"/>
  </r>
  <r>
    <m/>
    <m/>
    <m/>
    <x v="7"/>
    <x v="11"/>
    <x v="12"/>
    <x v="3"/>
    <x v="2"/>
  </r>
  <r>
    <m/>
    <m/>
    <m/>
    <x v="7"/>
    <x v="11"/>
    <x v="12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52462-600F-4392-8735-3C2866C6B637}" name="PivotTable8" cacheId="2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1" firstDataRow="2" firstDataCol="1"/>
  <pivotFields count="12">
    <pivotField showAll="0"/>
    <pivotField showAll="0"/>
    <pivotField showAll="0"/>
    <pivotField axis="axisRow" showAll="0">
      <items count="9">
        <item x="1"/>
        <item x="2"/>
        <item x="3"/>
        <item x="5"/>
        <item x="6"/>
        <item x="4"/>
        <item x="0"/>
        <item h="1" x="7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showAll="0">
      <items count="14">
        <item x="0"/>
        <item x="1"/>
        <item x="2"/>
        <item x="3"/>
        <item x="5"/>
        <item x="4"/>
        <item x="6"/>
        <item x="7"/>
        <item x="8"/>
        <item x="9"/>
        <item x="10"/>
        <item x="11"/>
        <item x="12"/>
        <item t="default"/>
      </items>
    </pivotField>
    <pivotField axis="axisCol" dataField="1" showAll="0">
      <items count="5">
        <item x="2"/>
        <item x="0"/>
        <item x="1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Statu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2" dT="2026-07-07T13:17:12.73" personId="{F5872ED7-D39F-4926-8544-B9210D5C5975}" id="{750FC797-0878-4F3D-8C42-42EF716D0F01}">
    <text>.611 IS ASSY.12-0.34"BF.RH.ADVANCED.2"CTRS.3 FT ZN OUTSIDE OPP SIDE.G196PR.RIVER GRAY</text>
  </threadedComment>
  <threadedComment ref="G15" dT="2026-07-07T13:18:07.32" personId="{F5872ED7-D39F-4926-8544-B9210D5C5975}" id="{974EF260-F111-4808-BDB9-4772FB5EC69E}">
    <text>.810 VB SKEW INT ASSY 2"C.RIGHT SKEW.72.34"BF.G196PR.RIVER GRAY</text>
  </threadedComment>
  <threadedComment ref="G16" dT="2026-07-07T13:18:42.09" personId="{F5872ED7-D39F-4926-8544-B9210D5C5975}" id="{A782BBD6-9E8E-4D3E-8D55-0B46572C9FBE}">
    <text>.810 VB END DRV ASSY UH.34BF.LH BELT.LH PU.STD DRV SHV.G196PR.BAL-2HP-460V-PREM.DGE-202-A-05-R-140.DVR-P30-8M-30-1210.DVN-P56-8M-30-2012.GB-HT200-1064-8M-30.430"LG BELT.RIVER GRAY</text>
  </threadedComment>
  <threadedComment ref="G19" dT="2026-07-07T13:19:03.70" personId="{F5872ED7-D39F-4926-8544-B9210D5C5975}" id="{9EBFA1E4-96DB-4D95-9E54-C1BB4E7783DF}">
    <text>.MDR NGFWB CART DEC LWR TRNS.34"BF.30"ZN, 3ZN.LH WIRE.RLR LOW.180FPM INT.PE SICK ZLD18 PNP RETRO 4PIN.HON2018.RMT CNTL.WH-496654.PREM HORZ BELT.PREM DEC BELT DGR HON HTSS BRK.RIVER GRAY</text>
  </threadedComment>
  <threadedComment ref="G19" dT="2026-07-10T20:36:37.76" personId="{F5872ED7-D39F-4926-8544-B9210D5C5975}" id="{C06D69F9-7223-42D3-B0EF-32760D33B729}" parentId="{9EBFA1E4-96DB-4D95-9E54-C1BB4E7783DF}">
    <text>Missing materials</text>
  </threadedComment>
  <threadedComment ref="G28" dT="2026-07-07T13:20:23.03" personId="{F5872ED7-D39F-4926-8544-B9210D5C5975}" id="{56AEAA6B-A1E3-468A-8F49-1974EE11943B}">
    <text>.810 VB END DRV ASSY SM.40BF.RH BELT.LH PU.STD DRV SHV.G196AB.BAL-1HP-460V-PREM.DGE-202-A-15-L-140.DVR-P32-8M-30-1210.DVN-P40-8M-30-2012.GB-HT200-720-8M-30.270"LG BELT.RIVER GRAY</text>
  </threadedComment>
  <threadedComment ref="G28" dT="2026-07-10T20:12:44.83" personId="{F5872ED7-D39F-4926-8544-B9210D5C5975}" id="{16245BC6-12FB-48CE-A036-5A0796F52B2F}" parentId="{56AEAA6B-A1E3-468A-8F49-1974EE11943B}">
    <text>Drive is not on site</text>
  </threadedComment>
  <threadedComment ref="G29" dT="2026-07-10T20:19:01.92" personId="{F5872ED7-D39F-4926-8544-B9210D5C5975}" id="{A0967263-C6A6-4B2E-A59C-170AC95F79E8}">
    <text>· Crossover (wrong hand)
· End idler (wrong hand)
· Drive wrong hand (wrong hand)</text>
  </threadedComment>
  <threadedComment ref="G36" dT="2026-07-07T13:21:30.02" personId="{F5872ED7-D39F-4926-8544-B9210D5C5975}" id="{7302793E-E0C7-40CD-A1EE-2D911C671FE0}">
    <text>.810 VB END DRV ASSY UH.34BF.RH BELT.LH PU.STD DRV SHV.G196AB.BAL-1HP-460V-PREM.DGE-202-A-10-R-140.DVR-P32-8M-30-1210.DVN-P44-8M-30-2012.GB-HT200-1040-8M-30.405"LG BELT.RIVER GRAY</text>
  </threadedComment>
  <threadedComment ref="G40" dT="2026-07-07T13:25:21.85" personId="{F5872ED7-D39F-4926-8544-B9210D5C5975}" id="{71145F1A-5482-48A4-B4C6-10AB683FE9CD}">
    <text>.810 VB END IDL ASSY.40"BF.RH BELT.G196AB.RIVER GRAY</text>
  </threadedComment>
  <threadedComment ref="G41" dT="2026-07-07T13:26:44.73" personId="{F5872ED7-D39F-4926-8544-B9210D5C5975}" id="{84C6EE68-1E32-460D-AC77-5680E0B86B00}">
    <text>.810 VB END DRV ASSY SM.40BF.RH BELT.LH PU.STD DRV SHV.G196AB.BAL-1HP-460V-PREM.DGE-202-A-15-L-140.DVR-P32-8M-30-1210.DVN-P40-8M-30-2012.GB-HT200-720-8M-30.270"LG BELT.RIVER GRAY</text>
  </threadedComment>
  <threadedComment ref="G41" dT="2026-07-10T20:12:22.31" personId="{F5872ED7-D39F-4926-8544-B9210D5C5975}" id="{5791B836-0915-4F87-AE29-EC350FAE723C}" parentId="{84C6EE68-1E32-460D-AC77-5680E0B86B00}">
    <text>Drive is not on site</text>
  </threadedComment>
  <threadedComment ref="G42" dT="2026-07-10T20:19:01.92" personId="{F5872ED7-D39F-4926-8544-B9210D5C5975}" id="{74685D07-D09D-4329-850B-727BCE02C727}">
    <text>· Crossover (wrong hand)
· End idler (wrong hand)
· Drive wrong hand (wrong hand)</text>
  </threadedComment>
  <threadedComment ref="G43" dT="2026-07-10T20:05:08.78" personId="{F5872ED7-D39F-4926-8544-B9210D5C5975}" id="{9B607ECD-5F81-4C78-9435-808A29EBC988}">
    <text>It won't be installed with the current plans while waiting for the new design by M.E</text>
  </threadedComment>
  <threadedComment ref="G44" dT="2026-07-10T20:05:08.78" personId="{F5872ED7-D39F-4926-8544-B9210D5C5975}" id="{994717D2-3D6D-4FD6-AB40-55D338AC9FA9}">
    <text>It won't be installed with the current plans while waiting for the new design by M.E</text>
  </threadedComment>
  <threadedComment ref="G45" dT="2026-07-10T20:03:58.49" personId="{F5872ED7-D39F-4926-8544-B9210D5C5975}" id="{1C5791DB-467A-4B7F-908F-710E51CD88B1}">
    <text xml:space="preserve">It won't be installed with the current plans while waiting for the new design by M.E
</text>
  </threadedComment>
  <threadedComment ref="G46" dT="2026-07-10T20:03:58.49" personId="{F5872ED7-D39F-4926-8544-B9210D5C5975}" id="{E03DE059-E40D-42D1-A933-416777057A3E}">
    <text xml:space="preserve">It won't be installed with the current plans while waiting for the new design by M.E
</text>
  </threadedComment>
  <threadedComment ref="G47" dT="2026-07-10T20:03:58.49" personId="{F5872ED7-D39F-4926-8544-B9210D5C5975}" id="{6439B173-FC98-4B86-9FA1-3E14B1632CD3}">
    <text xml:space="preserve">It won't be installed with the current plans while waiting for the new design by M.E
</text>
  </threadedComment>
  <threadedComment ref="G48" dT="2026-07-10T20:03:26.34" personId="{F5872ED7-D39F-4926-8544-B9210D5C5975}" id="{88EE0B26-E8D0-4DEB-988C-F93C63390E27}">
    <text xml:space="preserve">It won't be installed with the current plans while waiting for the new design by M.E
</text>
  </threadedComment>
  <threadedComment ref="G49" dT="2026-07-10T20:03:26.34" personId="{F5872ED7-D39F-4926-8544-B9210D5C5975}" id="{804EF405-BEDD-43C9-B2D7-9CE87157755A}">
    <text xml:space="preserve">It won't be installed with the current plans while waiting for the new design by M.E
</text>
  </threadedComment>
  <threadedComment ref="G52" dT="2026-07-10T20:03:58.49" personId="{F5872ED7-D39F-4926-8544-B9210D5C5975}" id="{824F9156-3006-4640-A631-DE23B39A3B70}">
    <text xml:space="preserve">It won't be installed with the current plans while waiting for the new design by M.E
</text>
  </threadedComment>
  <threadedComment ref="G53" dT="2026-07-10T20:05:08.78" personId="{F5872ED7-D39F-4926-8544-B9210D5C5975}" id="{1BCFA94B-91B3-47B7-B6A8-8C434000CF32}">
    <text>It won't be installed with the current plans while waiting for the new design by M.E</text>
  </threadedComment>
  <threadedComment ref="G54" dT="2026-07-10T20:05:08.78" personId="{F5872ED7-D39F-4926-8544-B9210D5C5975}" id="{A11DC6CD-EE2A-478A-85DB-D6E1273CA069}">
    <text>It won't be installed with the current plans while waiting for the new design by M.E</text>
  </threadedComment>
  <threadedComment ref="G57" dT="2026-07-07T13:32:25.72" personId="{F5872ED7-D39F-4926-8544-B9210D5C5975}" id="{CE834129-286E-4FBC-A8F5-7EE93603409D}">
    <text>.MDR 710 JCT 30D LM.34"BF.3"CTRS.U83A CVR JCT HON STSS.RLR LOW.50LB WHL.180FPM INT.HON2018.RMT CNTL.BNR X2X.WH-490027.RIVER GRAY</text>
  </threadedComment>
  <threadedComment ref="G58" dT="2026-07-07T13:33:22.44" personId="{F5872ED7-D39F-4926-8544-B9210D5C5975}" id="{76BE165E-F62A-4EC0-86EB-79C28035C5DA}">
    <text>Work Station</text>
  </threadedComment>
  <threadedComment ref="G59" dT="2026-07-07T13:33:40.43" personId="{F5872ED7-D39F-4926-8544-B9210D5C5975}" id="{5AC22958-A4BB-408F-911C-003503455C3A}">
    <text>Work Station</text>
  </threadedComment>
  <threadedComment ref="G60" dT="2026-07-07T13:33:51.04" personId="{F5872ED7-D39F-4926-8544-B9210D5C5975}" id="{F433CAE4-9EEC-4BB4-978B-F62BEBBA0FA6}">
    <text>Work Station</text>
  </threadedComment>
  <threadedComment ref="G61" dT="2026-07-07T13:33:56.87" personId="{F5872ED7-D39F-4926-8544-B9210D5C5975}" id="{265FBC1D-D244-4A9B-B070-E006814C1AE5}">
    <text>Work Station</text>
  </threadedComment>
  <threadedComment ref="G62" dT="2026-07-07T13:34:02.35" personId="{F5872ED7-D39F-4926-8544-B9210D5C5975}" id="{562F237D-81FF-43AD-B8E2-7606EA15D170}">
    <text>Work Station</text>
  </threadedComment>
  <threadedComment ref="G63" dT="2026-07-07T13:34:06.82" personId="{F5872ED7-D39F-4926-8544-B9210D5C5975}" id="{537C1D42-9C74-4BB8-9AF9-92F424504BCD}">
    <text>Work Station</text>
  </threadedComment>
  <threadedComment ref="G64" dT="2026-07-07T13:34:10.63" personId="{F5872ED7-D39F-4926-8544-B9210D5C5975}" id="{97133CBA-85DD-499C-AAEC-EF3B550591FF}">
    <text>Work Station</text>
  </threadedComment>
  <threadedComment ref="G65" dT="2026-07-07T13:34:16.84" personId="{F5872ED7-D39F-4926-8544-B9210D5C5975}" id="{67C522EB-4494-49EF-A682-E1EF3652E5C7}">
    <text>Work Station</text>
  </threadedComment>
  <threadedComment ref="G66" dT="2026-07-07T13:34:20.71" personId="{F5872ED7-D39F-4926-8544-B9210D5C5975}" id="{8D08D6A4-8B6E-466A-8756-DB1A95753340}">
    <text>Work Station</text>
  </threadedComment>
  <threadedComment ref="G67" dT="2026-07-07T13:34:24.62" personId="{F5872ED7-D39F-4926-8544-B9210D5C5975}" id="{0DC6F3A9-4CED-493F-8EF6-BE898D449F17}">
    <text>Work Station</text>
  </threadedComment>
  <threadedComment ref="G68" dT="2026-07-07T13:34:28.24" personId="{F5872ED7-D39F-4926-8544-B9210D5C5975}" id="{756B8A14-8F5D-4AE4-A8EE-F239E32A4888}">
    <text>Work Station</text>
  </threadedComment>
  <threadedComment ref="G69" dT="2026-07-07T13:34:33.34" personId="{F5872ED7-D39F-4926-8544-B9210D5C5975}" id="{6D5DAE17-AF1C-4587-BD0B-A891F4B7A864}">
    <text>Work Station</text>
  </threadedComment>
  <threadedComment ref="G70" dT="2026-07-07T13:34:57.02" personId="{F5872ED7-D39F-4926-8544-B9210D5C5975}" id="{B54C609F-42F0-4034-AA6F-4B5638E4AFD2}">
    <text>Work Station</text>
  </threadedComment>
  <threadedComment ref="G71" dT="2026-07-07T13:35:02.48" personId="{F5872ED7-D39F-4926-8544-B9210D5C5975}" id="{B88B1392-F269-4131-B151-732C275ACE8A}">
    <text>Work Station</text>
  </threadedComment>
  <threadedComment ref="G72" dT="2026-07-07T13:35:06.07" personId="{F5872ED7-D39F-4926-8544-B9210D5C5975}" id="{684E916F-E0FE-4847-9F97-9F3A0F506DB8}">
    <text>Work Station</text>
  </threadedComment>
  <threadedComment ref="G73" dT="2026-07-07T13:35:10.27" personId="{F5872ED7-D39F-4926-8544-B9210D5C5975}" id="{2EDC4F17-1775-4993-8C7C-80C35698961D}">
    <text>Work Station</text>
  </threadedComment>
  <threadedComment ref="G74" dT="2026-07-07T13:35:14.67" personId="{F5872ED7-D39F-4926-8544-B9210D5C5975}" id="{BF50E4A2-0A83-46B8-9295-C021390E3380}">
    <text>Work Station</text>
  </threadedComment>
  <threadedComment ref="G75" dT="2026-07-07T13:35:18.60" personId="{F5872ED7-D39F-4926-8544-B9210D5C5975}" id="{E659A65C-42E2-4320-90DF-11460C65D27A}">
    <text>Work Station</text>
  </threadedComment>
  <threadedComment ref="G76" dT="2026-07-07T13:35:23.59" personId="{F5872ED7-D39F-4926-8544-B9210D5C5975}" id="{48BD476A-B18B-49F2-A4FF-E571334F7BF8}">
    <text>Work Station</text>
  </threadedComment>
  <threadedComment ref="G77" dT="2026-07-07T13:37:49.25" personId="{F5872ED7-D39F-4926-8544-B9210D5C5975}" id="{AEBEC00B-A127-4A91-8079-F19F34739A0E}">
    <text>Work Station</text>
  </threadedComment>
  <threadedComment ref="G78" dT="2026-07-07T13:37:53.79" personId="{F5872ED7-D39F-4926-8544-B9210D5C5975}" id="{D91CE480-3DCB-4A74-AFC3-AF377C4E9B0A}">
    <text>Work Station</text>
  </threadedComment>
  <threadedComment ref="G79" dT="2026-07-07T13:38:04.19" personId="{F5872ED7-D39F-4926-8544-B9210D5C5975}" id="{9B377D79-BF62-4766-A1D5-FE508D742742}">
    <text>Work Station</text>
  </threadedComment>
  <threadedComment ref="G80" dT="2026-07-07T13:38:08.87" personId="{F5872ED7-D39F-4926-8544-B9210D5C5975}" id="{5757A7CB-5778-418D-8525-D9DE42F8600D}">
    <text>Work Station</text>
  </threadedComment>
  <threadedComment ref="G81" dT="2026-07-07T13:38:14.66" personId="{F5872ED7-D39F-4926-8544-B9210D5C5975}" id="{5515741E-A7DB-4D42-AE8E-46B1188F29AF}">
    <text>Work Station</text>
  </threadedComment>
  <threadedComment ref="G82" dT="2026-07-07T13:38:18.84" personId="{F5872ED7-D39F-4926-8544-B9210D5C5975}" id="{F0BEFFF2-2253-4E5B-9976-FDF17A5C9953}">
    <text>Work Station</text>
  </threadedComment>
  <threadedComment ref="G83" dT="2026-07-07T13:38:24.05" personId="{F5872ED7-D39F-4926-8544-B9210D5C5975}" id="{46210807-CE77-4D15-BB15-B69095153F16}">
    <text>Work Station</text>
  </threadedComment>
  <threadedComment ref="G84" dT="2026-07-07T13:38:28.87" personId="{F5872ED7-D39F-4926-8544-B9210D5C5975}" id="{E885A4AA-A56D-4228-A694-5DB2DEA11854}">
    <text>Work Station</text>
  </threadedComment>
  <threadedComment ref="G85" dT="2026-07-07T13:38:33.97" personId="{F5872ED7-D39F-4926-8544-B9210D5C5975}" id="{5D68ED27-3C59-4112-A468-A224A2EF59C2}">
    <text>Work Station</text>
  </threadedComment>
  <threadedComment ref="G86" dT="2026-07-07T13:38:37.55" personId="{F5872ED7-D39F-4926-8544-B9210D5C5975}" id="{A081FBAF-7F64-4BC9-B53D-3498F56882E6}">
    <text>Work Station</text>
  </threadedComment>
  <threadedComment ref="G87" dT="2026-07-07T13:38:41.05" personId="{F5872ED7-D39F-4926-8544-B9210D5C5975}" id="{88F0C25C-4B17-4F09-9983-B38A848927EE}">
    <text>Work Station</text>
  </threadedComment>
  <threadedComment ref="G88" dT="2026-07-07T13:38:44.72" personId="{F5872ED7-D39F-4926-8544-B9210D5C5975}" id="{EA050BDE-C8CD-43C7-A24C-66AEF700F225}">
    <text>Work Station</text>
  </threadedComment>
  <threadedComment ref="G89" dT="2026-07-07T13:38:48.94" personId="{F5872ED7-D39F-4926-8544-B9210D5C5975}" id="{2E0557EF-FCC5-48EB-992E-C33C814D010E}">
    <text>Work Station</text>
  </threadedComment>
  <threadedComment ref="G90" dT="2026-07-07T13:38:57.86" personId="{F5872ED7-D39F-4926-8544-B9210D5C5975}" id="{69E71E5F-4F0B-49E9-92AE-9A99758E704F}">
    <text>Work Station</text>
  </threadedComment>
  <threadedComment ref="G91" dT="2026-07-07T13:39:01.55" personId="{F5872ED7-D39F-4926-8544-B9210D5C5975}" id="{F7636539-BE3F-452F-B782-711167F71197}">
    <text>Work Station</text>
  </threadedComment>
  <threadedComment ref="G92" dT="2026-07-07T13:39:05.50" personId="{F5872ED7-D39F-4926-8544-B9210D5C5975}" id="{53FC1C51-C2C3-46F7-B6B6-B5951F31C24B}">
    <text>Work Station</text>
  </threadedComment>
  <threadedComment ref="G93" dT="2026-07-07T13:39:09.64" personId="{F5872ED7-D39F-4926-8544-B9210D5C5975}" id="{65D90CA5-D17B-4864-9EC9-699D2F766668}">
    <text>Work Station</text>
  </threadedComment>
  <threadedComment ref="G94" dT="2026-07-07T13:39:43.16" personId="{F5872ED7-D39F-4926-8544-B9210D5C5975}" id="{0B17BBF4-662E-4FE0-9FDD-9D92AB10B569}">
    <text>Work Station</text>
  </threadedComment>
  <threadedComment ref="G95" dT="2026-07-07T13:40:06.46" personId="{F5872ED7-D39F-4926-8544-B9210D5C5975}" id="{301A2C9F-9547-457B-BEB1-71D14352239C}">
    <text>Work Station</text>
  </threadedComment>
  <threadedComment ref="G96" dT="2026-07-07T13:40:21.08" personId="{F5872ED7-D39F-4926-8544-B9210D5C5975}" id="{9C7CB4C8-3C26-452B-8295-6B225D5DE98A}">
    <text>Work Station</text>
  </threadedComment>
  <threadedComment ref="G97" dT="2026-07-07T13:40:24.92" personId="{F5872ED7-D39F-4926-8544-B9210D5C5975}" id="{C16622AB-C280-4D90-9B16-FA89F070E46B}">
    <text>Work Station</text>
  </threadedComment>
  <threadedComment ref="G98" dT="2026-07-07T13:40:28.60" personId="{F5872ED7-D39F-4926-8544-B9210D5C5975}" id="{F78765C1-8504-4252-9354-2A4812C1FDB4}">
    <text>Work Station</text>
  </threadedComment>
  <threadedComment ref="G99" dT="2026-07-07T13:40:32.49" personId="{F5872ED7-D39F-4926-8544-B9210D5C5975}" id="{102F1F1E-089D-48B5-AC44-3E0D2D9CF1CF}">
    <text>Work Station</text>
  </threadedComment>
  <threadedComment ref="G100" dT="2026-07-07T13:40:36.71" personId="{F5872ED7-D39F-4926-8544-B9210D5C5975}" id="{8F308F4F-D3E1-4FA6-B139-21AC6BD15C59}">
    <text>Work Station</text>
  </threadedComment>
  <threadedComment ref="G101" dT="2026-07-07T13:40:40.38" personId="{F5872ED7-D39F-4926-8544-B9210D5C5975}" id="{FFD09355-66A0-4F4F-966F-D8EE7141DD1C}">
    <text>Work Station</text>
  </threadedComment>
  <threadedComment ref="G102" dT="2026-07-07T13:40:44.03" personId="{F5872ED7-D39F-4926-8544-B9210D5C5975}" id="{3F593299-A7ED-42BE-B527-949FC6BB2FD4}">
    <text>Work Station</text>
  </threadedComment>
  <threadedComment ref="G103" dT="2026-07-07T13:40:47.52" personId="{F5872ED7-D39F-4926-8544-B9210D5C5975}" id="{4B4F0CC0-D29A-448F-8859-627E2688A4AF}">
    <text>Work Station</text>
  </threadedComment>
  <threadedComment ref="G104" dT="2026-07-07T13:40:51.21" personId="{F5872ED7-D39F-4926-8544-B9210D5C5975}" id="{156D5188-D346-4E95-8FFE-3094C1082046}">
    <text>Work Station</text>
  </threadedComment>
  <threadedComment ref="G105" dT="2026-07-07T13:41:02.66" personId="{F5872ED7-D39F-4926-8544-B9210D5C5975}" id="{A50BE63A-B6D1-44CA-AA3E-FED4AC65E6F8}">
    <text>Work Station</text>
  </threadedComment>
  <threadedComment ref="G106" dT="2026-07-07T13:41:06.14" personId="{F5872ED7-D39F-4926-8544-B9210D5C5975}" id="{FF80F6F6-6CB6-4948-A4C6-F7FC5A82F264}">
    <text>Work Station</text>
  </threadedComment>
  <threadedComment ref="G107" dT="2026-07-07T13:41:10.38" personId="{F5872ED7-D39F-4926-8544-B9210D5C5975}" id="{778BD850-C643-493A-9408-99C8A2774CF3}">
    <text>Work Station</text>
  </threadedComment>
  <threadedComment ref="G108" dT="2026-07-07T13:41:15.13" personId="{F5872ED7-D39F-4926-8544-B9210D5C5975}" id="{9F19FA25-4D74-4D2D-83F8-1066DF9B2A34}">
    <text>Work Station</text>
  </threadedComment>
  <threadedComment ref="G109" dT="2026-07-07T13:41:19.94" personId="{F5872ED7-D39F-4926-8544-B9210D5C5975}" id="{A4E3747C-8E4C-41AD-B9E5-B35F8DAFA91C}">
    <text>Work Station</text>
  </threadedComment>
  <threadedComment ref="G110" dT="2026-07-07T13:41:24.38" personId="{F5872ED7-D39F-4926-8544-B9210D5C5975}" id="{885EF6CB-F07D-45E3-874B-B15450108A65}">
    <text>Work Station</text>
  </threadedComment>
  <threadedComment ref="G111" dT="2026-07-07T13:37:37.37" personId="{F5872ED7-D39F-4926-8544-B9210D5C5975}" id="{9747F178-041E-413F-A979-AF21682B1613}">
    <text>Work Station</text>
  </threadedComment>
  <threadedComment ref="G112" dT="2026-07-07T13:37:32.81" personId="{F5872ED7-D39F-4926-8544-B9210D5C5975}" id="{DF1CDD96-B4AB-490D-840F-D129BB9187F2}">
    <text>Work Station</text>
  </threadedComment>
  <threadedComment ref="G113" dT="2026-07-07T13:37:28.95" personId="{F5872ED7-D39F-4926-8544-B9210D5C5975}" id="{A4ADDEA7-67B7-4BDA-9A3B-E61C1F06FAC6}">
    <text>Work Station</text>
  </threadedComment>
  <threadedComment ref="G114" dT="2026-07-07T13:37:24.89" personId="{F5872ED7-D39F-4926-8544-B9210D5C5975}" id="{FC516914-5458-473A-A245-2345D02EA9F0}">
    <text>Work Station</text>
  </threadedComment>
  <threadedComment ref="G115" dT="2026-07-07T13:37:21.36" personId="{F5872ED7-D39F-4926-8544-B9210D5C5975}" id="{DB452446-9A67-4E94-B243-725941FE183B}">
    <text>Work Station</text>
  </threadedComment>
  <threadedComment ref="G116" dT="2026-07-07T13:37:15.72" personId="{F5872ED7-D39F-4926-8544-B9210D5C5975}" id="{E89B3D1F-3468-4CC3-9910-08D58B230C78}">
    <text>Work Station</text>
  </threadedComment>
  <threadedComment ref="G117" dT="2026-07-07T13:37:10.20" personId="{F5872ED7-D39F-4926-8544-B9210D5C5975}" id="{D713833B-C935-4C02-994B-763ABF8B9EE2}">
    <text>Work Station</text>
  </threadedComment>
  <threadedComment ref="G118" dT="2026-07-07T13:36:59.75" personId="{F5872ED7-D39F-4926-8544-B9210D5C5975}" id="{C37A2CBD-1BA7-4DEF-B5CB-E4DFD9B1EA83}">
    <text>Work Station</text>
  </threadedComment>
  <threadedComment ref="G119" dT="2026-07-07T13:36:54.51" personId="{F5872ED7-D39F-4926-8544-B9210D5C5975}" id="{131175E3-9B3A-4567-9E5B-D6AEB7256BF3}">
    <text>Work Station</text>
  </threadedComment>
  <threadedComment ref="G120" dT="2026-07-07T13:36:48.57" personId="{F5872ED7-D39F-4926-8544-B9210D5C5975}" id="{1F52A04A-18D1-4506-942F-96009DB6055C}">
    <text>Work Station</text>
  </threadedComment>
  <threadedComment ref="G121" dT="2026-07-07T13:36:43.03" personId="{F5872ED7-D39F-4926-8544-B9210D5C5975}" id="{4337A1C4-48C4-4F67-AD2C-48D0B87CC820}">
    <text>Work Station</text>
  </threadedComment>
  <threadedComment ref="G122" dT="2026-07-07T13:36:35.28" personId="{F5872ED7-D39F-4926-8544-B9210D5C5975}" id="{7A9C349E-C121-45EF-A235-D47512892BBD}">
    <text>Work Station</text>
  </threadedComment>
  <threadedComment ref="G123" dT="2026-07-07T13:36:29.82" personId="{F5872ED7-D39F-4926-8544-B9210D5C5975}" id="{E7B1DA8A-B348-491B-AF5F-8314627F23E5}">
    <text>Work Station</text>
  </threadedComment>
  <threadedComment ref="G124" dT="2026-07-07T13:36:23.95" personId="{F5872ED7-D39F-4926-8544-B9210D5C5975}" id="{AFEF284E-4925-4CDE-9FBE-FE3449770F61}">
    <text>Work Station</text>
  </threadedComment>
  <threadedComment ref="G125" dT="2026-07-07T13:36:10.56" personId="{F5872ED7-D39F-4926-8544-B9210D5C5975}" id="{68DC5F7E-22D5-4A3B-BB92-4E4983E92412}">
    <text xml:space="preserve">Work Station
</text>
  </threadedComment>
  <threadedComment ref="G126" dT="2026-07-07T13:43:03.54" personId="{F5872ED7-D39F-4926-8544-B9210D5C5975}" id="{C7B27ABB-6D5F-4069-A867-EEE8775B4F04}">
    <text>.611 IQ DIRECT CTR DRV ASSY.40"BF.9-0.LH.DIRECT DRIVE.AIR TRANS.2"CTRS.G196AB-BK.BAL-3HP-460V-PREM.DGE-30-A-15-H-180.DODGE A30.RIVER GRAY</text>
  </threadedComment>
  <threadedComment ref="G127" dT="2026-07-07T13:42:41.01" personId="{F5872ED7-D39F-4926-8544-B9210D5C5975}" id="{ACA1BEA4-A009-48CA-A22E-D45862A9623C}">
    <text>.611 IS ASSY.12-0.40"BF.LH.AIR TRANS.2"CTRS.G196AB-BK.RIVER GRAY</text>
  </threadedComment>
  <threadedComment ref="G128" dT="2026-07-07T13:43:20.07" personId="{F5872ED7-D39F-4926-8544-B9210D5C5975}" id="{DFB47E51-8370-447E-A1A5-256F42D4D66B}">
    <text>.810 VB SKEW INF ED ASSY UH.40"BF.LH BELT.RH PU.STD DRV SHV.G196AB.RH SKEW.BAL-2HP-460V-PREM.DGE-202-A-10-L-140.DVR-P40-8M-30-2012.DVN-P48-8M-30-2012.GB-HT200-1064-8M-30.605"LG BELT.RIVER GRAY</text>
  </threadedComment>
  <threadedComment ref="G129" dT="2026-07-07T13:43:34.76" personId="{F5872ED7-D39F-4926-8544-B9210D5C5975}" id="{90BBB123-BDE0-430B-B9E8-BF0F0EEADDB3}">
    <text>.MDR NGFWB CART DEC UPR TRNS.34"BF.30"ZN, 3ZN.RH WIRE.RLR LOW.180FPM INT.PE SICK ZLD18 PNP RETRO 4PIN.HON2018.RMT CNTL.WH-496655.PREM HORZ BELT DGR HON HTSS.PREM DEC BELT DGR HON HTSS BRK.RIVER GRAY</text>
  </threadedComment>
  <threadedComment ref="G130" dT="2026-07-07T13:43:44.49" personId="{F5872ED7-D39F-4926-8544-B9210D5C5975}" id="{71A3380C-73CB-42E9-A8FD-E9FE39D5008A}">
    <text>.MDR NGFWB CART DEC LWR TRNS.34"BF.30"ZN, 3ZN.RH WIRE.RLR LOW.180FPM INT.PE SICK ZLD18 PNP RETRO 4PIN.HON2018.RMT CNTL.WH-496654.PREM HORZ BELT.PREM DEC BELT DGR HON HTSS BRK.RIVER GRAY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3" dT="2026-07-13T21:24:52.65" personId="{F5872ED7-D39F-4926-8544-B9210D5C5975}" id="{5F810F90-3A58-4855-A7EF-3351E117C07E}">
    <text>It couldn't be completed due to IQZF 3'0 extra length on the unit.
This was caused because the Drive came with a wrong length intermediate (12'0 instead of 9'0).
Parts numbers match with ISC.</text>
  </threadedComment>
  <threadedComment ref="F14" dT="2026-07-07T14:42:54.91" personId="{F5872ED7-D39F-4926-8544-B9210D5C5975}" id="{410ED182-941C-437B-8A45-33B2B0AA1C47}">
    <text>PBC</text>
  </threadedComment>
  <threadedComment ref="F16" dT="2026-07-07T14:42:59.10" personId="{F5872ED7-D39F-4926-8544-B9210D5C5975}" id="{59DBC354-2BB1-40CF-B40A-96F78298DF18}">
    <text>PBC</text>
  </threadedComment>
  <threadedComment ref="F19" dT="2026-07-07T14:43:03.60" personId="{F5872ED7-D39F-4926-8544-B9210D5C5975}" id="{EDC1E713-9470-48BA-B982-4842D786E142}">
    <text>PBC</text>
  </threadedComment>
  <threadedComment ref="G22" dT="2026-07-11T18:15:10.75" personId="{F5872ED7-D39F-4926-8544-B9210D5C5975}" id="{C8479CE9-0565-48C7-BA34-A0FE67EC32FB}">
    <text xml:space="preserve">CURVES (PBC) 
</text>
  </threadedComment>
  <threadedComment ref="F25" dT="2026-07-07T14:43:08.46" personId="{F5872ED7-D39F-4926-8544-B9210D5C5975}" id="{22247A3E-C222-417A-94CD-5B66764050AD}">
    <text>PBC</text>
  </threadedComment>
  <threadedComment ref="G28" dT="2026-07-11T18:08:16.22" personId="{F5872ED7-D39F-4926-8544-B9210D5C5975}" id="{558ED183-1FFB-4008-850A-A648A893402C}">
    <text>.01 .02 .03</text>
  </threadedComment>
  <threadedComment ref="F30" dT="2026-07-07T14:43:14.22" personId="{F5872ED7-D39F-4926-8544-B9210D5C5975}" id="{A32C9D76-B798-4AE7-981E-F55DF4B2DBFC}">
    <text>PBC</text>
  </threadedComment>
  <threadedComment ref="F36" dT="2026-07-07T14:43:20.94" personId="{F5872ED7-D39F-4926-8544-B9210D5C5975}" id="{D0222937-4C7E-4181-8C46-362BD0FAC07D}">
    <text>PBC</text>
  </threadedComment>
  <threadedComment ref="F40" dT="2026-07-07T14:43:28.44" personId="{F5872ED7-D39F-4926-8544-B9210D5C5975}" id="{F372A2B3-EF4E-4CC2-84DE-923BF5F0CE63}">
    <text>PBC</text>
  </threadedComment>
  <threadedComment ref="F44" dT="2026-07-07T14:43:32.90" personId="{F5872ED7-D39F-4926-8544-B9210D5C5975}" id="{DF53661E-7BB9-4E23-8E81-CDC82ACBDFE6}">
    <text>PBC</text>
  </threadedComment>
  <threadedComment ref="F49" dT="2026-07-07T14:43:47.04" personId="{F5872ED7-D39F-4926-8544-B9210D5C5975}" id="{C69757FA-E893-4268-B7B6-2BAFF2E4F6E8}">
    <text>PBC</text>
  </threadedComment>
  <threadedComment ref="F52" dT="2026-07-07T14:43:52.60" personId="{F5872ED7-D39F-4926-8544-B9210D5C5975}" id="{F9D163E4-9AEA-4CE7-91B2-DCF75BBCD432}">
    <text>PBC</text>
  </threadedComment>
  <threadedComment ref="G53" dT="2026-07-11T18:13:12.61" personId="{F5872ED7-D39F-4926-8544-B9210D5C5975}" id="{C82B3D0F-8F2C-4314-818B-192CD35F8703}">
    <text>PBC</text>
  </threadedComment>
  <threadedComment ref="F55" dT="2026-07-07T14:44:45.44" personId="{F5872ED7-D39F-4926-8544-B9210D5C5975}" id="{CACEDE0D-805E-40BD-8229-11CF0102BA42}">
    <text>Work Station</text>
  </threadedComment>
  <threadedComment ref="F56" dT="2026-07-07T14:44:49.65" personId="{F5872ED7-D39F-4926-8544-B9210D5C5975}" id="{2BC7CB4E-B7F5-4E6B-B019-DDB0AF2DBF3A}">
    <text>Work Station</text>
  </threadedComment>
  <threadedComment ref="F57" dT="2026-07-07T14:44:55.35" personId="{F5872ED7-D39F-4926-8544-B9210D5C5975}" id="{C6A4F1EF-8B44-4BD9-8A5D-7615264B09E8}">
    <text>Work Station</text>
  </threadedComment>
  <threadedComment ref="F58" dT="2026-07-07T14:44:59.13" personId="{F5872ED7-D39F-4926-8544-B9210D5C5975}" id="{1BB6C932-488B-4D67-9545-5808852E8823}">
    <text>Work Station</text>
  </threadedComment>
  <threadedComment ref="F59" dT="2026-07-07T14:45:42.04" personId="{F5872ED7-D39F-4926-8544-B9210D5C5975}" id="{79309D9A-F657-4FD1-83AF-C9548C4B6F12}">
    <text>Work Station</text>
  </threadedComment>
  <threadedComment ref="F60" dT="2026-07-07T14:45:46.24" personId="{F5872ED7-D39F-4926-8544-B9210D5C5975}" id="{D72F8C2A-1C01-4322-9DBE-250F1E8C9B04}">
    <text>Work Station</text>
  </threadedComment>
  <threadedComment ref="F60" dT="2026-07-07T14:46:10.14" personId="{F5872ED7-D39F-4926-8544-B9210D5C5975}" id="{18B2FE2C-00DD-4912-BB58-B370DBE0A82B}" parentId="{D72F8C2A-1C01-4322-9DBE-250F1E8C9B04}">
    <text>Work Station</text>
  </threadedComment>
  <threadedComment ref="F61" dT="2026-07-07T14:46:19.23" personId="{F5872ED7-D39F-4926-8544-B9210D5C5975}" id="{80474E16-3660-458F-A143-BB30169FE55C}">
    <text>Work Station</text>
  </threadedComment>
  <threadedComment ref="F62" dT="2026-07-07T14:46:23.82" personId="{F5872ED7-D39F-4926-8544-B9210D5C5975}" id="{78A4795F-4035-460D-A0CF-826648C978CD}">
    <text>Work Station</text>
  </threadedComment>
  <threadedComment ref="F63" dT="2026-07-07T14:46:30.32" personId="{F5872ED7-D39F-4926-8544-B9210D5C5975}" id="{4BDB7699-6B58-4096-AEEF-6AD90A01967E}">
    <text>Work Station</text>
  </threadedComment>
  <threadedComment ref="F64" dT="2026-07-07T14:46:34.87" personId="{F5872ED7-D39F-4926-8544-B9210D5C5975}" id="{E4DA57F1-63D8-46E0-8A1A-E8800A20DAE1}">
    <text>Work Station</text>
  </threadedComment>
  <threadedComment ref="F65" dT="2026-07-07T14:46:40.00" personId="{F5872ED7-D39F-4926-8544-B9210D5C5975}" id="{F5C046BD-4EF8-44AE-A409-48DF2CC267C9}">
    <text>Work Station</text>
  </threadedComment>
  <threadedComment ref="F66" dT="2026-07-07T14:46:43.76" personId="{F5872ED7-D39F-4926-8544-B9210D5C5975}" id="{2B57101E-4B8A-4185-B6B3-21AFFA481CAA}">
    <text>Work Station</text>
  </threadedComment>
  <threadedComment ref="F67" dT="2026-07-07T14:46:47.18" personId="{F5872ED7-D39F-4926-8544-B9210D5C5975}" id="{3DE4AC0F-1E02-4E70-878A-FEE54F7F9A6C}">
    <text>Work Station</text>
  </threadedComment>
  <threadedComment ref="F68" dT="2026-07-07T14:46:50.62" personId="{F5872ED7-D39F-4926-8544-B9210D5C5975}" id="{50EDAFDD-FE1E-4F67-A224-44726EB13C59}">
    <text>Work Station</text>
  </threadedComment>
  <threadedComment ref="F69" dT="2026-07-07T14:46:54.47" personId="{F5872ED7-D39F-4926-8544-B9210D5C5975}" id="{8D2C9C3D-A883-42D6-B4D0-80D8791684FC}">
    <text>Work Station</text>
  </threadedComment>
  <threadedComment ref="F70" dT="2026-07-07T14:47:19.79" personId="{F5872ED7-D39F-4926-8544-B9210D5C5975}" id="{4D82F337-6A2C-4263-9323-45E620ABBFE7}">
    <text>Work Station</text>
  </threadedComment>
  <threadedComment ref="F71" dT="2026-07-07T14:47:23.62" personId="{F5872ED7-D39F-4926-8544-B9210D5C5975}" id="{1CC51C3D-135B-4A47-80A0-5068BA093EFF}">
    <text>Work Station</text>
  </threadedComment>
  <threadedComment ref="F72" dT="2026-07-07T14:47:28.20" personId="{F5872ED7-D39F-4926-8544-B9210D5C5975}" id="{1E79177C-5F0F-497C-99FE-116C24100E02}">
    <text>Work Station</text>
  </threadedComment>
  <threadedComment ref="F73" dT="2026-07-07T14:47:33.87" personId="{F5872ED7-D39F-4926-8544-B9210D5C5975}" id="{6EA37829-FC63-4D36-920B-ABA3822F2751}">
    <text>Work Station</text>
  </threadedComment>
  <threadedComment ref="F74" dT="2026-07-07T14:47:39.81" personId="{F5872ED7-D39F-4926-8544-B9210D5C5975}" id="{972694EA-26AA-4D5C-A510-6675FB0D5E81}">
    <text>Work Station</text>
  </threadedComment>
  <threadedComment ref="F75" dT="2026-07-07T14:47:44.19" personId="{F5872ED7-D39F-4926-8544-B9210D5C5975}" id="{B09B3155-8245-49E6-B9C3-D227AB8014BE}">
    <text>Work Station</text>
  </threadedComment>
  <threadedComment ref="F76" dT="2026-07-07T14:47:48.76" personId="{F5872ED7-D39F-4926-8544-B9210D5C5975}" id="{38B79716-2D35-4EF2-9288-83F23FB8F1F0}">
    <text>Work Station</text>
  </threadedComment>
  <threadedComment ref="F77" dT="2026-07-07T14:47:56.55" personId="{F5872ED7-D39F-4926-8544-B9210D5C5975}" id="{149A44B6-E26B-4195-BEEC-A740B064B9BE}">
    <text>Work Station</text>
  </threadedComment>
  <threadedComment ref="F78" dT="2026-07-07T14:47:59.53" personId="{F5872ED7-D39F-4926-8544-B9210D5C5975}" id="{072F9711-948F-4A00-A672-5C19C86C92A5}">
    <text>Work Station</text>
  </threadedComment>
  <threadedComment ref="F79" dT="2026-07-07T14:48:03.03" personId="{F5872ED7-D39F-4926-8544-B9210D5C5975}" id="{EB295959-25B3-46A3-9BBE-5EAE79A78C71}">
    <text>Work Station</text>
  </threadedComment>
  <threadedComment ref="F80" dT="2026-07-07T14:48:06.17" personId="{F5872ED7-D39F-4926-8544-B9210D5C5975}" id="{59EBE211-B751-42CE-B5F2-D0D54AFCF80D}">
    <text>Work Station</text>
  </threadedComment>
  <threadedComment ref="F81" dT="2026-07-07T14:48:08.98" personId="{F5872ED7-D39F-4926-8544-B9210D5C5975}" id="{AC052114-273E-4981-ABE2-8AC4992F2051}">
    <text>Work Station</text>
  </threadedComment>
  <threadedComment ref="F82" dT="2026-07-07T14:48:14.37" personId="{F5872ED7-D39F-4926-8544-B9210D5C5975}" id="{F3AC381F-BAB6-411B-9953-34ECB8E32D09}">
    <text>Work Station</text>
  </threadedComment>
  <threadedComment ref="F83" dT="2026-07-07T14:48:19.05" personId="{F5872ED7-D39F-4926-8544-B9210D5C5975}" id="{4AB23ED1-823E-4B84-9E27-8DF51973EAE7}">
    <text>Work Station</text>
  </threadedComment>
  <threadedComment ref="F84" dT="2026-07-07T14:48:22.75" personId="{F5872ED7-D39F-4926-8544-B9210D5C5975}" id="{45BC0855-5733-4FA0-924C-C3D61291BDA9}">
    <text>Work Station</text>
  </threadedComment>
  <threadedComment ref="F85" dT="2026-07-07T14:48:27.83" personId="{F5872ED7-D39F-4926-8544-B9210D5C5975}" id="{E946D94B-F7D3-4341-942D-FAB616FBBA5C}">
    <text>Work Station</text>
  </threadedComment>
  <threadedComment ref="F86" dT="2026-07-07T14:48:36.56" personId="{F5872ED7-D39F-4926-8544-B9210D5C5975}" id="{7E5ACF54-CD32-49D5-817B-1D07EABD1AE1}">
    <text>Work Station</text>
  </threadedComment>
  <threadedComment ref="F87" dT="2026-07-07T14:48:41.13" personId="{F5872ED7-D39F-4926-8544-B9210D5C5975}" id="{8CA1443D-93BB-4AF0-B471-5921173FB85F}">
    <text>Work Station</text>
  </threadedComment>
  <threadedComment ref="F88" dT="2026-07-07T14:48:45.17" personId="{F5872ED7-D39F-4926-8544-B9210D5C5975}" id="{0CC765B1-C019-430A-BDCB-9BA61F674DFB}">
    <text>Work Station</text>
  </threadedComment>
  <threadedComment ref="F89" dT="2026-07-07T14:48:51.92" personId="{F5872ED7-D39F-4926-8544-B9210D5C5975}" id="{4E094082-F34C-4BE8-B7CA-E526B9C0D2EF}">
    <text>Work Station</text>
  </threadedComment>
  <threadedComment ref="F90" dT="2026-07-07T14:48:58.38" personId="{F5872ED7-D39F-4926-8544-B9210D5C5975}" id="{E56D000D-D489-4774-A278-80BCFB437B67}">
    <text>Work Station</text>
  </threadedComment>
  <threadedComment ref="F91" dT="2026-07-07T14:49:01.80" personId="{F5872ED7-D39F-4926-8544-B9210D5C5975}" id="{A8C52718-CCF8-4E9A-99BE-254718FF228A}">
    <text>Work Station</text>
  </threadedComment>
  <threadedComment ref="F92" dT="2026-07-07T14:49:06.60" personId="{F5872ED7-D39F-4926-8544-B9210D5C5975}" id="{2BC47867-0583-4162-A77F-3985CE1C069B}">
    <text>Work Station</text>
  </threadedComment>
  <threadedComment ref="F93" dT="2026-07-07T14:49:10.69" personId="{F5872ED7-D39F-4926-8544-B9210D5C5975}" id="{6B6EA8D2-B4EF-402D-8683-7EB3DB533E97}">
    <text>Work Station</text>
  </threadedComment>
  <threadedComment ref="F94" dT="2026-07-07T14:49:16.17" personId="{F5872ED7-D39F-4926-8544-B9210D5C5975}" id="{4DE8A037-C438-4079-A630-39B3C83433D6}">
    <text>Work Station</text>
  </threadedComment>
  <threadedComment ref="F95" dT="2026-07-07T14:49:32.41" personId="{F5872ED7-D39F-4926-8544-B9210D5C5975}" id="{962956CF-0C76-4A5F-82B7-D06C5737E8FA}">
    <text>Work Station</text>
  </threadedComment>
  <threadedComment ref="F96" dT="2026-07-07T14:49:35.91" personId="{F5872ED7-D39F-4926-8544-B9210D5C5975}" id="{1FD74AA7-B69F-41DE-809C-23401E39CECC}">
    <text>Work Station</text>
  </threadedComment>
  <threadedComment ref="F97" dT="2026-07-07T14:49:39.82" personId="{F5872ED7-D39F-4926-8544-B9210D5C5975}" id="{D563EB34-362C-41CD-A696-AE30A1901FA0}">
    <text>Work Station</text>
  </threadedComment>
  <threadedComment ref="F98" dT="2026-07-07T14:49:43.46" personId="{F5872ED7-D39F-4926-8544-B9210D5C5975}" id="{93BA6F2B-796D-4711-A748-47A8FB4A116C}">
    <text>Work Station</text>
  </threadedComment>
  <threadedComment ref="F99" dT="2026-07-07T14:49:48.24" personId="{F5872ED7-D39F-4926-8544-B9210D5C5975}" id="{3D2FDF97-7B2A-40BA-A3F3-30A16238CB69}">
    <text>Work Station</text>
  </threadedComment>
  <threadedComment ref="F100" dT="2026-07-07T14:50:07.91" personId="{F5872ED7-D39F-4926-8544-B9210D5C5975}" id="{DD9D739E-511D-43BB-A606-D5F0186E9F82}">
    <text>Work Station</text>
  </threadedComment>
  <threadedComment ref="F101" dT="2026-07-07T14:50:16.05" personId="{F5872ED7-D39F-4926-8544-B9210D5C5975}" id="{77EC6198-07B8-4A1A-94E0-AEDCF31F4C75}">
    <text>Work Station</text>
  </threadedComment>
  <threadedComment ref="F102" dT="2026-07-07T14:50:20.21" personId="{F5872ED7-D39F-4926-8544-B9210D5C5975}" id="{666AD683-7C43-4B1C-A976-979B9CB7BFF1}">
    <text>Work Station</text>
  </threadedComment>
  <threadedComment ref="F103" dT="2026-07-07T14:50:24.16" personId="{F5872ED7-D39F-4926-8544-B9210D5C5975}" id="{EBFFD123-0916-4623-ACD1-C8CAC968835A}">
    <text>Work Station</text>
  </threadedComment>
  <threadedComment ref="F104" dT="2026-07-07T14:50:27.65" personId="{F5872ED7-D39F-4926-8544-B9210D5C5975}" id="{85FFAA7A-62B3-4549-B83B-9FD4FF2B6D90}">
    <text>Work Station</text>
  </threadedComment>
  <threadedComment ref="F105" dT="2026-07-07T14:50:31.08" personId="{F5872ED7-D39F-4926-8544-B9210D5C5975}" id="{54323525-D685-41E8-AEC3-8A6D007C101C}">
    <text>Work Station</text>
  </threadedComment>
  <threadedComment ref="F106" dT="2026-07-07T14:50:34.44" personId="{F5872ED7-D39F-4926-8544-B9210D5C5975}" id="{8C23DAAC-4455-4535-8BDA-95865E69E0C7}">
    <text>Work Station</text>
  </threadedComment>
  <threadedComment ref="F107" dT="2026-07-07T14:50:40.19" personId="{F5872ED7-D39F-4926-8544-B9210D5C5975}" id="{3692165B-2551-49BC-AD33-49B29F0264E4}">
    <text>Work Station</text>
  </threadedComment>
  <threadedComment ref="F108" dT="2026-07-07T14:50:47.41" personId="{F5872ED7-D39F-4926-8544-B9210D5C5975}" id="{848FE483-1DC7-44C1-91C5-ABA2977C377E}">
    <text>Work Station</text>
  </threadedComment>
  <threadedComment ref="F109" dT="2026-07-07T14:50:51.15" personId="{F5872ED7-D39F-4926-8544-B9210D5C5975}" id="{C3F7EA7F-D9B1-4DEF-88B0-FD68F6361DBF}">
    <text>Work Station</text>
  </threadedComment>
  <threadedComment ref="F110" dT="2026-07-07T14:51:11.71" personId="{F5872ED7-D39F-4926-8544-B9210D5C5975}" id="{B5AEB03E-DE2A-4741-A3E8-34156E135E00}">
    <text>Work Station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4" dT="2026-07-07T15:01:32.19" personId="{F5872ED7-D39F-4926-8544-B9210D5C5975}" id="{F00CD494-3D15-455C-8F84-E915429BD177}">
    <text>Will be a new design (short supports) </text>
  </threadedComment>
  <threadedComment ref="G5" dT="2026-07-11T16:49:25.02" personId="{F5872ED7-D39F-4926-8544-B9210D5C5975}" id="{107480A8-4E8E-402D-B057-0002F3996F8E}">
    <text>WRONG BAND</text>
  </threadedComment>
  <threadedComment ref="G6" dT="2026-07-11T16:50:02.02" personId="{F5872ED7-D39F-4926-8544-B9210D5C5975}" id="{6F7761A4-EE4D-4B5C-AF29-6CBAC0A7E664}">
    <text>WRONG BAND</text>
  </threadedComment>
  <threadedComment ref="G7" dT="2026-07-11T16:50:31.64" personId="{F5872ED7-D39F-4926-8544-B9210D5C5975}" id="{B85B7C16-92A0-4FAC-A98E-21E674D92ED9}">
    <text>WRONG BAND</text>
  </threadedComment>
  <threadedComment ref="G8" dT="2026-07-11T16:49:03.11" personId="{F5872ED7-D39F-4926-8544-B9210D5C5975}" id="{C179AA0E-78DB-41B7-A049-272DCE9D05A2}">
    <text>WRONG BAND</text>
  </threadedComment>
  <threadedComment ref="G9" dT="2026-07-11T16:49:48.13" personId="{F5872ED7-D39F-4926-8544-B9210D5C5975}" id="{F27107AB-79F3-4B30-9C1D-3F2D6A44620A}">
    <text>WRONG BAND</text>
  </threadedComment>
  <threadedComment ref="G11" dT="2026-07-11T16:45:02.50" personId="{F5872ED7-D39F-4926-8544-B9210D5C5975}" id="{B6E42997-CF67-4829-8C0B-5DBDC018B27E}">
    <text>LACKS SUPPORT</text>
  </threadedComment>
  <threadedComment ref="Q11" dT="2026-07-07T15:01:32.19" personId="{F5872ED7-D39F-4926-8544-B9210D5C5975}" id="{16B6E6CA-26C7-4FB3-AAA3-61C8A0EF163B}">
    <text>Will be a new design (short supports) </text>
  </threadedComment>
  <threadedComment ref="Q12" dT="2026-07-07T15:01:32.19" personId="{F5872ED7-D39F-4926-8544-B9210D5C5975}" id="{A5C97663-842E-4740-85BC-9100879CFA4C}">
    <text>Will be a new design (short supports) </text>
  </threadedComment>
  <threadedComment ref="G13" dT="2026-07-11T16:44:32.83" personId="{F5872ED7-D39F-4926-8544-B9210D5C5975}" id="{B2CF0192-E2AE-4A76-99DB-2416AEA3565F}">
    <text>LACKS SUPPORT</text>
  </threadedComment>
  <threadedComment ref="Q13" dT="2026-07-07T15:01:32.19" personId="{F5872ED7-D39F-4926-8544-B9210D5C5975}" id="{089BCB35-CBD8-461B-8A6D-1F0C9CDFDA5A}">
    <text>Will be a new design (short supports) </text>
  </threadedComment>
  <threadedComment ref="G14" dT="2026-07-11T16:50:16.56" personId="{F5872ED7-D39F-4926-8544-B9210D5C5975}" id="{57068AD1-BE09-40F1-98D2-BD433359FDE4}">
    <text>WRONG BAND</text>
  </threadedComment>
  <threadedComment ref="G15" dT="2026-07-11T16:51:37.38" personId="{F5872ED7-D39F-4926-8544-B9210D5C5975}" id="{EF1E460D-327B-406E-A1BC-6F254CEF787C}">
    <text>doesn't have a band </text>
  </threadedComment>
  <threadedComment ref="G16" dT="2026-07-11T16:51:54.45" personId="{F5872ED7-D39F-4926-8544-B9210D5C5975}" id="{85BAC138-7752-4B84-9041-947530AC88FA}">
    <text>doesn't have a band </text>
  </threadedComment>
  <threadedComment ref="G17" dT="2026-07-11T16:52:14.91" personId="{F5872ED7-D39F-4926-8544-B9210D5C5975}" id="{A62ED4E2-5E00-4866-A382-44C9E7456BD1}">
    <text>doesn't have a band </text>
  </threadedComment>
  <threadedComment ref="G18" dT="2026-07-11T16:52:43.70" personId="{F5872ED7-D39F-4926-8544-B9210D5C5975}" id="{DF3EE52E-433A-4E71-B1B5-50DECBB3F798}">
    <text>doesn't have a band </text>
  </threadedComment>
  <threadedComment ref="G20" dT="2026-07-11T16:53:36.05" personId="{F5872ED7-D39F-4926-8544-B9210D5C5975}" id="{F553AA21-6E56-431B-A813-778C01D314A3}">
    <text>Drive isn't the one that arrived, it's incorrect, there's no information in the ISC </text>
  </threadedComment>
  <threadedComment ref="G24" dT="2026-07-09T18:12:38.75" personId="{F5872ED7-D39F-4926-8544-B9210D5C5975}" id="{6CEF2A26-9F8F-4038-9312-F828C4D524BB}">
    <text>upstream conveyor 42210 missing the drive</text>
  </threadedComment>
  <threadedComment ref="Q24" dT="2026-07-07T15:03:49.88" personId="{F5872ED7-D39F-4926-8544-B9210D5C5975}" id="{7A4E1E09-0908-40B1-BD0B-A811C5A08ECF}">
    <text>waiting for upstrem conveyor to install</text>
  </threadedComment>
  <threadedComment ref="G25" dT="2026-07-09T18:16:17.38" personId="{F5872ED7-D39F-4926-8544-B9210D5C5975}" id="{46EAD7CE-0C5A-40CA-B011-3D920E7DA78F}">
    <text>cut to fit not done due to upstream conveyor 42260 drive missing</text>
  </threadedComment>
  <threadedComment ref="Q25" dT="2026-07-07T15:03:49.88" personId="{F5872ED7-D39F-4926-8544-B9210D5C5975}" id="{B899EB63-3077-4D9F-BB56-AE538146F947}">
    <text>waiting for upstrem conveyor to install</text>
  </threadedComment>
  <threadedComment ref="Q26" dT="2026-07-07T15:09:12.39" personId="{F5872ED7-D39F-4926-8544-B9210D5C5975}" id="{C8BE55D0-870A-4ADB-B6A8-DF112CC2A92C}">
    <text>Missing  material (sent for powder coat &amp; Hat channles are ordered)</text>
  </threadedComment>
  <threadedComment ref="Q34" dT="2026-07-07T15:06:50.39" personId="{F5872ED7-D39F-4926-8544-B9210D5C5975}" id="{4FA4A0E7-C9D7-48EF-BD45-7E0D87665EC8}">
    <text>Missing  material (sent for powder coat &amp; Hat channles are ordered)</text>
  </threadedComment>
  <threadedComment ref="G36" dT="2026-07-11T16:46:19.81" personId="{F5872ED7-D39F-4926-8544-B9210D5C5975}" id="{323685E0-8809-4FC2-BA6F-497F95C9CF75}">
    <text>WRONG BAND</text>
  </threadedComment>
  <threadedComment ref="G37" dT="2026-07-11T16:46:55.80" personId="{F5872ED7-D39F-4926-8544-B9210D5C5975}" id="{12F67C30-A89F-4F23-BCD7-8EC74AECD331}">
    <text>WRONG BAND</text>
  </threadedComment>
  <threadedComment ref="Q39" dT="2026-07-07T15:05:22.51" personId="{F5872ED7-D39F-4926-8544-B9210D5C5975}" id="{04035466-D430-4653-81DC-BF28636F5749}">
    <text>Missing  material (sent for powder coat &amp; Hat channles are ordered)</text>
  </threadedComment>
  <threadedComment ref="Q40" dT="2026-07-07T15:05:26.32" personId="{F5872ED7-D39F-4926-8544-B9210D5C5975}" id="{BA5196CA-5A62-4258-B510-FB4EFB06C18A}">
    <text>Missing  material (sent for powder coat &amp; Hat channles are ordered)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3" dT="2026-07-07T15:12:16.67" personId="{F5872ED7-D39F-4926-8544-B9210D5C5975}" id="{CDC5FAA6-6255-4813-A100-40ABFD8207DD}">
    <text xml:space="preserve">200 BT 2PL LR MONOFILAMENT 20"W  </text>
  </threadedComment>
  <threadedComment ref="G50" dT="2026-07-07T15:14:46.86" personId="{F5872ED7-D39F-4926-8544-B9210D5C5975}" id="{29678602-1C78-4036-9765-897A66A96011}">
    <text>.MDR-710.MRG.BLNSE.EXT.30D.6.5.RIVER GRAY</text>
  </threadedComment>
  <threadedComment ref="G54" dT="2026-07-07T15:17:12.52" personId="{F5872ED7-D39F-4926-8544-B9210D5C5975}" id="{83CFF26C-DEBA-45B3-A1E2-953B2EFE1719}">
    <text>200 BT STD NEEDLED FELT 21"W</text>
  </threadedComment>
  <threadedComment ref="G58" dT="2026-07-07T15:18:08.95" personId="{F5872ED7-D39F-4926-8544-B9210D5C5975}" id="{BD451775-8E96-4A73-A4D0-74B405F49FFD}">
    <text>200 BT STD NEEDLED FELT 20"W</text>
  </threadedComment>
  <threadedComment ref="G61" dT="2026-07-07T15:19:29.76" personId="{F5872ED7-D39F-4926-8544-B9210D5C5975}" id="{E95DD3AB-3BA8-4578-A4CA-6461CF6AA770}">
    <text>200 BT 2PL LR MONOFILAMENT 20"W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3" dT="2026-07-07T15:25:05.77" personId="{F5872ED7-D39F-4926-8544-B9210D5C5975}" id="{3A60DFCE-1C05-4241-A6AD-AEE9AB84287C}">
    <text xml:space="preserve"> .200 BELT CENTERDRIVE.22BF.RH PU.URETH PULLEY.ENCODER ROLLER.BAL-3HP-460V-PREM.DGE-26-A-10-R-180.DVR-P36-8M-50-1610.DVN-P56-8M-50-2517.GB-HT200-1224-8M-50.RIVER GRAY  </text>
  </threadedComment>
  <threadedComment ref="G4" dT="2026-07-07T15:25:29.23" personId="{F5872ED7-D39F-4926-8544-B9210D5C5975}" id="{E2F00F4F-69EE-43E9-9386-C29C17F17E54}">
    <text xml:space="preserve"> .200 BELT CENTERDRIVE.22BF.RH PU.URETH PULLEY.ENCODER ROLLER.BAL-3HP-460V-PREM.DGE-26-A-10-R-180.DVR-P36-8M-50-1610.DVN-P56-8M-50-2517.GB-HT200-1224-8M-50.RIVER GRAY  </text>
  </threadedComment>
  <threadedComment ref="G6" dT="2026-07-07T16:04:28.17" personId="{F5872ED7-D39F-4926-8544-B9210D5C5975}" id="{2A5CB170-ABA9-4ACA-B31A-762CBC80B9ED}">
    <text xml:space="preserve"> 200 BT 2PL LR MONOFILAMENT 20"W  </text>
  </threadedComment>
  <threadedComment ref="G8" dT="2026-07-07T16:07:45.97" personId="{F5872ED7-D39F-4926-8544-B9210D5C5975}" id="{66C98302-A190-4B7F-9046-B9013330F4CD}">
    <text xml:space="preserve"> 200 BT 2PL LR MONOFILAMENT 20"W  </text>
  </threadedComment>
  <threadedComment ref="G9" dT="2026-07-07T16:07:55.38" personId="{F5872ED7-D39F-4926-8544-B9210D5C5975}" id="{A2B26E6A-189C-43F9-814E-A84A0F3B6DA0}">
    <text xml:space="preserve"> .810 VB CRV 60D ASSY TT 2"C.22"BF.TG254AB.9.75"HT.RIVER GRAY  </text>
  </threadedComment>
  <threadedComment ref="G12" dT="2026-07-07T16:08:53.64" personId="{F5872ED7-D39F-4926-8544-B9210D5C5975}" id="{95AC6FED-8DC2-4D96-A49A-D7D03EE3277A}">
    <text xml:space="preserve"> MDR 710 FRAME GROUNDING FLAT  </text>
  </threadedComment>
  <threadedComment ref="G13" dT="2026-07-07T15:27:41.20" personId="{F5872ED7-D39F-4926-8544-B9210D5C5975}" id="{3D4BE195-0F14-4535-9468-6A6D48735395}">
    <text xml:space="preserve"> .MDR NGFWB CART INC UPR TRNS.22"BF.30"ZN, 2ZN.LH WIRE.RLR LOW.120FPM INT.PE SICK ZLD18 PNP RETRO 4PIN.HON2018.RMT CNTL.WH-496655.PREM HORZ BELT DGR HON HTSS.PREM INC BELT DGR HON HTSS.RIVER GRAY  </text>
  </threadedComment>
  <threadedComment ref="G18" dT="2026-07-07T16:11:07.62" personId="{F5872ED7-D39F-4926-8544-B9210D5C5975}" id="{D913C134-C2E2-44C9-833D-A38E1F8EE520}">
    <text xml:space="preserve">.611 IQ DIRECT CTR DRV ASSY.22"BF.12-0.RH.DIRECT DRIVE.STANDARD.2"CTRS.3 FT ZN OUTSIDE OPP SIDE.G196AB-BK.BAL-3HP-460V-PREM.DGE-35-A-25-H-180.DODGE A35.RIVER GRAY  </text>
  </threadedComment>
  <threadedComment ref="G19" dT="2026-07-07T16:11:21.34" personId="{F5872ED7-D39F-4926-8544-B9210D5C5975}" id="{7DDDFD46-55BD-4ABE-9556-E9C4756654C6}">
    <text xml:space="preserve"> .611 IS ASSY.12-0.22"BF.RH.STANDARD.2"CTRS.3 FT ZN OUTSIDE OPP SIDE.G196AB-BK.RIVER GRAY  </text>
  </threadedComment>
  <threadedComment ref="G20" dT="2026-07-07T16:12:19.14" personId="{F5872ED7-D39F-4926-8544-B9210D5C5975}" id="{1E763452-D64A-4BE2-973B-B0D80A44F5CE}">
    <text xml:space="preserve"> 200 BT HABASIT MAT TOP 4137 20"W  </text>
  </threadedComment>
  <threadedComment ref="G27" dT="2026-07-07T16:14:14.49" personId="{F5872ED7-D39F-4926-8544-B9210D5C5975}" id="{51175741-B7CD-4DE4-9BA7-CC12AF5C26AF}">
    <text xml:space="preserve"> .MDR NGFWB CART INC LWR TRNS.22"BF.30"ZN, 2ZN.RH WIRE.RLR LOW.120FPM INT.PE SICK ZLD18 PNP RETRO 4PIN.HON2018.RMT CNTL.WH-496654.PREM HORZ BELT DGR HON HTSS.PREM INC BELT DGR HON HTSS.RIVER GRAY </text>
  </threadedComment>
  <threadedComment ref="G28" dT="2026-07-07T16:14:27.53" personId="{F5872ED7-D39F-4926-8544-B9210D5C5975}" id="{258D8360-083A-4F51-A327-5A999C20930B}">
    <text xml:space="preserve"> .MDR NGFWB CART INC LWR TRNS.22"BF.30"ZN, 2ZN.RH WIRE.RLR LOW.120FPM INT.PE SICK ZLD18 PNP RETRO 4PIN.HON2018.RMT CNTL.WH-496654.PREM HORZ BELT DGR HON HTSS.PREM INC BELT DGR HON HTSS.RIVER GRAY  </text>
  </threadedComment>
  <threadedComment ref="G30" dT="2026-07-07T16:14:37.74" personId="{F5872ED7-D39F-4926-8544-B9210D5C5975}" id="{35EA41DC-5507-491E-9742-C725988E533F}">
    <text xml:space="preserve"> .MDR NGFWB CART INC UPR TRNS.22"BF.30"ZN, 2ZN.RH WIRE.RLR LOW.120FPM INT.PE SICK ZLD18 PNP RETRO 4PIN.HON2018.RMT CNTL.WH-496655.PREM HORZ BELT DGR HON HTSS.PREM INC BELT DGR HON HTSS.RIVER GRAY  </text>
  </threadedComment>
  <threadedComment ref="G34" dT="2026-07-07T15:54:26.84" personId="{F5872ED7-D39F-4926-8544-B9210D5C5975}" id="{7EC8CC8F-46BE-4F2A-9963-404A5ED97DE4}">
    <text xml:space="preserve"> 200 BT HABASIT MAT TOP 4137 20"W  </text>
  </threadedComment>
  <threadedComment ref="G36" dT="2026-07-07T16:16:05.43" personId="{F5872ED7-D39F-4926-8544-B9210D5C5975}" id="{BD57EA80-58D9-45A0-B3C4-86B711E57930}">
    <text xml:space="preserve">.200 BELT INTERMEDIATE SB.3'LG.22"BF.CHAN-CHAN.RIVER GRAY  </text>
  </threadedComment>
  <threadedComment ref="G37" dT="2026-07-07T16:16:18.52" personId="{F5872ED7-D39F-4926-8544-B9210D5C5975}" id="{4C445299-D4E5-44A7-8ED4-BCD517F92C1B}">
    <text xml:space="preserve"> 200 BT HABASIT MAT TOP 4137 20"W  </text>
  </threadedComment>
  <threadedComment ref="G39" dT="2026-07-07T16:17:13.62" personId="{F5872ED7-D39F-4926-8544-B9210D5C5975}" id="{EC603724-13C1-49A1-B6B8-A0A0AF00D9E9}">
    <text xml:space="preserve"> 200 BT 2PL LR MONOFILAMENT 20"W  
</text>
  </threadedComment>
  <threadedComment ref="G44" dT="2026-07-07T16:18:39.04" personId="{F5872ED7-D39F-4926-8544-B9210D5C5975}" id="{E567E18E-BEA8-4CE0-BBE2-A7F40EEAD14E}">
    <text xml:space="preserve"> .MDR NGFWB CART INC LWR TRNS.22"BF.30"ZN, 2ZN.RH WIRE.RLR LOW.120FPM INT.PE SICK ZLD18 PNP RETRO 4PIN.HON2018.RMT CNTL.WH-496654.PREM HORZ BELT DGR HON HTSS.PREM INC BELT DGR HON HTSS.RIVER GRAY  </text>
  </threadedComment>
  <threadedComment ref="G45" dT="2026-07-07T16:18:57.48" personId="{F5872ED7-D39F-4926-8544-B9210D5C5975}" id="{604A17D1-AE34-4B9A-BD85-87E14569C9AB}">
    <text xml:space="preserve"> .MDR FWB STRT INC ASSY.22"BF.30"ZN.RH WIRE.RLR LOW.120"OAL.120FPM INT.PE SICK ZLD18 PNP RETRO 4PIN.HON2018.RMT CNTL.WH-492186.PREM INC BELT DGR HON HTSS.RIVER GRAY  </text>
  </threadedComment>
  <threadedComment ref="G46" dT="2026-07-07T16:20:04.80" personId="{F5872ED7-D39F-4926-8544-B9210D5C5975}" id="{2937FEF2-62D9-4180-95F3-32505CE53B11}">
    <text xml:space="preserve"> .MDR NGFWB CART INC UPR TRNS.22"BF.30"ZN, 2ZN.RH WIRE.RLR LOW.120FPM INT.PE SICK ZLD18 PNP RETRO 4PIN.HON2018.RMT CNTL.WH-496655.PREM HORZ BELT DGR HON HTSS.PREM INC BELT DGR HON HTSS.RIVER GRAY  </text>
  </threadedComment>
  <threadedComment ref="G50" dT="2026-07-07T15:40:39.19" personId="{F5872ED7-D39F-4926-8544-B9210D5C5975}" id="{FBCD0DD1-5F2C-46C6-B11D-B9B91B13C075}">
    <text>41044300</text>
  </threadedComment>
  <threadedComment ref="G55" dT="2026-07-07T16:22:20.08" personId="{F5872ED7-D39F-4926-8544-B9210D5C5975}" id="{DA1230A8-0ACD-4D29-BF7F-45392C910384}">
    <text xml:space="preserve"> 200 BT HABASIT MAT TOP 4137 20"W  </text>
  </threadedComment>
  <threadedComment ref="G56" dT="2026-07-07T16:22:38.30" personId="{F5872ED7-D39F-4926-8544-B9210D5C5975}" id="{563076F4-DEBF-46BA-8796-D29430C7B832}">
    <text xml:space="preserve"> .200 BELT INTERMEDIATE SB.12'LG.22"BF.CHAN-CHAN.RIVER GRAY  </text>
  </threadedComment>
  <threadedComment ref="G61" dT="2026-07-07T16:24:22.27" personId="{F5872ED7-D39F-4926-8544-B9210D5C5975}" id="{5A61EA9D-DD31-4464-A135-C1D205425281}">
    <text xml:space="preserve"> .MDR 710-PWDR INCR.22"BF.2"CTRS.RH WIRE.LH OBLT.RLR LOW.1-8.G196AB MDR DGR.STD TORQ DGR HON STSS.180FPM INT.HON2018.WH-491908.RIVER GRAY  </text>
  </threadedComment>
  <threadedComment ref="G62" dT="2026-07-07T16:28:49.11" personId="{F5872ED7-D39F-4926-8544-B9210D5C5975}" id="{2E4D3BF8-7E7E-4F47-8E45-0618F7635B72}">
    <text xml:space="preserve"> .MDR NGFWB CART INC LWR TRNS.22"BF.30"ZN, 2ZN.RH WIRE.RLR LOW.120FPM INT.PE SICK ZLD18 PNP RETRO 4PIN.HON2018.RMT CNTL.WH-496654.PREM HORZ BELT DGR HON HTSS.PREM INC BELT DGR HON HTSS.RIVER GRAY  </text>
  </threadedComment>
  <threadedComment ref="G63" dT="2026-07-07T16:29:17.86" personId="{F5872ED7-D39F-4926-8544-B9210D5C5975}" id="{AA0969EB-DF22-4391-A6D0-FCEC502C3041}">
    <text xml:space="preserve"> .MDR NGFWB CART INC LWR TRNS.22"BF.30"ZN, 2ZN.RH WIRE.RLR LOW.120FPM INT.PE SICK ZLD18 PNP RETRO 4PIN.HON2018.RMT CNTL.WH-496654.PREM HORZ BELT DGR HON HTSS.PREM INC BELT DGR HON HTSS.RIVER GRAY </text>
  </threadedComment>
  <threadedComment ref="G64" dT="2026-07-07T16:29:35.96" personId="{F5872ED7-D39F-4926-8544-B9210D5C5975}" id="{9D3E8C56-DA1F-45F0-8BB1-003A7A101C89}">
    <text xml:space="preserve">.MDR NGFWB CART INC LWR TRNS.22"BF.30"ZN, 2ZN.RH WIRE.RLR LOW.120FPM INT.PE SICK ZLD18 PNP RETRO 4PIN.HON2018.RMT CNTL.WH-496654.PREM HORZ BELT DGR HON HTSS.PREM INC BELT DGR HON HTSS.RIVER GRAY </text>
  </threadedComment>
  <threadedComment ref="G68" dT="2026-07-07T15:55:39.32" personId="{F5872ED7-D39F-4926-8544-B9210D5C5975}" id="{C5C6E9B5-6B26-40B4-841B-F90F01ABE9D7}">
    <text xml:space="preserve"> 200 BT HABASIT MAT TOP 4137 20"W  </text>
  </threadedComment>
  <threadedComment ref="G70" dT="2026-07-07T15:56:24.04" personId="{F5872ED7-D39F-4926-8544-B9210D5C5975}" id="{F8EE384E-4FD2-4920-903B-5DE000F50245}">
    <text xml:space="preserve"> .MDR 710-CRV.RH CURVE LH WIRE.22"BF.CC.30"ZN.60D.48"IR.RLR LOW.STD TORQ DGR HON STSS.180FPM INT.PE SICK ZLD18 PNP RETRO 4PIN.HON2018.RMT CNTL.BNR X2X.WH-491910.RIVER GRAY  </text>
  </threadedComment>
  <threadedComment ref="G72" dT="2026-07-07T15:57:00.29" personId="{F5872ED7-D39F-4926-8544-B9210D5C5975}" id="{4843BE0E-5F82-4793-8BD4-CBCCBF35C101}">
    <text xml:space="preserve"> 200 BT 2PL LR MONOFILAMENT 20"W  </text>
  </threadedComment>
  <threadedComment ref="G78" dT="2026-07-07T16:32:40.50" personId="{F5872ED7-D39F-4926-8544-B9210D5C5975}" id="{244923E1-09DD-4F2E-A2BF-8D425A78D5A7}">
    <text xml:space="preserve">.MDR 710-INCR.22"BF.2"CTRS.RH WIRE.LH OBLT.RLR LOW.3"OAL.G196AB MDR DGR.RMT CNTL.BNR X2X.WH-491908.RIVER GRAY  </text>
  </threadedComment>
  <threadedComment ref="G80" dT="2026-07-07T16:33:43.47" personId="{F5872ED7-D39F-4926-8544-B9210D5C5975}" id="{DC9645FF-DEC1-4B7D-A8CD-26C1CA8AE4A7}">
    <text xml:space="preserve"> .611 IS ASSY.12-0.22"BF.RH.AIR TRANS.3"CTRS.G196AB-BK.RIVER GRAY  </text>
  </threadedComment>
  <threadedComment ref="G81" dT="2026-07-07T16:34:27.19" personId="{F5872ED7-D39F-4926-8544-B9210D5C5975}" id="{90A9563D-3B76-45DE-BA6E-CEE22C7FDA27}">
    <text xml:space="preserve">.MDR 710-CRV.LH CURVE RH WIRE.22"BF.CC.30"ZN.60D.48"IR.RLR LOW.STD TORQ DGR HON STSS.180FPM INT.PE SICK ZLD18 PNP RETRO 4PIN.HON2018.RMT CNTL.BNR X2X.WH-491910.RIVER GRAY  </text>
  </threadedComment>
  <threadedComment ref="G82" dT="2026-07-07T16:35:30.97" personId="{F5872ED7-D39F-4926-8544-B9210D5C5975}" id="{29C6B6F6-5E98-4063-A0B6-0C912ECB9CA5}">
    <text xml:space="preserve"> .MDR 710-CRV.RH CURVE LH WIRE.22"BF.CC.30"ZN.60D.48"IR.RLR LOW.STD TORQ DGR HON STSS.180FPM INT.PE SICK ZLD18 PNP RETRO 4PIN.HON2018.RMT CNTL.BNR X2X.WH-491910.RIVER GRAY  </text>
  </threadedComment>
  <threadedComment ref="G83" dT="2026-07-07T16:36:20.83" personId="{F5872ED7-D39F-4926-8544-B9210D5C5975}" id="{0DE60853-66E5-439A-9ABF-017123D1873D}">
    <text xml:space="preserve"> .MDR NGFWB CART INC LWR TRNS.22"BF.30"ZN, 2ZN.LH WIRE.RLR LOW.120FPM INT.PE SICK ZLD18 PNP RETRO 4PIN.HON2018.RMT CNTL.WH-496654.PREM HORZ BELT DGR HON HTSS.PREM INC BELT DGR HON HTSS.RIVER GRAY  </text>
  </threadedComment>
  <threadedComment ref="G84" dT="2026-07-07T16:37:02.74" personId="{F5872ED7-D39F-4926-8544-B9210D5C5975}" id="{68382FCB-B7B9-4923-9FD2-0BF4965E4E18}">
    <text>.MDR NGFWB CART INC UPR TRNS.22"BF.30"ZN, 2ZN.LH WIRE.RLR LOW.120FPM INT.PE SICK ZLD18 PNP RETRO 4PIN.HON2018.RMT CNTL.WH-496655.PREM HORZ BELT DGR HON HTSS.PREM INC BELT DGR HON HTSS.RIVER GRAY</text>
  </threadedComment>
  <threadedComment ref="G92" dT="2026-07-07T15:50:44.63" personId="{F5872ED7-D39F-4926-8544-B9210D5C5975}" id="{908479C5-510E-4FCB-88DF-5C54B5846270}">
    <text xml:space="preserve"> 200 BT 2PL LR MONOFILAMENT 20"W  </text>
  </threadedComment>
  <threadedComment ref="G93" dT="2026-07-07T15:50:22.68" personId="{F5872ED7-D39F-4926-8544-B9210D5C5975}" id="{E5E4E87E-0660-4EA1-9AA5-2EC8D7F38E67}">
    <text xml:space="preserve">.810 VB END IDL ASSY.22"BF.LH BELT.G196AB.RIVER GRAY  </text>
  </threadedComment>
  <threadedComment ref="G97" dT="2026-07-07T15:48:32.38" personId="{F5872ED7-D39F-4926-8544-B9210D5C5975}" id="{A4CD6A6F-595F-4EAF-B960-9671B02E3B2C}">
    <text xml:space="preserve"> 200 BT HABASIT MAT TOP 4137 20"W  </text>
  </threadedComment>
  <threadedComment ref="G98" dT="2026-07-07T15:48:56.47" personId="{F5872ED7-D39F-4926-8544-B9210D5C5975}" id="{EFE2C6E9-DE66-474A-B4D8-B470FA2F56E3}">
    <text xml:space="preserve"> 200 BT LR NEEDLED FELT BACK 20"W </text>
  </threadedComment>
  <threadedComment ref="G100" dT="2026-07-07T15:47:43.44" personId="{F5872ED7-D39F-4926-8544-B9210D5C5975}" id="{42FB0613-E444-4E7C-B5E7-5D9388F41D11}">
    <text xml:space="preserve"> .MDR 710-CRV.RH CURVE LH WIRE.22"BF.CC.30"ZN.60D.48"IR.RLR LOW.STD TORQ DGR HON STSS.180FPM INT.PE SICK ZLD18 PNP RETRO 4PIN.HON2018.RMT CNTL.BNR X2X.WH-491910.RIVER GRAY  </text>
  </threadedComment>
  <threadedComment ref="G101" dT="2026-07-07T15:47:10.64" personId="{F5872ED7-D39F-4926-8544-B9210D5C5975}" id="{EB084065-A063-44B1-86CD-BDDB209BA5AA}">
    <text xml:space="preserve"> .MDR 710-CRV.LH CURVE RH WIRE.22"BF.CC.30"ZN.60D.48"IR.RLR LOW.STD TORQ DGR HON STSS.180FPM INT.PE SICK ZLD18 PNP RETRO 4PIN.HON2018.RMT CNTL.BNR X2X.WH-491910.RIVER GRAY  </text>
  </threadedComment>
  <threadedComment ref="G103" dT="2026-07-07T15:45:49.53" personId="{F5872ED7-D39F-4926-8544-B9210D5C5975}" id="{2527ADFD-44DE-4C88-9652-09E7436C03F9}">
    <text xml:space="preserve"> .MDR 710-CRV.LH CURVE RH WIRE.22"BF.30"ZN.60D.48"IR.RLR LOW.TR 197 48.0"IR DGR AX7.STD TORQ DGR HON STSS.180FPM INT.PE SICK ZLD18 PNP RETRO 4PIN.HON2018.RMT CNTL.WH-491083.RIVER GRAY  </text>
  </threadedComment>
  <threadedComment ref="G105" dT="2026-07-07T15:45:25.26" personId="{F5872ED7-D39F-4926-8544-B9210D5C5975}" id="{16D33F36-2021-4B01-9305-07E612B0BF74}">
    <text xml:space="preserve"> .MDR 710 JCT 30D LM.22"BF.3"CTRS.NON-CVR JCT HON STSS.RLR LOW.50LB WHL.180FPM INT.HON2018.RMT CNTL.BNR X2X.WH-490027.RIVER GRAY</text>
  </threadedComment>
  <threadedComment ref="G115" dT="2026-07-07T16:42:12.27" personId="{F5872ED7-D39F-4926-8544-B9210D5C5975}" id="{8BA5F579-83FE-4D39-9E28-FFC1944D0272}">
    <text xml:space="preserve"> .MDR 710-CRV.RH CURVE LH WIRE.22"BF.CC.30"ZN.60D.48"IR.RLR LOW.STD TORQ DGR HON STSS.180FPM INT.PE SICK ZLD18 PNP RETRO 4PIN.HON2018.RMT CNTL.BNR X2X.WH-491910.RIVER GRAY  </text>
  </threadedComment>
  <threadedComment ref="G116" dT="2026-07-07T16:42:32.44" personId="{F5872ED7-D39F-4926-8544-B9210D5C5975}" id="{9D5E7B03-567B-4472-833A-40AD74D99E0A}">
    <text xml:space="preserve"> .MDR 710-CRV.LH CURVE RH WIRE.22"BF.CC.30"ZN.60D.48"IR.RLR LOW.STD TORQ DGR HON STSS.180FPM INT.PE SICK ZLD18 PNP RETRO 4PIN.HON2018.RMT CNTL.BNR X2X.WH-491910.RIVER GRAY 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130" zoomScaleNormal="130" workbookViewId="0">
      <selection activeCell="E17" sqref="E17:G17"/>
    </sheetView>
  </sheetViews>
  <sheetFormatPr defaultRowHeight="14.45"/>
  <cols>
    <col min="1" max="1" width="14.28515625" bestFit="1" customWidth="1"/>
    <col min="2" max="2" width="8.42578125" customWidth="1"/>
    <col min="3" max="3" width="11.140625" bestFit="1" customWidth="1"/>
    <col min="4" max="4" width="16" bestFit="1" customWidth="1"/>
    <col min="5" max="5" width="11" bestFit="1" customWidth="1"/>
    <col min="6" max="6" width="10.5703125" bestFit="1" customWidth="1"/>
    <col min="7" max="7" width="12.5703125" bestFit="1" customWidth="1"/>
    <col min="8" max="8" width="13.5703125" bestFit="1" customWidth="1"/>
    <col min="20" max="20" width="12.42578125" bestFit="1" customWidth="1"/>
  </cols>
  <sheetData>
    <row r="1" spans="1:9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1" t="s">
        <v>8</v>
      </c>
    </row>
    <row r="2" spans="1:9">
      <c r="A2" s="500" t="s">
        <v>9</v>
      </c>
      <c r="B2" s="263" t="s">
        <v>10</v>
      </c>
      <c r="C2" s="264">
        <v>641306</v>
      </c>
      <c r="D2" s="264">
        <v>4951</v>
      </c>
      <c r="E2" s="265">
        <v>2.7684751117251355E-2</v>
      </c>
      <c r="F2" s="265">
        <v>2.9549585942233888E-2</v>
      </c>
      <c r="G2" s="265">
        <v>4.0651420694644983E-3</v>
      </c>
      <c r="H2" s="265">
        <v>0</v>
      </c>
    </row>
    <row r="3" spans="1:9">
      <c r="A3" s="500" t="s">
        <v>9</v>
      </c>
      <c r="B3" s="66" t="s">
        <v>11</v>
      </c>
      <c r="C3" s="68">
        <v>28436</v>
      </c>
      <c r="D3" s="68">
        <v>296</v>
      </c>
      <c r="E3" s="67">
        <v>0</v>
      </c>
      <c r="F3" s="67">
        <v>0.02</v>
      </c>
      <c r="G3" s="67">
        <v>0</v>
      </c>
      <c r="H3" s="67">
        <v>0</v>
      </c>
    </row>
    <row r="4" spans="1:9">
      <c r="A4" s="500" t="s">
        <v>9</v>
      </c>
      <c r="B4" s="66" t="s">
        <v>12</v>
      </c>
      <c r="C4" s="68">
        <v>41164</v>
      </c>
      <c r="D4" s="68">
        <v>273</v>
      </c>
      <c r="E4" s="67">
        <v>0</v>
      </c>
      <c r="F4" s="67">
        <v>0.02</v>
      </c>
      <c r="G4" s="67">
        <v>0</v>
      </c>
      <c r="H4" s="67">
        <v>0</v>
      </c>
    </row>
    <row r="5" spans="1:9">
      <c r="A5" s="500" t="s">
        <v>9</v>
      </c>
      <c r="B5" s="66" t="s">
        <v>13</v>
      </c>
      <c r="C5" s="68">
        <v>37242</v>
      </c>
      <c r="D5" s="68">
        <v>500</v>
      </c>
      <c r="E5" s="67">
        <v>0</v>
      </c>
      <c r="F5" s="67">
        <v>0</v>
      </c>
      <c r="G5" s="67">
        <v>0</v>
      </c>
      <c r="H5" s="67">
        <v>0</v>
      </c>
    </row>
    <row r="6" spans="1:9">
      <c r="A6" s="500" t="s">
        <v>9</v>
      </c>
      <c r="B6" s="66" t="s">
        <v>14</v>
      </c>
      <c r="C6" s="68">
        <v>81148</v>
      </c>
      <c r="D6" s="68">
        <v>150</v>
      </c>
      <c r="E6" s="67">
        <v>0</v>
      </c>
      <c r="F6" s="67">
        <v>0.06</v>
      </c>
      <c r="G6" s="67">
        <v>0</v>
      </c>
      <c r="H6" s="67">
        <v>0</v>
      </c>
    </row>
    <row r="7" spans="1:9">
      <c r="A7" s="500" t="s">
        <v>9</v>
      </c>
      <c r="B7" s="66" t="s">
        <v>15</v>
      </c>
      <c r="C7" s="68">
        <v>22899</v>
      </c>
      <c r="D7" s="68">
        <v>175</v>
      </c>
      <c r="E7" s="67">
        <v>0</v>
      </c>
      <c r="F7" s="67">
        <v>0.02</v>
      </c>
      <c r="G7" s="67">
        <v>0</v>
      </c>
      <c r="H7" s="67">
        <v>0</v>
      </c>
    </row>
    <row r="8" spans="1:9">
      <c r="A8" s="500" t="s">
        <v>9</v>
      </c>
      <c r="B8" s="66" t="s">
        <v>16</v>
      </c>
      <c r="C8" s="68">
        <v>40657</v>
      </c>
      <c r="D8" s="68">
        <v>496</v>
      </c>
      <c r="E8" s="67">
        <v>0.24225183855178689</v>
      </c>
      <c r="F8" s="67">
        <v>6.1814516129032257E-2</v>
      </c>
      <c r="G8" s="67">
        <v>0</v>
      </c>
      <c r="H8" s="67">
        <v>0</v>
      </c>
    </row>
    <row r="9" spans="1:9">
      <c r="A9" s="500" t="s">
        <v>9</v>
      </c>
      <c r="B9" s="66" t="s">
        <v>17</v>
      </c>
      <c r="C9" s="68">
        <v>19594</v>
      </c>
      <c r="D9" s="68">
        <v>425</v>
      </c>
      <c r="E9" s="67">
        <v>0</v>
      </c>
      <c r="F9" s="67">
        <v>9.1882352941176471E-2</v>
      </c>
      <c r="G9" s="67">
        <v>0</v>
      </c>
      <c r="H9" s="67">
        <v>0</v>
      </c>
    </row>
    <row r="10" spans="1:9">
      <c r="A10" s="500" t="s">
        <v>9</v>
      </c>
      <c r="B10" s="66" t="s">
        <v>18</v>
      </c>
      <c r="C10" s="68">
        <v>14789</v>
      </c>
      <c r="D10" s="68">
        <v>222</v>
      </c>
      <c r="E10" s="67">
        <v>0.29523984042193518</v>
      </c>
      <c r="F10" s="67">
        <v>0.12662162162162161</v>
      </c>
      <c r="G10" s="67">
        <v>0.17627966732030562</v>
      </c>
      <c r="H10" s="67">
        <v>0</v>
      </c>
    </row>
    <row r="11" spans="1:9">
      <c r="A11" s="500" t="s">
        <v>9</v>
      </c>
      <c r="B11" s="66" t="s">
        <v>19</v>
      </c>
      <c r="C11" s="68">
        <v>48427</v>
      </c>
      <c r="D11" s="68">
        <v>500</v>
      </c>
      <c r="E11" s="67">
        <v>7.3076217812377386E-2</v>
      </c>
      <c r="F11" s="67">
        <v>6.2E-2</v>
      </c>
      <c r="G11" s="67">
        <v>0</v>
      </c>
      <c r="H11" s="67">
        <v>0</v>
      </c>
    </row>
    <row r="12" spans="1:9">
      <c r="A12" s="500" t="s">
        <v>9</v>
      </c>
      <c r="B12" s="66" t="s">
        <v>20</v>
      </c>
      <c r="C12" s="68">
        <v>73424</v>
      </c>
      <c r="D12" s="68">
        <v>500</v>
      </c>
      <c r="E12" s="67">
        <v>0</v>
      </c>
      <c r="F12" s="67">
        <v>0</v>
      </c>
      <c r="G12" s="67">
        <v>0</v>
      </c>
      <c r="H12" s="67">
        <v>0</v>
      </c>
    </row>
    <row r="13" spans="1:9">
      <c r="A13" s="500" t="s">
        <v>9</v>
      </c>
      <c r="B13" s="66" t="s">
        <v>21</v>
      </c>
      <c r="C13" s="68">
        <v>148635</v>
      </c>
      <c r="D13" s="68">
        <v>500</v>
      </c>
      <c r="E13" s="67">
        <v>0</v>
      </c>
      <c r="F13" s="67">
        <v>0</v>
      </c>
      <c r="G13" s="67">
        <v>0</v>
      </c>
      <c r="H13" s="67">
        <v>0</v>
      </c>
    </row>
    <row r="14" spans="1:9">
      <c r="A14" s="500" t="s">
        <v>9</v>
      </c>
      <c r="B14" s="66" t="s">
        <v>22</v>
      </c>
      <c r="C14" s="68">
        <v>34877</v>
      </c>
      <c r="D14" s="68">
        <v>488</v>
      </c>
      <c r="E14" s="67">
        <v>0</v>
      </c>
      <c r="F14" s="67">
        <v>0.02</v>
      </c>
      <c r="G14" s="67">
        <v>0</v>
      </c>
      <c r="H14" s="67">
        <v>0</v>
      </c>
    </row>
    <row r="15" spans="1:9">
      <c r="A15" s="500" t="s">
        <v>9</v>
      </c>
      <c r="B15" s="66" t="s">
        <v>23</v>
      </c>
      <c r="C15" s="68">
        <v>25167</v>
      </c>
      <c r="D15" s="68">
        <v>158</v>
      </c>
      <c r="E15" s="67">
        <v>0</v>
      </c>
      <c r="F15" s="67">
        <v>0.06</v>
      </c>
      <c r="G15" s="67">
        <v>0</v>
      </c>
      <c r="H15" s="67">
        <v>0</v>
      </c>
    </row>
    <row r="16" spans="1:9">
      <c r="A16" s="500" t="s">
        <v>9</v>
      </c>
      <c r="B16" s="66" t="s">
        <v>24</v>
      </c>
      <c r="C16" s="68">
        <v>24847</v>
      </c>
      <c r="D16" s="68">
        <v>268</v>
      </c>
      <c r="E16" s="67">
        <v>0</v>
      </c>
      <c r="F16" s="67">
        <v>0.02</v>
      </c>
      <c r="G16" s="67">
        <v>0</v>
      </c>
      <c r="H16" s="67">
        <v>0</v>
      </c>
    </row>
    <row r="17" spans="1:8">
      <c r="A17" s="501" t="s">
        <v>10</v>
      </c>
      <c r="B17" s="533"/>
      <c r="C17" s="264">
        <v>641306</v>
      </c>
      <c r="D17" s="264">
        <v>4951</v>
      </c>
      <c r="E17" s="265">
        <v>2.7684751117251355E-2</v>
      </c>
      <c r="F17" s="265">
        <v>3.5999999999999997E-2</v>
      </c>
      <c r="G17" s="265">
        <v>4.0651420694644983E-3</v>
      </c>
      <c r="H17" s="265">
        <v>0</v>
      </c>
    </row>
  </sheetData>
  <mergeCells count="2">
    <mergeCell ref="A2:A16"/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8A46-7D8D-4A7D-9DAE-57398B67C4F0}">
  <dimension ref="A1:I869"/>
  <sheetViews>
    <sheetView topLeftCell="A153" workbookViewId="0">
      <selection activeCell="D335" sqref="D335"/>
    </sheetView>
  </sheetViews>
  <sheetFormatPr defaultColWidth="8.7109375" defaultRowHeight="14.45"/>
  <cols>
    <col min="1" max="1" width="15.28515625" style="2" bestFit="1" customWidth="1"/>
    <col min="2" max="2" width="16.42578125" style="41" bestFit="1" customWidth="1"/>
    <col min="3" max="3" width="9.28515625" style="2" bestFit="1" customWidth="1"/>
    <col min="4" max="4" width="18.85546875" style="2" customWidth="1"/>
    <col min="5" max="6" width="15.5703125" style="41" customWidth="1"/>
    <col min="7" max="7" width="15.5703125" style="11" customWidth="1"/>
    <col min="8" max="8" width="15.5703125" style="2" customWidth="1"/>
    <col min="9" max="16384" width="8.7109375" style="2"/>
  </cols>
  <sheetData>
    <row r="1" spans="1:9" ht="15.95">
      <c r="A1" s="3" t="s">
        <v>1</v>
      </c>
      <c r="B1" s="3" t="s">
        <v>25</v>
      </c>
      <c r="C1" s="3" t="s">
        <v>26</v>
      </c>
      <c r="D1" s="3" t="s">
        <v>27</v>
      </c>
      <c r="E1" s="33" t="s">
        <v>28</v>
      </c>
      <c r="F1" s="33" t="s">
        <v>29</v>
      </c>
      <c r="G1" s="33" t="s">
        <v>30</v>
      </c>
      <c r="H1" s="33" t="s">
        <v>31</v>
      </c>
      <c r="I1" s="8"/>
    </row>
    <row r="2" spans="1:9">
      <c r="A2" s="7" t="s">
        <v>16</v>
      </c>
      <c r="B2" s="9" t="s">
        <v>32</v>
      </c>
      <c r="C2" s="6">
        <v>1</v>
      </c>
      <c r="D2" s="6" t="s">
        <v>33</v>
      </c>
      <c r="E2" s="57">
        <v>46146</v>
      </c>
      <c r="F2" s="57">
        <v>46157</v>
      </c>
      <c r="G2" s="34" t="s">
        <v>34</v>
      </c>
      <c r="H2" s="82">
        <v>1</v>
      </c>
    </row>
    <row r="3" spans="1:9">
      <c r="A3" s="7" t="s">
        <v>16</v>
      </c>
      <c r="B3" s="9" t="s">
        <v>35</v>
      </c>
      <c r="C3" s="6">
        <v>1</v>
      </c>
      <c r="D3" s="6" t="s">
        <v>33</v>
      </c>
      <c r="E3" s="57">
        <v>46146</v>
      </c>
      <c r="F3" s="57">
        <v>46157</v>
      </c>
      <c r="G3" s="34" t="s">
        <v>34</v>
      </c>
      <c r="H3" s="82">
        <v>1</v>
      </c>
    </row>
    <row r="4" spans="1:9">
      <c r="A4" s="7" t="s">
        <v>16</v>
      </c>
      <c r="B4" s="9" t="s">
        <v>36</v>
      </c>
      <c r="C4" s="6">
        <v>198</v>
      </c>
      <c r="D4" s="6" t="s">
        <v>33</v>
      </c>
      <c r="E4" s="57">
        <v>46146</v>
      </c>
      <c r="F4" s="57">
        <v>46157</v>
      </c>
      <c r="G4" s="34" t="s">
        <v>34</v>
      </c>
      <c r="H4" s="82">
        <v>1</v>
      </c>
    </row>
    <row r="5" spans="1:9">
      <c r="A5" s="7" t="s">
        <v>16</v>
      </c>
      <c r="B5" s="9" t="s">
        <v>37</v>
      </c>
      <c r="C5" s="6">
        <v>198</v>
      </c>
      <c r="D5" s="6" t="s">
        <v>33</v>
      </c>
      <c r="E5" s="57">
        <v>46146</v>
      </c>
      <c r="F5" s="57">
        <v>46157</v>
      </c>
      <c r="G5" s="34" t="s">
        <v>34</v>
      </c>
      <c r="H5" s="82">
        <v>1</v>
      </c>
    </row>
    <row r="6" spans="1:9">
      <c r="A6" s="7" t="s">
        <v>16</v>
      </c>
      <c r="B6" s="9" t="s">
        <v>38</v>
      </c>
      <c r="C6" s="6">
        <v>1</v>
      </c>
      <c r="D6" s="6" t="s">
        <v>33</v>
      </c>
      <c r="E6" s="57">
        <v>46146</v>
      </c>
      <c r="F6" s="57">
        <v>46157</v>
      </c>
      <c r="G6" s="34" t="s">
        <v>34</v>
      </c>
      <c r="H6" s="82">
        <v>1</v>
      </c>
    </row>
    <row r="7" spans="1:9">
      <c r="A7" s="7" t="s">
        <v>16</v>
      </c>
      <c r="B7" s="9" t="s">
        <v>39</v>
      </c>
      <c r="C7" s="6">
        <v>1</v>
      </c>
      <c r="D7" s="6" t="s">
        <v>33</v>
      </c>
      <c r="E7" s="57">
        <v>46146</v>
      </c>
      <c r="F7" s="57">
        <v>46157</v>
      </c>
      <c r="G7" s="34" t="s">
        <v>40</v>
      </c>
      <c r="H7" s="82">
        <v>0</v>
      </c>
    </row>
    <row r="8" spans="1:9">
      <c r="A8" s="7" t="s">
        <v>16</v>
      </c>
      <c r="B8" s="9" t="s">
        <v>41</v>
      </c>
      <c r="C8" s="6">
        <v>1</v>
      </c>
      <c r="D8" s="6" t="s">
        <v>33</v>
      </c>
      <c r="E8" s="57">
        <v>46146</v>
      </c>
      <c r="F8" s="57">
        <v>46157</v>
      </c>
      <c r="G8" s="34" t="s">
        <v>40</v>
      </c>
      <c r="H8" s="82">
        <v>0</v>
      </c>
    </row>
    <row r="9" spans="1:9">
      <c r="A9" s="7" t="s">
        <v>16</v>
      </c>
      <c r="B9" s="9" t="s">
        <v>42</v>
      </c>
      <c r="C9" s="6">
        <v>1</v>
      </c>
      <c r="D9" s="6" t="s">
        <v>33</v>
      </c>
      <c r="E9" s="57">
        <v>46146</v>
      </c>
      <c r="F9" s="57">
        <v>46157</v>
      </c>
      <c r="G9" s="34" t="s">
        <v>40</v>
      </c>
      <c r="H9" s="82">
        <v>0</v>
      </c>
    </row>
    <row r="10" spans="1:9">
      <c r="A10" s="7" t="s">
        <v>16</v>
      </c>
      <c r="B10" s="9" t="s">
        <v>43</v>
      </c>
      <c r="C10" s="6">
        <v>1</v>
      </c>
      <c r="D10" s="6" t="s">
        <v>33</v>
      </c>
      <c r="E10" s="57">
        <v>46146</v>
      </c>
      <c r="F10" s="57">
        <v>46157</v>
      </c>
      <c r="G10" s="34" t="s">
        <v>40</v>
      </c>
      <c r="H10" s="82">
        <v>0</v>
      </c>
    </row>
    <row r="11" spans="1:9">
      <c r="A11" s="7" t="s">
        <v>16</v>
      </c>
      <c r="B11" s="9" t="s">
        <v>44</v>
      </c>
      <c r="C11" s="6">
        <v>1</v>
      </c>
      <c r="D11" s="6" t="s">
        <v>33</v>
      </c>
      <c r="E11" s="57">
        <v>46146</v>
      </c>
      <c r="F11" s="57">
        <v>46157</v>
      </c>
      <c r="G11" s="34" t="s">
        <v>40</v>
      </c>
      <c r="H11" s="82">
        <v>0</v>
      </c>
    </row>
    <row r="12" spans="1:9">
      <c r="A12" s="7" t="s">
        <v>16</v>
      </c>
      <c r="B12" s="9" t="s">
        <v>45</v>
      </c>
      <c r="C12" s="6">
        <v>1</v>
      </c>
      <c r="D12" s="6" t="s">
        <v>33</v>
      </c>
      <c r="E12" s="57">
        <v>46146</v>
      </c>
      <c r="F12" s="57">
        <v>46157</v>
      </c>
      <c r="G12" s="34" t="s">
        <v>40</v>
      </c>
      <c r="H12" s="82">
        <v>0</v>
      </c>
    </row>
    <row r="13" spans="1:9">
      <c r="A13" s="7" t="s">
        <v>16</v>
      </c>
      <c r="B13" s="9" t="s">
        <v>46</v>
      </c>
      <c r="C13" s="6">
        <v>1</v>
      </c>
      <c r="D13" s="6" t="s">
        <v>33</v>
      </c>
      <c r="E13" s="57">
        <v>46146</v>
      </c>
      <c r="F13" s="57">
        <v>46157</v>
      </c>
      <c r="G13" s="34" t="s">
        <v>40</v>
      </c>
      <c r="H13" s="82">
        <v>0</v>
      </c>
    </row>
    <row r="14" spans="1:9">
      <c r="A14" s="7" t="s">
        <v>16</v>
      </c>
      <c r="B14" s="9" t="s">
        <v>47</v>
      </c>
      <c r="C14" s="6">
        <v>1</v>
      </c>
      <c r="D14" s="6" t="s">
        <v>33</v>
      </c>
      <c r="E14" s="57">
        <v>46146</v>
      </c>
      <c r="F14" s="57">
        <v>46157</v>
      </c>
      <c r="G14" s="34" t="s">
        <v>40</v>
      </c>
      <c r="H14" s="82">
        <v>0</v>
      </c>
    </row>
    <row r="15" spans="1:9">
      <c r="A15" s="7" t="s">
        <v>16</v>
      </c>
      <c r="B15" s="9" t="s">
        <v>48</v>
      </c>
      <c r="C15" s="6">
        <v>1</v>
      </c>
      <c r="D15" s="6" t="s">
        <v>33</v>
      </c>
      <c r="E15" s="57">
        <v>46146</v>
      </c>
      <c r="F15" s="57">
        <v>46157</v>
      </c>
      <c r="G15" s="34" t="s">
        <v>40</v>
      </c>
      <c r="H15" s="82">
        <v>0</v>
      </c>
    </row>
    <row r="16" spans="1:9">
      <c r="A16" s="7" t="s">
        <v>16</v>
      </c>
      <c r="B16" s="9" t="s">
        <v>49</v>
      </c>
      <c r="C16" s="6">
        <v>1</v>
      </c>
      <c r="D16" s="6" t="s">
        <v>33</v>
      </c>
      <c r="E16" s="57">
        <v>46146</v>
      </c>
      <c r="F16" s="57">
        <v>46157</v>
      </c>
      <c r="G16" s="34" t="s">
        <v>40</v>
      </c>
      <c r="H16" s="82">
        <v>0</v>
      </c>
    </row>
    <row r="17" spans="1:8">
      <c r="A17" s="7" t="s">
        <v>16</v>
      </c>
      <c r="B17" s="9" t="s">
        <v>50</v>
      </c>
      <c r="C17" s="6">
        <v>1</v>
      </c>
      <c r="D17" s="6" t="s">
        <v>33</v>
      </c>
      <c r="E17" s="57">
        <v>46146</v>
      </c>
      <c r="F17" s="57">
        <v>46157</v>
      </c>
      <c r="G17" s="34" t="s">
        <v>40</v>
      </c>
      <c r="H17" s="82">
        <v>0</v>
      </c>
    </row>
    <row r="18" spans="1:8">
      <c r="A18" s="7" t="s">
        <v>16</v>
      </c>
      <c r="B18" s="9" t="s">
        <v>51</v>
      </c>
      <c r="C18" s="6">
        <v>1</v>
      </c>
      <c r="D18" s="6" t="s">
        <v>33</v>
      </c>
      <c r="E18" s="57">
        <v>46146</v>
      </c>
      <c r="F18" s="57">
        <v>46157</v>
      </c>
      <c r="G18" s="34" t="s">
        <v>40</v>
      </c>
      <c r="H18" s="82">
        <v>0</v>
      </c>
    </row>
    <row r="19" spans="1:8">
      <c r="A19" s="7" t="s">
        <v>16</v>
      </c>
      <c r="B19" s="9" t="s">
        <v>52</v>
      </c>
      <c r="C19" s="6">
        <v>1</v>
      </c>
      <c r="D19" s="6" t="s">
        <v>33</v>
      </c>
      <c r="E19" s="57">
        <v>46146</v>
      </c>
      <c r="F19" s="57">
        <v>46157</v>
      </c>
      <c r="G19" s="34" t="s">
        <v>40</v>
      </c>
      <c r="H19" s="82">
        <v>0</v>
      </c>
    </row>
    <row r="20" spans="1:8">
      <c r="A20" s="7" t="s">
        <v>16</v>
      </c>
      <c r="B20" s="9" t="s">
        <v>53</v>
      </c>
      <c r="C20" s="6">
        <v>1</v>
      </c>
      <c r="D20" s="6" t="s">
        <v>33</v>
      </c>
      <c r="E20" s="57">
        <v>46146</v>
      </c>
      <c r="F20" s="57">
        <v>46157</v>
      </c>
      <c r="G20" s="34" t="s">
        <v>40</v>
      </c>
      <c r="H20" s="82">
        <v>0</v>
      </c>
    </row>
    <row r="21" spans="1:8">
      <c r="A21" s="7" t="s">
        <v>16</v>
      </c>
      <c r="B21" s="9" t="s">
        <v>54</v>
      </c>
      <c r="C21" s="6">
        <v>1</v>
      </c>
      <c r="D21" s="6" t="s">
        <v>33</v>
      </c>
      <c r="E21" s="57">
        <v>46146</v>
      </c>
      <c r="F21" s="57">
        <v>46157</v>
      </c>
      <c r="G21" s="34" t="s">
        <v>40</v>
      </c>
      <c r="H21" s="82">
        <v>0</v>
      </c>
    </row>
    <row r="22" spans="1:8">
      <c r="A22" s="7" t="s">
        <v>16</v>
      </c>
      <c r="B22" s="9" t="s">
        <v>55</v>
      </c>
      <c r="C22" s="6">
        <v>1</v>
      </c>
      <c r="D22" s="6" t="s">
        <v>33</v>
      </c>
      <c r="E22" s="57">
        <v>46146</v>
      </c>
      <c r="F22" s="57">
        <v>46157</v>
      </c>
      <c r="G22" s="34" t="s">
        <v>40</v>
      </c>
      <c r="H22" s="82">
        <v>0</v>
      </c>
    </row>
    <row r="23" spans="1:8">
      <c r="A23" s="7" t="s">
        <v>16</v>
      </c>
      <c r="B23" s="9" t="s">
        <v>56</v>
      </c>
      <c r="C23" s="6">
        <v>1</v>
      </c>
      <c r="D23" s="6" t="s">
        <v>33</v>
      </c>
      <c r="E23" s="57">
        <v>46146</v>
      </c>
      <c r="F23" s="57">
        <v>46157</v>
      </c>
      <c r="G23" s="34" t="s">
        <v>40</v>
      </c>
      <c r="H23" s="82">
        <v>0</v>
      </c>
    </row>
    <row r="24" spans="1:8">
      <c r="A24" s="7" t="s">
        <v>16</v>
      </c>
      <c r="B24" s="9" t="s">
        <v>57</v>
      </c>
      <c r="C24" s="6">
        <v>1</v>
      </c>
      <c r="D24" s="6" t="s">
        <v>33</v>
      </c>
      <c r="E24" s="57">
        <v>46146</v>
      </c>
      <c r="F24" s="57">
        <v>46157</v>
      </c>
      <c r="G24" s="34" t="s">
        <v>40</v>
      </c>
      <c r="H24" s="82">
        <v>0</v>
      </c>
    </row>
    <row r="25" spans="1:8">
      <c r="A25" s="7" t="s">
        <v>16</v>
      </c>
      <c r="B25" s="9" t="s">
        <v>58</v>
      </c>
      <c r="C25" s="6">
        <v>1</v>
      </c>
      <c r="D25" s="6" t="s">
        <v>33</v>
      </c>
      <c r="E25" s="57">
        <v>46146</v>
      </c>
      <c r="F25" s="57">
        <v>46157</v>
      </c>
      <c r="G25" s="34" t="s">
        <v>40</v>
      </c>
      <c r="H25" s="82">
        <v>0</v>
      </c>
    </row>
    <row r="26" spans="1:8">
      <c r="A26" s="7" t="s">
        <v>16</v>
      </c>
      <c r="B26" s="9" t="s">
        <v>59</v>
      </c>
      <c r="C26" s="6">
        <v>1</v>
      </c>
      <c r="D26" s="6" t="s">
        <v>33</v>
      </c>
      <c r="E26" s="57">
        <v>46146</v>
      </c>
      <c r="F26" s="57">
        <v>46157</v>
      </c>
      <c r="G26" s="34" t="s">
        <v>40</v>
      </c>
      <c r="H26" s="82">
        <v>0</v>
      </c>
    </row>
    <row r="27" spans="1:8">
      <c r="A27" s="7" t="s">
        <v>16</v>
      </c>
      <c r="B27" s="9" t="s">
        <v>60</v>
      </c>
      <c r="C27" s="6">
        <v>1</v>
      </c>
      <c r="D27" s="6" t="s">
        <v>33</v>
      </c>
      <c r="E27" s="57">
        <v>46146</v>
      </c>
      <c r="F27" s="57">
        <v>46157</v>
      </c>
      <c r="G27" s="34" t="s">
        <v>40</v>
      </c>
      <c r="H27" s="82">
        <v>0</v>
      </c>
    </row>
    <row r="28" spans="1:8">
      <c r="A28" s="7" t="s">
        <v>16</v>
      </c>
      <c r="B28" s="9" t="s">
        <v>61</v>
      </c>
      <c r="C28" s="6">
        <v>1</v>
      </c>
      <c r="D28" s="6" t="s">
        <v>33</v>
      </c>
      <c r="E28" s="57">
        <v>46146</v>
      </c>
      <c r="F28" s="57">
        <v>46157</v>
      </c>
      <c r="G28" s="34" t="s">
        <v>40</v>
      </c>
      <c r="H28" s="82">
        <v>0</v>
      </c>
    </row>
    <row r="29" spans="1:8">
      <c r="A29" s="7" t="s">
        <v>16</v>
      </c>
      <c r="B29" s="9" t="s">
        <v>62</v>
      </c>
      <c r="C29" s="6">
        <v>1</v>
      </c>
      <c r="D29" s="6" t="s">
        <v>33</v>
      </c>
      <c r="E29" s="57">
        <v>46146</v>
      </c>
      <c r="F29" s="57">
        <v>46157</v>
      </c>
      <c r="G29" s="34" t="s">
        <v>40</v>
      </c>
      <c r="H29" s="82">
        <v>0</v>
      </c>
    </row>
    <row r="30" spans="1:8">
      <c r="A30" s="7" t="s">
        <v>16</v>
      </c>
      <c r="B30" s="9" t="s">
        <v>63</v>
      </c>
      <c r="C30" s="6">
        <v>1</v>
      </c>
      <c r="D30" s="6" t="s">
        <v>33</v>
      </c>
      <c r="E30" s="57">
        <v>46146</v>
      </c>
      <c r="F30" s="57">
        <v>46157</v>
      </c>
      <c r="G30" s="34" t="s">
        <v>40</v>
      </c>
      <c r="H30" s="82">
        <v>0</v>
      </c>
    </row>
    <row r="31" spans="1:8">
      <c r="A31" s="7" t="s">
        <v>16</v>
      </c>
      <c r="B31" s="9" t="s">
        <v>64</v>
      </c>
      <c r="C31" s="6">
        <v>1</v>
      </c>
      <c r="D31" s="6" t="s">
        <v>33</v>
      </c>
      <c r="E31" s="57">
        <v>46146</v>
      </c>
      <c r="F31" s="57">
        <v>46157</v>
      </c>
      <c r="G31" s="34" t="s">
        <v>40</v>
      </c>
      <c r="H31" s="82">
        <v>0</v>
      </c>
    </row>
    <row r="32" spans="1:8">
      <c r="A32" s="7" t="s">
        <v>16</v>
      </c>
      <c r="B32" s="9" t="s">
        <v>65</v>
      </c>
      <c r="C32" s="6">
        <v>1</v>
      </c>
      <c r="D32" s="6" t="s">
        <v>33</v>
      </c>
      <c r="E32" s="57">
        <v>46146</v>
      </c>
      <c r="F32" s="57">
        <v>46157</v>
      </c>
      <c r="G32" s="34" t="s">
        <v>40</v>
      </c>
      <c r="H32" s="82">
        <v>0</v>
      </c>
    </row>
    <row r="33" spans="1:8">
      <c r="A33" s="7" t="s">
        <v>16</v>
      </c>
      <c r="B33" s="9" t="s">
        <v>66</v>
      </c>
      <c r="C33" s="6">
        <v>1</v>
      </c>
      <c r="D33" s="6" t="s">
        <v>33</v>
      </c>
      <c r="E33" s="57">
        <v>46146</v>
      </c>
      <c r="F33" s="57">
        <v>46157</v>
      </c>
      <c r="G33" s="34" t="s">
        <v>40</v>
      </c>
      <c r="H33" s="82">
        <v>0</v>
      </c>
    </row>
    <row r="34" spans="1:8">
      <c r="A34" s="7" t="s">
        <v>16</v>
      </c>
      <c r="B34" s="9" t="s">
        <v>67</v>
      </c>
      <c r="C34" s="6">
        <v>1</v>
      </c>
      <c r="D34" s="6" t="s">
        <v>33</v>
      </c>
      <c r="E34" s="57">
        <v>46146</v>
      </c>
      <c r="F34" s="57">
        <v>46157</v>
      </c>
      <c r="G34" s="34" t="s">
        <v>40</v>
      </c>
      <c r="H34" s="82">
        <v>0</v>
      </c>
    </row>
    <row r="35" spans="1:8">
      <c r="A35" s="7" t="s">
        <v>16</v>
      </c>
      <c r="B35" s="9" t="s">
        <v>68</v>
      </c>
      <c r="C35" s="6">
        <v>1</v>
      </c>
      <c r="D35" s="6" t="s">
        <v>33</v>
      </c>
      <c r="E35" s="57">
        <v>46146</v>
      </c>
      <c r="F35" s="57">
        <v>46157</v>
      </c>
      <c r="G35" s="34" t="s">
        <v>40</v>
      </c>
      <c r="H35" s="82">
        <v>0</v>
      </c>
    </row>
    <row r="36" spans="1:8">
      <c r="A36" s="7" t="s">
        <v>16</v>
      </c>
      <c r="B36" s="9" t="s">
        <v>69</v>
      </c>
      <c r="C36" s="6" t="s">
        <v>70</v>
      </c>
      <c r="D36" s="6" t="s">
        <v>33</v>
      </c>
      <c r="E36" s="57">
        <v>46146</v>
      </c>
      <c r="F36" s="57">
        <v>46157</v>
      </c>
      <c r="G36" s="34" t="s">
        <v>40</v>
      </c>
      <c r="H36" s="82">
        <v>0</v>
      </c>
    </row>
    <row r="37" spans="1:8">
      <c r="A37" s="7" t="s">
        <v>16</v>
      </c>
      <c r="B37" s="9" t="s">
        <v>71</v>
      </c>
      <c r="C37" s="6">
        <v>1</v>
      </c>
      <c r="D37" s="6" t="s">
        <v>33</v>
      </c>
      <c r="E37" s="57">
        <v>46146</v>
      </c>
      <c r="F37" s="57">
        <v>46157</v>
      </c>
      <c r="G37" s="34" t="s">
        <v>40</v>
      </c>
      <c r="H37" s="82">
        <v>0</v>
      </c>
    </row>
    <row r="38" spans="1:8">
      <c r="A38" s="7" t="s">
        <v>16</v>
      </c>
      <c r="B38" s="9" t="s">
        <v>72</v>
      </c>
      <c r="C38" s="6">
        <v>1</v>
      </c>
      <c r="D38" s="6" t="s">
        <v>33</v>
      </c>
      <c r="E38" s="57">
        <v>46146</v>
      </c>
      <c r="F38" s="57">
        <v>46157</v>
      </c>
      <c r="G38" s="34" t="s">
        <v>40</v>
      </c>
      <c r="H38" s="82">
        <v>0</v>
      </c>
    </row>
    <row r="39" spans="1:8">
      <c r="A39" s="7" t="s">
        <v>16</v>
      </c>
      <c r="B39" s="9" t="s">
        <v>73</v>
      </c>
      <c r="C39" s="6">
        <v>1</v>
      </c>
      <c r="D39" s="6" t="s">
        <v>33</v>
      </c>
      <c r="E39" s="57">
        <v>46146</v>
      </c>
      <c r="F39" s="57">
        <v>46157</v>
      </c>
      <c r="G39" s="34" t="s">
        <v>40</v>
      </c>
      <c r="H39" s="82">
        <v>0</v>
      </c>
    </row>
    <row r="40" spans="1:8">
      <c r="A40" s="7" t="s">
        <v>16</v>
      </c>
      <c r="B40" s="9" t="s">
        <v>74</v>
      </c>
      <c r="C40" s="6">
        <v>1</v>
      </c>
      <c r="D40" s="6" t="s">
        <v>33</v>
      </c>
      <c r="E40" s="57">
        <v>46146</v>
      </c>
      <c r="F40" s="57">
        <v>46157</v>
      </c>
      <c r="G40" s="34" t="s">
        <v>40</v>
      </c>
      <c r="H40" s="82">
        <v>0</v>
      </c>
    </row>
    <row r="41" spans="1:8">
      <c r="A41" s="7" t="s">
        <v>16</v>
      </c>
      <c r="B41" s="9" t="s">
        <v>75</v>
      </c>
      <c r="C41" s="6">
        <v>1</v>
      </c>
      <c r="D41" s="6" t="s">
        <v>33</v>
      </c>
      <c r="E41" s="57">
        <v>46146</v>
      </c>
      <c r="F41" s="57">
        <v>46157</v>
      </c>
      <c r="G41" s="34" t="s">
        <v>40</v>
      </c>
      <c r="H41" s="82">
        <v>0</v>
      </c>
    </row>
    <row r="42" spans="1:8">
      <c r="A42" s="7" t="s">
        <v>16</v>
      </c>
      <c r="B42" s="9" t="s">
        <v>76</v>
      </c>
      <c r="C42" s="6">
        <v>1</v>
      </c>
      <c r="D42" s="6" t="s">
        <v>33</v>
      </c>
      <c r="E42" s="57">
        <v>46146</v>
      </c>
      <c r="F42" s="57">
        <v>46157</v>
      </c>
      <c r="G42" s="34" t="s">
        <v>40</v>
      </c>
      <c r="H42" s="82">
        <v>0</v>
      </c>
    </row>
    <row r="43" spans="1:8">
      <c r="A43" s="7" t="s">
        <v>16</v>
      </c>
      <c r="B43" s="9" t="s">
        <v>77</v>
      </c>
      <c r="C43" s="6">
        <v>1</v>
      </c>
      <c r="D43" s="6" t="s">
        <v>33</v>
      </c>
      <c r="E43" s="57">
        <v>46146</v>
      </c>
      <c r="F43" s="57">
        <v>46157</v>
      </c>
      <c r="G43" s="34" t="s">
        <v>40</v>
      </c>
      <c r="H43" s="82">
        <v>0</v>
      </c>
    </row>
    <row r="44" spans="1:8">
      <c r="A44" s="7" t="s">
        <v>16</v>
      </c>
      <c r="B44" s="9" t="s">
        <v>78</v>
      </c>
      <c r="C44" s="6">
        <v>1</v>
      </c>
      <c r="D44" s="6" t="s">
        <v>33</v>
      </c>
      <c r="E44" s="57">
        <v>46146</v>
      </c>
      <c r="F44" s="57">
        <v>46157</v>
      </c>
      <c r="G44" s="34" t="s">
        <v>40</v>
      </c>
      <c r="H44" s="82">
        <v>0</v>
      </c>
    </row>
    <row r="45" spans="1:8">
      <c r="A45" s="7" t="s">
        <v>16</v>
      </c>
      <c r="B45" s="9" t="s">
        <v>79</v>
      </c>
      <c r="C45" s="6">
        <v>1</v>
      </c>
      <c r="D45" s="6" t="s">
        <v>33</v>
      </c>
      <c r="E45" s="57">
        <v>46146</v>
      </c>
      <c r="F45" s="57">
        <v>46157</v>
      </c>
      <c r="G45" s="34" t="s">
        <v>40</v>
      </c>
      <c r="H45" s="82">
        <v>0</v>
      </c>
    </row>
    <row r="46" spans="1:8">
      <c r="A46" s="7" t="s">
        <v>16</v>
      </c>
      <c r="B46" s="9" t="s">
        <v>80</v>
      </c>
      <c r="C46" s="6">
        <v>1</v>
      </c>
      <c r="D46" s="6" t="s">
        <v>33</v>
      </c>
      <c r="E46" s="57">
        <v>46146</v>
      </c>
      <c r="F46" s="57">
        <v>46157</v>
      </c>
      <c r="G46" s="34" t="s">
        <v>40</v>
      </c>
      <c r="H46" s="82">
        <v>0</v>
      </c>
    </row>
    <row r="47" spans="1:8">
      <c r="A47" s="7" t="s">
        <v>16</v>
      </c>
      <c r="B47" s="9" t="s">
        <v>81</v>
      </c>
      <c r="C47" s="6">
        <v>1</v>
      </c>
      <c r="D47" s="6" t="s">
        <v>33</v>
      </c>
      <c r="E47" s="57">
        <v>46146</v>
      </c>
      <c r="F47" s="57">
        <v>46157</v>
      </c>
      <c r="G47" s="34" t="s">
        <v>40</v>
      </c>
      <c r="H47" s="82">
        <v>0</v>
      </c>
    </row>
    <row r="48" spans="1:8">
      <c r="A48" s="7" t="s">
        <v>16</v>
      </c>
      <c r="B48" s="9" t="s">
        <v>82</v>
      </c>
      <c r="C48" s="6">
        <v>1</v>
      </c>
      <c r="D48" s="6" t="s">
        <v>33</v>
      </c>
      <c r="E48" s="57">
        <v>46146</v>
      </c>
      <c r="F48" s="57">
        <v>46157</v>
      </c>
      <c r="G48" s="34" t="s">
        <v>40</v>
      </c>
      <c r="H48" s="82">
        <v>0</v>
      </c>
    </row>
    <row r="49" spans="1:8">
      <c r="A49" s="7" t="s">
        <v>16</v>
      </c>
      <c r="B49" s="9" t="s">
        <v>83</v>
      </c>
      <c r="C49" s="6">
        <v>1</v>
      </c>
      <c r="D49" s="6" t="s">
        <v>33</v>
      </c>
      <c r="E49" s="57">
        <v>46146</v>
      </c>
      <c r="F49" s="57">
        <v>46157</v>
      </c>
      <c r="G49" s="34" t="s">
        <v>40</v>
      </c>
      <c r="H49" s="82">
        <v>0</v>
      </c>
    </row>
    <row r="50" spans="1:8">
      <c r="A50" s="7" t="s">
        <v>16</v>
      </c>
      <c r="B50" s="9" t="s">
        <v>84</v>
      </c>
      <c r="C50" s="6">
        <v>1</v>
      </c>
      <c r="D50" s="6" t="s">
        <v>33</v>
      </c>
      <c r="E50" s="57">
        <v>46146</v>
      </c>
      <c r="F50" s="57">
        <v>46157</v>
      </c>
      <c r="G50" s="34" t="s">
        <v>40</v>
      </c>
      <c r="H50" s="82">
        <v>0</v>
      </c>
    </row>
    <row r="51" spans="1:8">
      <c r="A51" s="7" t="s">
        <v>16</v>
      </c>
      <c r="B51" s="9" t="s">
        <v>85</v>
      </c>
      <c r="C51" s="6">
        <v>1</v>
      </c>
      <c r="D51" s="6" t="s">
        <v>33</v>
      </c>
      <c r="E51" s="57">
        <v>46146</v>
      </c>
      <c r="F51" s="57">
        <v>46157</v>
      </c>
      <c r="G51" s="34" t="s">
        <v>40</v>
      </c>
      <c r="H51" s="82">
        <v>0</v>
      </c>
    </row>
    <row r="52" spans="1:8">
      <c r="A52" s="7" t="s">
        <v>16</v>
      </c>
      <c r="B52" s="9" t="s">
        <v>86</v>
      </c>
      <c r="C52" s="6">
        <v>1</v>
      </c>
      <c r="D52" s="6" t="s">
        <v>33</v>
      </c>
      <c r="E52" s="57">
        <v>46146</v>
      </c>
      <c r="F52" s="57">
        <v>46157</v>
      </c>
      <c r="G52" s="34" t="s">
        <v>40</v>
      </c>
      <c r="H52" s="82">
        <v>0</v>
      </c>
    </row>
    <row r="53" spans="1:8">
      <c r="A53" s="7" t="s">
        <v>16</v>
      </c>
      <c r="B53" s="9" t="s">
        <v>87</v>
      </c>
      <c r="C53" s="6">
        <v>1</v>
      </c>
      <c r="D53" s="6" t="s">
        <v>33</v>
      </c>
      <c r="E53" s="57">
        <v>46146</v>
      </c>
      <c r="F53" s="57">
        <v>46157</v>
      </c>
      <c r="G53" s="34" t="s">
        <v>40</v>
      </c>
      <c r="H53" s="82">
        <v>0</v>
      </c>
    </row>
    <row r="54" spans="1:8">
      <c r="A54" s="7" t="s">
        <v>16</v>
      </c>
      <c r="B54" s="9" t="s">
        <v>88</v>
      </c>
      <c r="C54" s="6">
        <v>1</v>
      </c>
      <c r="D54" s="6" t="s">
        <v>33</v>
      </c>
      <c r="E54" s="57">
        <v>46146</v>
      </c>
      <c r="F54" s="57">
        <v>46157</v>
      </c>
      <c r="G54" s="34" t="s">
        <v>40</v>
      </c>
      <c r="H54" s="82">
        <v>0</v>
      </c>
    </row>
    <row r="55" spans="1:8">
      <c r="A55" s="7" t="s">
        <v>16</v>
      </c>
      <c r="B55" s="9" t="s">
        <v>89</v>
      </c>
      <c r="C55" s="6">
        <v>1</v>
      </c>
      <c r="D55" s="6" t="s">
        <v>33</v>
      </c>
      <c r="E55" s="57">
        <v>46146</v>
      </c>
      <c r="F55" s="57">
        <v>46157</v>
      </c>
      <c r="G55" s="34" t="s">
        <v>40</v>
      </c>
      <c r="H55" s="82">
        <v>0</v>
      </c>
    </row>
    <row r="56" spans="1:8">
      <c r="A56" s="7" t="s">
        <v>16</v>
      </c>
      <c r="B56" s="9" t="s">
        <v>90</v>
      </c>
      <c r="C56" s="6">
        <v>1</v>
      </c>
      <c r="D56" s="6" t="s">
        <v>33</v>
      </c>
      <c r="E56" s="57">
        <v>46146</v>
      </c>
      <c r="F56" s="57">
        <v>46157</v>
      </c>
      <c r="G56" s="34" t="s">
        <v>40</v>
      </c>
      <c r="H56" s="82">
        <v>0</v>
      </c>
    </row>
    <row r="57" spans="1:8">
      <c r="A57" s="7" t="s">
        <v>16</v>
      </c>
      <c r="B57" s="9" t="s">
        <v>91</v>
      </c>
      <c r="C57" s="6">
        <v>1</v>
      </c>
      <c r="D57" s="6" t="s">
        <v>33</v>
      </c>
      <c r="E57" s="57">
        <v>46146</v>
      </c>
      <c r="F57" s="57">
        <v>46157</v>
      </c>
      <c r="G57" s="34" t="s">
        <v>40</v>
      </c>
      <c r="H57" s="82">
        <v>0</v>
      </c>
    </row>
    <row r="58" spans="1:8">
      <c r="A58" s="7" t="s">
        <v>16</v>
      </c>
      <c r="B58" s="9" t="s">
        <v>92</v>
      </c>
      <c r="C58" s="6">
        <v>1</v>
      </c>
      <c r="D58" s="6" t="s">
        <v>33</v>
      </c>
      <c r="E58" s="57">
        <v>46146</v>
      </c>
      <c r="F58" s="57">
        <v>46157</v>
      </c>
      <c r="G58" s="34" t="s">
        <v>40</v>
      </c>
      <c r="H58" s="82">
        <v>0</v>
      </c>
    </row>
    <row r="59" spans="1:8">
      <c r="A59" s="7" t="s">
        <v>16</v>
      </c>
      <c r="B59" s="9" t="s">
        <v>93</v>
      </c>
      <c r="C59" s="6">
        <v>1</v>
      </c>
      <c r="D59" s="6" t="s">
        <v>33</v>
      </c>
      <c r="E59" s="57">
        <v>46146</v>
      </c>
      <c r="F59" s="57">
        <v>46157</v>
      </c>
      <c r="G59" s="34" t="s">
        <v>40</v>
      </c>
      <c r="H59" s="82">
        <v>0</v>
      </c>
    </row>
    <row r="60" spans="1:8">
      <c r="A60" s="7" t="s">
        <v>16</v>
      </c>
      <c r="B60" s="9" t="s">
        <v>94</v>
      </c>
      <c r="C60" s="6">
        <v>1</v>
      </c>
      <c r="D60" s="6" t="s">
        <v>33</v>
      </c>
      <c r="E60" s="57">
        <v>46146</v>
      </c>
      <c r="F60" s="57">
        <v>46157</v>
      </c>
      <c r="G60" s="34" t="s">
        <v>40</v>
      </c>
      <c r="H60" s="82">
        <v>0</v>
      </c>
    </row>
    <row r="61" spans="1:8">
      <c r="A61" s="7" t="s">
        <v>16</v>
      </c>
      <c r="B61" s="9" t="s">
        <v>95</v>
      </c>
      <c r="C61" s="6">
        <v>1</v>
      </c>
      <c r="D61" s="6" t="s">
        <v>33</v>
      </c>
      <c r="E61" s="57">
        <v>46146</v>
      </c>
      <c r="F61" s="57">
        <v>46157</v>
      </c>
      <c r="G61" s="34" t="s">
        <v>40</v>
      </c>
      <c r="H61" s="82">
        <v>0</v>
      </c>
    </row>
    <row r="62" spans="1:8">
      <c r="A62" s="7" t="s">
        <v>16</v>
      </c>
      <c r="B62" s="9" t="s">
        <v>96</v>
      </c>
      <c r="C62" s="6">
        <v>1</v>
      </c>
      <c r="D62" s="6" t="s">
        <v>33</v>
      </c>
      <c r="E62" s="57">
        <v>46146</v>
      </c>
      <c r="F62" s="57">
        <v>46157</v>
      </c>
      <c r="G62" s="34" t="s">
        <v>40</v>
      </c>
      <c r="H62" s="82">
        <v>0</v>
      </c>
    </row>
    <row r="63" spans="1:8">
      <c r="A63" s="7" t="s">
        <v>16</v>
      </c>
      <c r="B63" s="9" t="s">
        <v>97</v>
      </c>
      <c r="C63" s="6">
        <v>1</v>
      </c>
      <c r="D63" s="6" t="s">
        <v>33</v>
      </c>
      <c r="E63" s="57">
        <v>46146</v>
      </c>
      <c r="F63" s="57">
        <v>46157</v>
      </c>
      <c r="G63" s="34" t="s">
        <v>40</v>
      </c>
      <c r="H63" s="82">
        <v>0</v>
      </c>
    </row>
    <row r="64" spans="1:8">
      <c r="A64" s="7" t="s">
        <v>16</v>
      </c>
      <c r="B64" s="9" t="s">
        <v>98</v>
      </c>
      <c r="C64" s="6">
        <v>1</v>
      </c>
      <c r="D64" s="6" t="s">
        <v>33</v>
      </c>
      <c r="E64" s="57">
        <v>46146</v>
      </c>
      <c r="F64" s="57">
        <v>46157</v>
      </c>
      <c r="G64" s="34" t="s">
        <v>40</v>
      </c>
      <c r="H64" s="82">
        <v>0</v>
      </c>
    </row>
    <row r="65" spans="1:8">
      <c r="A65" s="7" t="s">
        <v>16</v>
      </c>
      <c r="B65" s="9" t="s">
        <v>99</v>
      </c>
      <c r="C65" s="6">
        <v>1</v>
      </c>
      <c r="D65" s="6" t="s">
        <v>33</v>
      </c>
      <c r="E65" s="57">
        <v>46146</v>
      </c>
      <c r="F65" s="57">
        <v>46157</v>
      </c>
      <c r="G65" s="34" t="s">
        <v>40</v>
      </c>
      <c r="H65" s="82">
        <v>0</v>
      </c>
    </row>
    <row r="66" spans="1:8">
      <c r="A66" s="7" t="s">
        <v>16</v>
      </c>
      <c r="B66" s="9" t="s">
        <v>100</v>
      </c>
      <c r="C66" s="6">
        <v>1</v>
      </c>
      <c r="D66" s="6" t="s">
        <v>33</v>
      </c>
      <c r="E66" s="57">
        <v>46146</v>
      </c>
      <c r="F66" s="57">
        <v>46157</v>
      </c>
      <c r="G66" s="34" t="s">
        <v>40</v>
      </c>
      <c r="H66" s="82">
        <v>0</v>
      </c>
    </row>
    <row r="67" spans="1:8">
      <c r="A67" s="7" t="s">
        <v>16</v>
      </c>
      <c r="B67" s="9" t="s">
        <v>101</v>
      </c>
      <c r="C67" s="6">
        <v>1</v>
      </c>
      <c r="D67" s="6" t="s">
        <v>33</v>
      </c>
      <c r="E67" s="57">
        <v>46146</v>
      </c>
      <c r="F67" s="57">
        <v>46157</v>
      </c>
      <c r="G67" s="34" t="s">
        <v>40</v>
      </c>
      <c r="H67" s="82">
        <v>0</v>
      </c>
    </row>
    <row r="68" spans="1:8">
      <c r="A68" s="7" t="s">
        <v>16</v>
      </c>
      <c r="B68" s="9" t="s">
        <v>102</v>
      </c>
      <c r="C68" s="6">
        <v>1</v>
      </c>
      <c r="D68" s="6" t="s">
        <v>33</v>
      </c>
      <c r="E68" s="57">
        <v>46146</v>
      </c>
      <c r="F68" s="57">
        <v>46157</v>
      </c>
      <c r="G68" s="34" t="s">
        <v>40</v>
      </c>
      <c r="H68" s="82">
        <v>0</v>
      </c>
    </row>
    <row r="69" spans="1:8">
      <c r="A69" s="7" t="s">
        <v>16</v>
      </c>
      <c r="B69" s="9" t="s">
        <v>103</v>
      </c>
      <c r="C69" s="6">
        <v>1</v>
      </c>
      <c r="D69" s="6" t="s">
        <v>33</v>
      </c>
      <c r="E69" s="57">
        <v>46146</v>
      </c>
      <c r="F69" s="57">
        <v>46157</v>
      </c>
      <c r="G69" s="34" t="s">
        <v>40</v>
      </c>
      <c r="H69" s="82">
        <v>0</v>
      </c>
    </row>
    <row r="70" spans="1:8">
      <c r="A70" s="7" t="s">
        <v>16</v>
      </c>
      <c r="B70" s="9" t="s">
        <v>104</v>
      </c>
      <c r="C70" s="6">
        <v>1</v>
      </c>
      <c r="D70" s="6" t="s">
        <v>33</v>
      </c>
      <c r="E70" s="57">
        <v>46146</v>
      </c>
      <c r="F70" s="57">
        <v>46157</v>
      </c>
      <c r="G70" s="34" t="s">
        <v>40</v>
      </c>
      <c r="H70" s="82">
        <v>0</v>
      </c>
    </row>
    <row r="71" spans="1:8">
      <c r="A71" s="7" t="s">
        <v>16</v>
      </c>
      <c r="B71" s="9" t="s">
        <v>105</v>
      </c>
      <c r="C71" s="6">
        <v>1</v>
      </c>
      <c r="D71" s="6" t="s">
        <v>33</v>
      </c>
      <c r="E71" s="57">
        <v>46146</v>
      </c>
      <c r="F71" s="57">
        <v>46157</v>
      </c>
      <c r="G71" s="34" t="s">
        <v>40</v>
      </c>
      <c r="H71" s="82">
        <v>0</v>
      </c>
    </row>
    <row r="72" spans="1:8">
      <c r="A72" s="7" t="s">
        <v>16</v>
      </c>
      <c r="B72" s="9" t="s">
        <v>106</v>
      </c>
      <c r="C72" s="6">
        <v>1</v>
      </c>
      <c r="D72" s="6" t="s">
        <v>33</v>
      </c>
      <c r="E72" s="57">
        <v>46146</v>
      </c>
      <c r="F72" s="57">
        <v>46157</v>
      </c>
      <c r="G72" s="34" t="s">
        <v>40</v>
      </c>
      <c r="H72" s="82">
        <v>0</v>
      </c>
    </row>
    <row r="73" spans="1:8">
      <c r="A73" s="7" t="s">
        <v>16</v>
      </c>
      <c r="B73" s="9" t="s">
        <v>107</v>
      </c>
      <c r="C73" s="6">
        <v>1</v>
      </c>
      <c r="D73" s="6" t="s">
        <v>33</v>
      </c>
      <c r="E73" s="57">
        <v>46146</v>
      </c>
      <c r="F73" s="57">
        <v>46157</v>
      </c>
      <c r="G73" s="34" t="s">
        <v>40</v>
      </c>
      <c r="H73" s="82">
        <v>0</v>
      </c>
    </row>
    <row r="74" spans="1:8">
      <c r="A74" s="7" t="s">
        <v>16</v>
      </c>
      <c r="B74" s="9" t="s">
        <v>108</v>
      </c>
      <c r="C74" s="6">
        <v>1</v>
      </c>
      <c r="D74" s="6" t="s">
        <v>33</v>
      </c>
      <c r="E74" s="57">
        <v>46146</v>
      </c>
      <c r="F74" s="57">
        <v>46157</v>
      </c>
      <c r="G74" s="34" t="s">
        <v>40</v>
      </c>
      <c r="H74" s="82">
        <v>0</v>
      </c>
    </row>
    <row r="75" spans="1:8">
      <c r="A75" s="7" t="s">
        <v>16</v>
      </c>
      <c r="B75" s="9" t="s">
        <v>109</v>
      </c>
      <c r="C75" s="6">
        <v>1</v>
      </c>
      <c r="D75" s="6" t="s">
        <v>33</v>
      </c>
      <c r="E75" s="57">
        <v>46146</v>
      </c>
      <c r="F75" s="57">
        <v>46157</v>
      </c>
      <c r="G75" s="34" t="s">
        <v>40</v>
      </c>
      <c r="H75" s="82">
        <v>0</v>
      </c>
    </row>
    <row r="76" spans="1:8">
      <c r="A76" s="7" t="s">
        <v>16</v>
      </c>
      <c r="B76" s="9" t="s">
        <v>110</v>
      </c>
      <c r="C76" s="6">
        <v>1</v>
      </c>
      <c r="D76" s="6" t="s">
        <v>33</v>
      </c>
      <c r="E76" s="57">
        <v>46146</v>
      </c>
      <c r="F76" s="57">
        <v>46157</v>
      </c>
      <c r="G76" s="34" t="s">
        <v>40</v>
      </c>
      <c r="H76" s="82">
        <v>0</v>
      </c>
    </row>
    <row r="77" spans="1:8">
      <c r="A77" s="7" t="s">
        <v>16</v>
      </c>
      <c r="B77" s="9" t="s">
        <v>111</v>
      </c>
      <c r="C77" s="6">
        <v>1</v>
      </c>
      <c r="D77" s="6" t="s">
        <v>33</v>
      </c>
      <c r="E77" s="57">
        <v>46146</v>
      </c>
      <c r="F77" s="57">
        <v>46157</v>
      </c>
      <c r="G77" s="34" t="s">
        <v>40</v>
      </c>
      <c r="H77" s="82">
        <v>0</v>
      </c>
    </row>
    <row r="78" spans="1:8">
      <c r="A78" s="7" t="s">
        <v>16</v>
      </c>
      <c r="B78" s="9" t="s">
        <v>112</v>
      </c>
      <c r="C78" s="6">
        <v>1</v>
      </c>
      <c r="D78" s="6" t="s">
        <v>33</v>
      </c>
      <c r="E78" s="57">
        <v>46146</v>
      </c>
      <c r="F78" s="57">
        <v>46157</v>
      </c>
      <c r="G78" s="34" t="s">
        <v>40</v>
      </c>
      <c r="H78" s="82">
        <v>0</v>
      </c>
    </row>
    <row r="79" spans="1:8">
      <c r="A79" s="7" t="s">
        <v>16</v>
      </c>
      <c r="B79" s="9" t="s">
        <v>113</v>
      </c>
      <c r="C79" s="6">
        <v>1</v>
      </c>
      <c r="D79" s="6" t="s">
        <v>33</v>
      </c>
      <c r="E79" s="57">
        <v>46146</v>
      </c>
      <c r="F79" s="57">
        <v>46157</v>
      </c>
      <c r="G79" s="34" t="s">
        <v>40</v>
      </c>
      <c r="H79" s="82">
        <v>0</v>
      </c>
    </row>
    <row r="80" spans="1:8">
      <c r="A80" s="7" t="s">
        <v>16</v>
      </c>
      <c r="B80" s="9" t="s">
        <v>114</v>
      </c>
      <c r="C80" s="6">
        <v>1</v>
      </c>
      <c r="D80" s="6" t="s">
        <v>33</v>
      </c>
      <c r="E80" s="57">
        <v>46146</v>
      </c>
      <c r="F80" s="57">
        <v>46157</v>
      </c>
      <c r="G80" s="34" t="s">
        <v>40</v>
      </c>
      <c r="H80" s="82">
        <v>0</v>
      </c>
    </row>
    <row r="81" spans="1:8">
      <c r="A81" s="7" t="s">
        <v>16</v>
      </c>
      <c r="B81" s="9" t="s">
        <v>115</v>
      </c>
      <c r="C81" s="6">
        <v>1</v>
      </c>
      <c r="D81" s="6" t="s">
        <v>33</v>
      </c>
      <c r="E81" s="57">
        <v>46146</v>
      </c>
      <c r="F81" s="57">
        <v>46157</v>
      </c>
      <c r="G81" s="34" t="s">
        <v>40</v>
      </c>
      <c r="H81" s="82">
        <v>0</v>
      </c>
    </row>
    <row r="82" spans="1:8">
      <c r="A82" s="7" t="s">
        <v>16</v>
      </c>
      <c r="B82" s="9" t="s">
        <v>116</v>
      </c>
      <c r="C82" s="6">
        <v>1</v>
      </c>
      <c r="D82" s="6" t="s">
        <v>33</v>
      </c>
      <c r="E82" s="57">
        <v>46146</v>
      </c>
      <c r="F82" s="57">
        <v>46157</v>
      </c>
      <c r="G82" s="34" t="s">
        <v>40</v>
      </c>
      <c r="H82" s="82">
        <v>0</v>
      </c>
    </row>
    <row r="83" spans="1:8">
      <c r="A83" s="7" t="s">
        <v>16</v>
      </c>
      <c r="B83" s="9" t="s">
        <v>117</v>
      </c>
      <c r="C83" s="6">
        <v>1</v>
      </c>
      <c r="D83" s="6" t="s">
        <v>33</v>
      </c>
      <c r="E83" s="57">
        <v>46146</v>
      </c>
      <c r="F83" s="57">
        <v>46157</v>
      </c>
      <c r="G83" s="34" t="s">
        <v>40</v>
      </c>
      <c r="H83" s="82">
        <v>0</v>
      </c>
    </row>
    <row r="84" spans="1:8">
      <c r="A84" s="7" t="s">
        <v>16</v>
      </c>
      <c r="B84" s="9" t="s">
        <v>118</v>
      </c>
      <c r="C84" s="6">
        <v>1</v>
      </c>
      <c r="D84" s="6" t="s">
        <v>33</v>
      </c>
      <c r="E84" s="57">
        <v>46146</v>
      </c>
      <c r="F84" s="57">
        <v>46157</v>
      </c>
      <c r="G84" s="34" t="s">
        <v>40</v>
      </c>
      <c r="H84" s="82">
        <v>0</v>
      </c>
    </row>
    <row r="85" spans="1:8">
      <c r="A85" s="7" t="s">
        <v>16</v>
      </c>
      <c r="B85" s="9" t="s">
        <v>119</v>
      </c>
      <c r="C85" s="6">
        <v>1</v>
      </c>
      <c r="D85" s="6" t="s">
        <v>33</v>
      </c>
      <c r="E85" s="57">
        <v>46146</v>
      </c>
      <c r="F85" s="57">
        <v>46157</v>
      </c>
      <c r="G85" s="34" t="s">
        <v>40</v>
      </c>
      <c r="H85" s="82">
        <v>0</v>
      </c>
    </row>
    <row r="86" spans="1:8">
      <c r="A86" s="7" t="s">
        <v>16</v>
      </c>
      <c r="B86" s="9" t="s">
        <v>120</v>
      </c>
      <c r="C86" s="6">
        <v>1</v>
      </c>
      <c r="D86" s="6" t="s">
        <v>33</v>
      </c>
      <c r="E86" s="57">
        <v>46146</v>
      </c>
      <c r="F86" s="57">
        <v>46157</v>
      </c>
      <c r="G86" s="34" t="s">
        <v>40</v>
      </c>
      <c r="H86" s="82">
        <v>0</v>
      </c>
    </row>
    <row r="87" spans="1:8">
      <c r="A87" s="7" t="s">
        <v>16</v>
      </c>
      <c r="B87" s="9" t="s">
        <v>121</v>
      </c>
      <c r="C87" s="6">
        <v>1</v>
      </c>
      <c r="D87" s="6" t="s">
        <v>33</v>
      </c>
      <c r="E87" s="57">
        <v>46146</v>
      </c>
      <c r="F87" s="57">
        <v>46157</v>
      </c>
      <c r="G87" s="34" t="s">
        <v>40</v>
      </c>
      <c r="H87" s="82">
        <v>0</v>
      </c>
    </row>
    <row r="88" spans="1:8">
      <c r="A88" s="7" t="s">
        <v>16</v>
      </c>
      <c r="B88" s="9" t="s">
        <v>122</v>
      </c>
      <c r="C88" s="6">
        <v>1</v>
      </c>
      <c r="D88" s="6" t="s">
        <v>33</v>
      </c>
      <c r="E88" s="57">
        <v>46146</v>
      </c>
      <c r="F88" s="57">
        <v>46157</v>
      </c>
      <c r="G88" s="34" t="s">
        <v>40</v>
      </c>
      <c r="H88" s="82">
        <v>0</v>
      </c>
    </row>
    <row r="89" spans="1:8">
      <c r="A89" s="7" t="s">
        <v>16</v>
      </c>
      <c r="B89" s="9" t="s">
        <v>123</v>
      </c>
      <c r="C89" s="6">
        <v>1</v>
      </c>
      <c r="D89" s="6" t="s">
        <v>33</v>
      </c>
      <c r="E89" s="57">
        <v>46146</v>
      </c>
      <c r="F89" s="57">
        <v>46157</v>
      </c>
      <c r="G89" s="34" t="s">
        <v>40</v>
      </c>
      <c r="H89" s="82">
        <v>0</v>
      </c>
    </row>
    <row r="90" spans="1:8">
      <c r="A90" s="7" t="s">
        <v>16</v>
      </c>
      <c r="B90" s="9" t="s">
        <v>124</v>
      </c>
      <c r="C90" s="6">
        <v>1</v>
      </c>
      <c r="D90" s="6" t="s">
        <v>33</v>
      </c>
      <c r="E90" s="57">
        <v>46146</v>
      </c>
      <c r="F90" s="57">
        <v>46157</v>
      </c>
      <c r="G90" s="34" t="s">
        <v>40</v>
      </c>
      <c r="H90" s="82">
        <v>0</v>
      </c>
    </row>
    <row r="91" spans="1:8">
      <c r="A91" s="7" t="s">
        <v>16</v>
      </c>
      <c r="B91" s="9" t="s">
        <v>125</v>
      </c>
      <c r="C91" s="6">
        <v>1</v>
      </c>
      <c r="D91" s="6" t="s">
        <v>33</v>
      </c>
      <c r="E91" s="57">
        <v>46146</v>
      </c>
      <c r="F91" s="57">
        <v>46157</v>
      </c>
      <c r="G91" s="34" t="s">
        <v>40</v>
      </c>
      <c r="H91" s="82">
        <v>0</v>
      </c>
    </row>
    <row r="92" spans="1:8">
      <c r="A92" s="7" t="s">
        <v>16</v>
      </c>
      <c r="B92" s="9" t="s">
        <v>126</v>
      </c>
      <c r="C92" s="6">
        <v>1</v>
      </c>
      <c r="D92" s="6" t="s">
        <v>33</v>
      </c>
      <c r="E92" s="57">
        <v>46146</v>
      </c>
      <c r="F92" s="57">
        <v>46157</v>
      </c>
      <c r="G92" s="34" t="s">
        <v>40</v>
      </c>
      <c r="H92" s="82">
        <v>0</v>
      </c>
    </row>
    <row r="93" spans="1:8">
      <c r="A93" s="7" t="s">
        <v>16</v>
      </c>
      <c r="B93" s="9" t="s">
        <v>127</v>
      </c>
      <c r="C93" s="6">
        <v>1</v>
      </c>
      <c r="D93" s="6" t="s">
        <v>33</v>
      </c>
      <c r="E93" s="57">
        <v>46146</v>
      </c>
      <c r="F93" s="57">
        <v>46157</v>
      </c>
      <c r="G93" s="34" t="s">
        <v>40</v>
      </c>
      <c r="H93" s="82">
        <v>0</v>
      </c>
    </row>
    <row r="94" spans="1:8">
      <c r="A94" s="7" t="s">
        <v>16</v>
      </c>
      <c r="B94" s="9" t="s">
        <v>128</v>
      </c>
      <c r="C94" s="6">
        <v>1</v>
      </c>
      <c r="D94" s="6" t="s">
        <v>33</v>
      </c>
      <c r="E94" s="57">
        <v>46146</v>
      </c>
      <c r="F94" s="57">
        <v>46157</v>
      </c>
      <c r="G94" s="34" t="s">
        <v>40</v>
      </c>
      <c r="H94" s="82">
        <v>0</v>
      </c>
    </row>
    <row r="95" spans="1:8">
      <c r="A95" s="7" t="s">
        <v>16</v>
      </c>
      <c r="B95" s="9" t="s">
        <v>129</v>
      </c>
      <c r="C95" s="6">
        <v>1</v>
      </c>
      <c r="D95" s="6" t="s">
        <v>33</v>
      </c>
      <c r="E95" s="57">
        <v>46146</v>
      </c>
      <c r="F95" s="57">
        <v>46157</v>
      </c>
      <c r="G95" s="34" t="s">
        <v>40</v>
      </c>
      <c r="H95" s="82">
        <v>0</v>
      </c>
    </row>
    <row r="96" spans="1:8">
      <c r="A96" s="7" t="s">
        <v>16</v>
      </c>
      <c r="B96" s="9" t="s">
        <v>130</v>
      </c>
      <c r="C96" s="6">
        <v>1</v>
      </c>
      <c r="D96" s="6" t="s">
        <v>33</v>
      </c>
      <c r="E96" s="57">
        <v>46146</v>
      </c>
      <c r="F96" s="57">
        <v>46157</v>
      </c>
      <c r="G96" s="34" t="s">
        <v>40</v>
      </c>
      <c r="H96" s="82">
        <v>0</v>
      </c>
    </row>
    <row r="97" spans="1:8">
      <c r="A97" s="7" t="s">
        <v>16</v>
      </c>
      <c r="B97" s="9" t="s">
        <v>131</v>
      </c>
      <c r="C97" s="6">
        <v>1</v>
      </c>
      <c r="D97" s="6" t="s">
        <v>33</v>
      </c>
      <c r="E97" s="57">
        <v>46146</v>
      </c>
      <c r="F97" s="57">
        <v>46157</v>
      </c>
      <c r="G97" s="34" t="s">
        <v>40</v>
      </c>
      <c r="H97" s="82">
        <v>0</v>
      </c>
    </row>
    <row r="98" spans="1:8">
      <c r="A98" s="7" t="s">
        <v>16</v>
      </c>
      <c r="B98" s="9" t="s">
        <v>132</v>
      </c>
      <c r="C98" s="6">
        <v>1</v>
      </c>
      <c r="D98" s="6" t="s">
        <v>33</v>
      </c>
      <c r="E98" s="57">
        <v>46146</v>
      </c>
      <c r="F98" s="57">
        <v>46157</v>
      </c>
      <c r="G98" s="34" t="s">
        <v>40</v>
      </c>
      <c r="H98" s="82">
        <v>0</v>
      </c>
    </row>
    <row r="99" spans="1:8">
      <c r="A99" s="7" t="s">
        <v>16</v>
      </c>
      <c r="B99" s="9" t="s">
        <v>133</v>
      </c>
      <c r="C99" s="6">
        <v>1</v>
      </c>
      <c r="D99" s="6" t="s">
        <v>33</v>
      </c>
      <c r="E99" s="57">
        <v>46146</v>
      </c>
      <c r="F99" s="57">
        <v>46157</v>
      </c>
      <c r="G99" s="34" t="s">
        <v>40</v>
      </c>
      <c r="H99" s="82">
        <v>0</v>
      </c>
    </row>
    <row r="100" spans="1:8">
      <c r="A100" s="7" t="s">
        <v>16</v>
      </c>
      <c r="B100" s="9" t="s">
        <v>134</v>
      </c>
      <c r="C100" s="6">
        <v>1</v>
      </c>
      <c r="D100" s="6" t="s">
        <v>33</v>
      </c>
      <c r="E100" s="57">
        <v>46146</v>
      </c>
      <c r="F100" s="57">
        <v>46157</v>
      </c>
      <c r="G100" s="34" t="s">
        <v>40</v>
      </c>
      <c r="H100" s="82">
        <v>0</v>
      </c>
    </row>
    <row r="101" spans="1:8">
      <c r="A101" s="7" t="s">
        <v>16</v>
      </c>
      <c r="B101" s="9" t="s">
        <v>135</v>
      </c>
      <c r="C101" s="6">
        <v>1</v>
      </c>
      <c r="D101" s="6" t="s">
        <v>33</v>
      </c>
      <c r="E101" s="57">
        <v>46146</v>
      </c>
      <c r="F101" s="57">
        <v>46157</v>
      </c>
      <c r="G101" s="34" t="s">
        <v>40</v>
      </c>
      <c r="H101" s="82">
        <v>0</v>
      </c>
    </row>
    <row r="102" spans="1:8">
      <c r="A102" s="7" t="s">
        <v>16</v>
      </c>
      <c r="B102" s="9" t="s">
        <v>136</v>
      </c>
      <c r="C102" s="6">
        <v>1</v>
      </c>
      <c r="D102" s="6" t="s">
        <v>33</v>
      </c>
      <c r="E102" s="57">
        <v>46146</v>
      </c>
      <c r="F102" s="57">
        <v>46157</v>
      </c>
      <c r="G102" s="34" t="s">
        <v>40</v>
      </c>
      <c r="H102" s="82">
        <v>0</v>
      </c>
    </row>
    <row r="103" spans="1:8">
      <c r="A103" s="7" t="s">
        <v>16</v>
      </c>
      <c r="B103" s="9" t="s">
        <v>137</v>
      </c>
      <c r="C103" s="6">
        <v>1</v>
      </c>
      <c r="D103" s="6" t="s">
        <v>33</v>
      </c>
      <c r="E103" s="57">
        <v>46146</v>
      </c>
      <c r="F103" s="57">
        <v>46157</v>
      </c>
      <c r="G103" s="34" t="s">
        <v>40</v>
      </c>
      <c r="H103" s="82">
        <v>0</v>
      </c>
    </row>
    <row r="104" spans="1:8">
      <c r="A104" s="7" t="s">
        <v>16</v>
      </c>
      <c r="B104" s="9" t="s">
        <v>138</v>
      </c>
      <c r="C104" s="6">
        <v>1</v>
      </c>
      <c r="D104" s="6" t="s">
        <v>33</v>
      </c>
      <c r="E104" s="57">
        <v>46146</v>
      </c>
      <c r="F104" s="57">
        <v>46157</v>
      </c>
      <c r="G104" s="34" t="s">
        <v>40</v>
      </c>
      <c r="H104" s="82">
        <v>0</v>
      </c>
    </row>
    <row r="105" spans="1:8">
      <c r="A105" s="7" t="s">
        <v>16</v>
      </c>
      <c r="B105" s="9" t="s">
        <v>139</v>
      </c>
      <c r="C105" s="6">
        <v>1</v>
      </c>
      <c r="D105" s="6" t="s">
        <v>33</v>
      </c>
      <c r="E105" s="57">
        <v>46146</v>
      </c>
      <c r="F105" s="57">
        <v>46157</v>
      </c>
      <c r="G105" s="34" t="s">
        <v>40</v>
      </c>
      <c r="H105" s="82">
        <v>0</v>
      </c>
    </row>
    <row r="106" spans="1:8">
      <c r="A106" s="7" t="s">
        <v>16</v>
      </c>
      <c r="B106" s="9" t="s">
        <v>140</v>
      </c>
      <c r="C106" s="6">
        <v>1</v>
      </c>
      <c r="D106" s="6" t="s">
        <v>33</v>
      </c>
      <c r="E106" s="57">
        <v>46146</v>
      </c>
      <c r="F106" s="57">
        <v>46157</v>
      </c>
      <c r="G106" s="34" t="s">
        <v>40</v>
      </c>
      <c r="H106" s="82">
        <v>0</v>
      </c>
    </row>
    <row r="107" spans="1:8">
      <c r="A107" s="7" t="s">
        <v>16</v>
      </c>
      <c r="B107" s="9" t="s">
        <v>141</v>
      </c>
      <c r="C107" s="6">
        <v>1</v>
      </c>
      <c r="D107" s="6" t="s">
        <v>33</v>
      </c>
      <c r="E107" s="57">
        <v>46146</v>
      </c>
      <c r="F107" s="57">
        <v>46157</v>
      </c>
      <c r="G107" s="34" t="s">
        <v>40</v>
      </c>
      <c r="H107" s="82">
        <v>0</v>
      </c>
    </row>
    <row r="108" spans="1:8">
      <c r="A108" s="7" t="s">
        <v>16</v>
      </c>
      <c r="B108" s="9" t="s">
        <v>142</v>
      </c>
      <c r="C108" s="6">
        <v>1</v>
      </c>
      <c r="D108" s="6" t="s">
        <v>33</v>
      </c>
      <c r="E108" s="57">
        <v>46146</v>
      </c>
      <c r="F108" s="57">
        <v>46157</v>
      </c>
      <c r="G108" s="34" t="s">
        <v>40</v>
      </c>
      <c r="H108" s="82">
        <v>0</v>
      </c>
    </row>
    <row r="109" spans="1:8">
      <c r="A109" s="7" t="s">
        <v>16</v>
      </c>
      <c r="B109" s="9" t="s">
        <v>143</v>
      </c>
      <c r="C109" s="6">
        <v>1</v>
      </c>
      <c r="D109" s="6" t="s">
        <v>33</v>
      </c>
      <c r="E109" s="57">
        <v>46146</v>
      </c>
      <c r="F109" s="57">
        <v>46157</v>
      </c>
      <c r="G109" s="34" t="s">
        <v>40</v>
      </c>
      <c r="H109" s="82">
        <v>0</v>
      </c>
    </row>
    <row r="110" spans="1:8">
      <c r="A110" s="7" t="s">
        <v>16</v>
      </c>
      <c r="B110" s="9" t="s">
        <v>144</v>
      </c>
      <c r="C110" s="6">
        <v>1</v>
      </c>
      <c r="D110" s="6" t="s">
        <v>33</v>
      </c>
      <c r="E110" s="57">
        <v>46146</v>
      </c>
      <c r="F110" s="57">
        <v>46157</v>
      </c>
      <c r="G110" s="34" t="s">
        <v>40</v>
      </c>
      <c r="H110" s="82">
        <v>0</v>
      </c>
    </row>
    <row r="111" spans="1:8">
      <c r="A111" s="7" t="s">
        <v>16</v>
      </c>
      <c r="B111" s="9" t="s">
        <v>145</v>
      </c>
      <c r="C111" s="6">
        <v>1</v>
      </c>
      <c r="D111" s="6" t="s">
        <v>33</v>
      </c>
      <c r="E111" s="57">
        <v>46146</v>
      </c>
      <c r="F111" s="57">
        <v>46157</v>
      </c>
      <c r="G111" s="34" t="s">
        <v>40</v>
      </c>
      <c r="H111" s="82">
        <v>0</v>
      </c>
    </row>
    <row r="112" spans="1:8">
      <c r="A112" s="7" t="s">
        <v>16</v>
      </c>
      <c r="B112" s="9" t="s">
        <v>146</v>
      </c>
      <c r="C112" s="6">
        <v>1</v>
      </c>
      <c r="D112" s="6" t="s">
        <v>33</v>
      </c>
      <c r="E112" s="57">
        <v>46146</v>
      </c>
      <c r="F112" s="57">
        <v>46157</v>
      </c>
      <c r="G112" s="34" t="s">
        <v>40</v>
      </c>
      <c r="H112" s="82">
        <v>0</v>
      </c>
    </row>
    <row r="113" spans="1:8">
      <c r="A113" s="7" t="s">
        <v>16</v>
      </c>
      <c r="B113" s="9" t="s">
        <v>147</v>
      </c>
      <c r="C113" s="6">
        <v>1</v>
      </c>
      <c r="D113" s="6" t="s">
        <v>33</v>
      </c>
      <c r="E113" s="57">
        <v>46146</v>
      </c>
      <c r="F113" s="57">
        <v>46157</v>
      </c>
      <c r="G113" s="34" t="s">
        <v>40</v>
      </c>
      <c r="H113" s="82">
        <v>0</v>
      </c>
    </row>
    <row r="114" spans="1:8">
      <c r="A114" s="7" t="s">
        <v>16</v>
      </c>
      <c r="B114" s="9" t="s">
        <v>148</v>
      </c>
      <c r="C114" s="6">
        <v>1</v>
      </c>
      <c r="D114" s="6" t="s">
        <v>33</v>
      </c>
      <c r="E114" s="57">
        <v>46146</v>
      </c>
      <c r="F114" s="57">
        <v>46157</v>
      </c>
      <c r="G114" s="34" t="s">
        <v>40</v>
      </c>
      <c r="H114" s="82">
        <v>0</v>
      </c>
    </row>
    <row r="115" spans="1:8">
      <c r="A115" s="7" t="s">
        <v>16</v>
      </c>
      <c r="B115" s="9" t="s">
        <v>149</v>
      </c>
      <c r="C115" s="6">
        <v>1</v>
      </c>
      <c r="D115" s="6" t="s">
        <v>33</v>
      </c>
      <c r="E115" s="57">
        <v>46146</v>
      </c>
      <c r="F115" s="57">
        <v>46157</v>
      </c>
      <c r="G115" s="34" t="s">
        <v>40</v>
      </c>
      <c r="H115" s="82">
        <v>0</v>
      </c>
    </row>
    <row r="116" spans="1:8">
      <c r="A116" s="7" t="s">
        <v>16</v>
      </c>
      <c r="B116" s="9" t="s">
        <v>150</v>
      </c>
      <c r="C116" s="6">
        <v>1</v>
      </c>
      <c r="D116" s="6" t="s">
        <v>33</v>
      </c>
      <c r="E116" s="57">
        <v>46146</v>
      </c>
      <c r="F116" s="57">
        <v>46157</v>
      </c>
      <c r="G116" s="34" t="s">
        <v>40</v>
      </c>
      <c r="H116" s="82">
        <v>0</v>
      </c>
    </row>
    <row r="117" spans="1:8">
      <c r="A117" s="7" t="s">
        <v>16</v>
      </c>
      <c r="B117" s="9" t="s">
        <v>151</v>
      </c>
      <c r="C117" s="6">
        <v>1</v>
      </c>
      <c r="D117" s="6" t="s">
        <v>33</v>
      </c>
      <c r="E117" s="57">
        <v>46146</v>
      </c>
      <c r="F117" s="57">
        <v>46157</v>
      </c>
      <c r="G117" s="34" t="s">
        <v>40</v>
      </c>
      <c r="H117" s="82">
        <v>0</v>
      </c>
    </row>
    <row r="118" spans="1:8">
      <c r="A118" s="7" t="s">
        <v>16</v>
      </c>
      <c r="B118" s="9" t="s">
        <v>152</v>
      </c>
      <c r="C118" s="6">
        <v>1</v>
      </c>
      <c r="D118" s="6" t="s">
        <v>33</v>
      </c>
      <c r="E118" s="57">
        <v>46146</v>
      </c>
      <c r="F118" s="57">
        <v>46157</v>
      </c>
      <c r="G118" s="34" t="s">
        <v>40</v>
      </c>
      <c r="H118" s="82">
        <v>0</v>
      </c>
    </row>
    <row r="119" spans="1:8">
      <c r="A119" s="7" t="s">
        <v>16</v>
      </c>
      <c r="B119" s="9" t="s">
        <v>153</v>
      </c>
      <c r="C119" s="6">
        <v>1</v>
      </c>
      <c r="D119" s="6" t="s">
        <v>33</v>
      </c>
      <c r="E119" s="57">
        <v>46146</v>
      </c>
      <c r="F119" s="57">
        <v>46157</v>
      </c>
      <c r="G119" s="34" t="s">
        <v>40</v>
      </c>
      <c r="H119" s="82">
        <v>0</v>
      </c>
    </row>
    <row r="120" spans="1:8">
      <c r="A120" s="7" t="s">
        <v>16</v>
      </c>
      <c r="B120" s="9" t="s">
        <v>154</v>
      </c>
      <c r="C120" s="6">
        <v>1</v>
      </c>
      <c r="D120" s="6" t="s">
        <v>33</v>
      </c>
      <c r="E120" s="57">
        <v>46146</v>
      </c>
      <c r="F120" s="57">
        <v>46157</v>
      </c>
      <c r="G120" s="34" t="s">
        <v>40</v>
      </c>
      <c r="H120" s="82">
        <v>0</v>
      </c>
    </row>
    <row r="121" spans="1:8">
      <c r="A121" s="7" t="s">
        <v>16</v>
      </c>
      <c r="B121" s="9" t="s">
        <v>155</v>
      </c>
      <c r="C121" s="6">
        <v>1</v>
      </c>
      <c r="D121" s="6" t="s">
        <v>33</v>
      </c>
      <c r="E121" s="57">
        <v>46146</v>
      </c>
      <c r="F121" s="57">
        <v>46157</v>
      </c>
      <c r="G121" s="34" t="s">
        <v>40</v>
      </c>
      <c r="H121" s="82">
        <v>0</v>
      </c>
    </row>
    <row r="122" spans="1:8">
      <c r="A122" s="7" t="s">
        <v>16</v>
      </c>
      <c r="B122" s="9" t="s">
        <v>156</v>
      </c>
      <c r="C122" s="6">
        <v>1</v>
      </c>
      <c r="D122" s="6" t="s">
        <v>33</v>
      </c>
      <c r="E122" s="57">
        <v>46146</v>
      </c>
      <c r="F122" s="57">
        <v>46157</v>
      </c>
      <c r="G122" s="34" t="s">
        <v>40</v>
      </c>
      <c r="H122" s="82">
        <v>0</v>
      </c>
    </row>
    <row r="123" spans="1:8">
      <c r="A123" s="7" t="s">
        <v>16</v>
      </c>
      <c r="B123" s="9" t="s">
        <v>157</v>
      </c>
      <c r="C123" s="6">
        <v>1</v>
      </c>
      <c r="D123" s="6" t="s">
        <v>33</v>
      </c>
      <c r="E123" s="57">
        <v>46146</v>
      </c>
      <c r="F123" s="57">
        <v>46157</v>
      </c>
      <c r="G123" s="34" t="s">
        <v>40</v>
      </c>
      <c r="H123" s="82">
        <v>0</v>
      </c>
    </row>
    <row r="124" spans="1:8">
      <c r="A124" s="7" t="s">
        <v>16</v>
      </c>
      <c r="B124" s="9" t="s">
        <v>158</v>
      </c>
      <c r="C124" s="6">
        <v>1</v>
      </c>
      <c r="D124" s="6" t="s">
        <v>33</v>
      </c>
      <c r="E124" s="57">
        <v>46146</v>
      </c>
      <c r="F124" s="57">
        <v>46157</v>
      </c>
      <c r="G124" s="34" t="s">
        <v>40</v>
      </c>
      <c r="H124" s="82">
        <v>0</v>
      </c>
    </row>
    <row r="125" spans="1:8">
      <c r="A125" s="7" t="s">
        <v>16</v>
      </c>
      <c r="B125" s="9" t="s">
        <v>159</v>
      </c>
      <c r="C125" s="6">
        <v>1</v>
      </c>
      <c r="D125" s="6" t="s">
        <v>33</v>
      </c>
      <c r="E125" s="57">
        <v>46146</v>
      </c>
      <c r="F125" s="57">
        <v>46157</v>
      </c>
      <c r="G125" s="34" t="s">
        <v>40</v>
      </c>
      <c r="H125" s="82">
        <v>0</v>
      </c>
    </row>
    <row r="126" spans="1:8">
      <c r="A126" s="7" t="s">
        <v>16</v>
      </c>
      <c r="B126" s="9" t="s">
        <v>32</v>
      </c>
      <c r="C126" s="6">
        <v>1</v>
      </c>
      <c r="D126" s="7" t="s">
        <v>160</v>
      </c>
      <c r="E126" s="58">
        <v>46160</v>
      </c>
      <c r="F126" s="58">
        <v>46169</v>
      </c>
      <c r="G126" s="13" t="s">
        <v>34</v>
      </c>
      <c r="H126" s="84">
        <v>1</v>
      </c>
    </row>
    <row r="127" spans="1:8">
      <c r="A127" s="7" t="s">
        <v>16</v>
      </c>
      <c r="B127" s="9" t="s">
        <v>35</v>
      </c>
      <c r="C127" s="6">
        <v>1</v>
      </c>
      <c r="D127" s="7" t="s">
        <v>160</v>
      </c>
      <c r="E127" s="58">
        <v>46160</v>
      </c>
      <c r="F127" s="58">
        <v>46169</v>
      </c>
      <c r="G127" s="13" t="s">
        <v>34</v>
      </c>
      <c r="H127" s="84">
        <v>1</v>
      </c>
    </row>
    <row r="128" spans="1:8">
      <c r="A128" s="7" t="s">
        <v>16</v>
      </c>
      <c r="B128" s="9" t="s">
        <v>36</v>
      </c>
      <c r="C128" s="6">
        <v>198</v>
      </c>
      <c r="D128" s="7" t="s">
        <v>160</v>
      </c>
      <c r="E128" s="58">
        <v>46160</v>
      </c>
      <c r="F128" s="58">
        <v>46169</v>
      </c>
      <c r="G128" s="13" t="s">
        <v>34</v>
      </c>
      <c r="H128" s="84">
        <v>1</v>
      </c>
    </row>
    <row r="129" spans="1:8">
      <c r="A129" s="7" t="s">
        <v>16</v>
      </c>
      <c r="B129" s="9" t="s">
        <v>37</v>
      </c>
      <c r="C129" s="6">
        <v>198</v>
      </c>
      <c r="D129" s="7" t="s">
        <v>160</v>
      </c>
      <c r="E129" s="58">
        <v>46160</v>
      </c>
      <c r="F129" s="58">
        <v>46169</v>
      </c>
      <c r="G129" s="13" t="s">
        <v>34</v>
      </c>
      <c r="H129" s="84">
        <v>1</v>
      </c>
    </row>
    <row r="130" spans="1:8">
      <c r="A130" s="7" t="s">
        <v>16</v>
      </c>
      <c r="B130" s="9" t="s">
        <v>38</v>
      </c>
      <c r="C130" s="6">
        <v>1</v>
      </c>
      <c r="D130" s="7" t="s">
        <v>160</v>
      </c>
      <c r="E130" s="58">
        <v>46160</v>
      </c>
      <c r="F130" s="58">
        <v>46169</v>
      </c>
      <c r="G130" s="13" t="s">
        <v>34</v>
      </c>
      <c r="H130" s="84">
        <v>1</v>
      </c>
    </row>
    <row r="131" spans="1:8">
      <c r="A131" s="7" t="s">
        <v>16</v>
      </c>
      <c r="B131" s="9" t="s">
        <v>39</v>
      </c>
      <c r="C131" s="6">
        <v>1</v>
      </c>
      <c r="D131" s="7" t="s">
        <v>160</v>
      </c>
      <c r="E131" s="58">
        <v>46160</v>
      </c>
      <c r="F131" s="58">
        <v>46169</v>
      </c>
      <c r="G131" s="13" t="s">
        <v>40</v>
      </c>
      <c r="H131" s="84">
        <v>0</v>
      </c>
    </row>
    <row r="132" spans="1:8">
      <c r="A132" s="7" t="s">
        <v>16</v>
      </c>
      <c r="B132" s="9" t="s">
        <v>41</v>
      </c>
      <c r="C132" s="6">
        <v>1</v>
      </c>
      <c r="D132" s="7" t="s">
        <v>160</v>
      </c>
      <c r="E132" s="58">
        <v>46160</v>
      </c>
      <c r="F132" s="58">
        <v>46169</v>
      </c>
      <c r="G132" s="13" t="s">
        <v>40</v>
      </c>
      <c r="H132" s="84">
        <v>0</v>
      </c>
    </row>
    <row r="133" spans="1:8">
      <c r="A133" s="7" t="s">
        <v>16</v>
      </c>
      <c r="B133" s="9" t="s">
        <v>42</v>
      </c>
      <c r="C133" s="6">
        <v>1</v>
      </c>
      <c r="D133" s="7" t="s">
        <v>160</v>
      </c>
      <c r="E133" s="58">
        <v>46160</v>
      </c>
      <c r="F133" s="58">
        <v>46169</v>
      </c>
      <c r="G133" s="13" t="s">
        <v>40</v>
      </c>
      <c r="H133" s="84">
        <v>0</v>
      </c>
    </row>
    <row r="134" spans="1:8">
      <c r="A134" s="7" t="s">
        <v>16</v>
      </c>
      <c r="B134" s="9" t="s">
        <v>43</v>
      </c>
      <c r="C134" s="6">
        <v>1</v>
      </c>
      <c r="D134" s="7" t="s">
        <v>160</v>
      </c>
      <c r="E134" s="58">
        <v>46160</v>
      </c>
      <c r="F134" s="58">
        <v>46169</v>
      </c>
      <c r="G134" s="13" t="s">
        <v>40</v>
      </c>
      <c r="H134" s="84">
        <v>0</v>
      </c>
    </row>
    <row r="135" spans="1:8">
      <c r="A135" s="7" t="s">
        <v>16</v>
      </c>
      <c r="B135" s="9" t="s">
        <v>44</v>
      </c>
      <c r="C135" s="6">
        <v>1</v>
      </c>
      <c r="D135" s="7" t="s">
        <v>160</v>
      </c>
      <c r="E135" s="58">
        <v>46160</v>
      </c>
      <c r="F135" s="58">
        <v>46169</v>
      </c>
      <c r="G135" s="13" t="s">
        <v>40</v>
      </c>
      <c r="H135" s="84">
        <v>0</v>
      </c>
    </row>
    <row r="136" spans="1:8">
      <c r="A136" s="7" t="s">
        <v>16</v>
      </c>
      <c r="B136" s="9" t="s">
        <v>45</v>
      </c>
      <c r="C136" s="6">
        <v>1</v>
      </c>
      <c r="D136" s="7" t="s">
        <v>160</v>
      </c>
      <c r="E136" s="58">
        <v>46160</v>
      </c>
      <c r="F136" s="58">
        <v>46169</v>
      </c>
      <c r="G136" s="13" t="s">
        <v>40</v>
      </c>
      <c r="H136" s="84">
        <v>0</v>
      </c>
    </row>
    <row r="137" spans="1:8">
      <c r="A137" s="7" t="s">
        <v>16</v>
      </c>
      <c r="B137" s="9" t="s">
        <v>46</v>
      </c>
      <c r="C137" s="6">
        <v>1</v>
      </c>
      <c r="D137" s="7" t="s">
        <v>160</v>
      </c>
      <c r="E137" s="58">
        <v>46160</v>
      </c>
      <c r="F137" s="58">
        <v>46169</v>
      </c>
      <c r="G137" s="13" t="s">
        <v>40</v>
      </c>
      <c r="H137" s="84">
        <v>0</v>
      </c>
    </row>
    <row r="138" spans="1:8">
      <c r="A138" s="7" t="s">
        <v>16</v>
      </c>
      <c r="B138" s="9" t="s">
        <v>47</v>
      </c>
      <c r="C138" s="6">
        <v>1</v>
      </c>
      <c r="D138" s="7" t="s">
        <v>160</v>
      </c>
      <c r="E138" s="58">
        <v>46160</v>
      </c>
      <c r="F138" s="58">
        <v>46169</v>
      </c>
      <c r="G138" s="13" t="s">
        <v>40</v>
      </c>
      <c r="H138" s="84">
        <v>0</v>
      </c>
    </row>
    <row r="139" spans="1:8">
      <c r="A139" s="7" t="s">
        <v>16</v>
      </c>
      <c r="B139" s="9" t="s">
        <v>48</v>
      </c>
      <c r="C139" s="6">
        <v>1</v>
      </c>
      <c r="D139" s="7" t="s">
        <v>160</v>
      </c>
      <c r="E139" s="58">
        <v>46160</v>
      </c>
      <c r="F139" s="58">
        <v>46169</v>
      </c>
      <c r="G139" s="13" t="s">
        <v>40</v>
      </c>
      <c r="H139" s="84">
        <v>0</v>
      </c>
    </row>
    <row r="140" spans="1:8">
      <c r="A140" s="7" t="s">
        <v>16</v>
      </c>
      <c r="B140" s="9" t="s">
        <v>49</v>
      </c>
      <c r="C140" s="6">
        <v>1</v>
      </c>
      <c r="D140" s="7" t="s">
        <v>160</v>
      </c>
      <c r="E140" s="58">
        <v>46160</v>
      </c>
      <c r="F140" s="58">
        <v>46169</v>
      </c>
      <c r="G140" s="13" t="s">
        <v>40</v>
      </c>
      <c r="H140" s="84">
        <v>0</v>
      </c>
    </row>
    <row r="141" spans="1:8">
      <c r="A141" s="7" t="s">
        <v>16</v>
      </c>
      <c r="B141" s="9" t="s">
        <v>50</v>
      </c>
      <c r="C141" s="6">
        <v>1</v>
      </c>
      <c r="D141" s="7" t="s">
        <v>160</v>
      </c>
      <c r="E141" s="58">
        <v>46160</v>
      </c>
      <c r="F141" s="58">
        <v>46169</v>
      </c>
      <c r="G141" s="13" t="s">
        <v>40</v>
      </c>
      <c r="H141" s="84">
        <v>0</v>
      </c>
    </row>
    <row r="142" spans="1:8">
      <c r="A142" s="7" t="s">
        <v>16</v>
      </c>
      <c r="B142" s="9" t="s">
        <v>51</v>
      </c>
      <c r="C142" s="6">
        <v>1</v>
      </c>
      <c r="D142" s="7" t="s">
        <v>160</v>
      </c>
      <c r="E142" s="58">
        <v>46160</v>
      </c>
      <c r="F142" s="58">
        <v>46169</v>
      </c>
      <c r="G142" s="13" t="s">
        <v>40</v>
      </c>
      <c r="H142" s="84">
        <v>0</v>
      </c>
    </row>
    <row r="143" spans="1:8">
      <c r="A143" s="7" t="s">
        <v>16</v>
      </c>
      <c r="B143" s="9" t="s">
        <v>52</v>
      </c>
      <c r="C143" s="6">
        <v>1</v>
      </c>
      <c r="D143" s="7" t="s">
        <v>160</v>
      </c>
      <c r="E143" s="58">
        <v>46160</v>
      </c>
      <c r="F143" s="58">
        <v>46169</v>
      </c>
      <c r="G143" s="13" t="s">
        <v>40</v>
      </c>
      <c r="H143" s="84">
        <v>0</v>
      </c>
    </row>
    <row r="144" spans="1:8">
      <c r="A144" s="7" t="s">
        <v>16</v>
      </c>
      <c r="B144" s="9" t="s">
        <v>53</v>
      </c>
      <c r="C144" s="6">
        <v>1</v>
      </c>
      <c r="D144" s="7" t="s">
        <v>160</v>
      </c>
      <c r="E144" s="58">
        <v>46160</v>
      </c>
      <c r="F144" s="58">
        <v>46169</v>
      </c>
      <c r="G144" s="13" t="s">
        <v>40</v>
      </c>
      <c r="H144" s="84">
        <v>0</v>
      </c>
    </row>
    <row r="145" spans="1:9">
      <c r="A145" s="7" t="s">
        <v>16</v>
      </c>
      <c r="B145" s="9" t="s">
        <v>54</v>
      </c>
      <c r="C145" s="6">
        <v>1</v>
      </c>
      <c r="D145" s="7" t="s">
        <v>160</v>
      </c>
      <c r="E145" s="58">
        <v>46160</v>
      </c>
      <c r="F145" s="58">
        <v>46169</v>
      </c>
      <c r="G145" s="13" t="s">
        <v>40</v>
      </c>
      <c r="H145" s="84">
        <v>0</v>
      </c>
    </row>
    <row r="146" spans="1:9">
      <c r="A146" s="7" t="s">
        <v>16</v>
      </c>
      <c r="B146" s="9" t="s">
        <v>55</v>
      </c>
      <c r="C146" s="6">
        <v>1</v>
      </c>
      <c r="D146" s="7" t="s">
        <v>160</v>
      </c>
      <c r="E146" s="58">
        <v>46160</v>
      </c>
      <c r="F146" s="58">
        <v>46169</v>
      </c>
      <c r="G146" s="13" t="s">
        <v>40</v>
      </c>
      <c r="H146" s="84">
        <v>0</v>
      </c>
    </row>
    <row r="147" spans="1:9">
      <c r="A147" s="7" t="s">
        <v>16</v>
      </c>
      <c r="B147" s="9" t="s">
        <v>56</v>
      </c>
      <c r="C147" s="6">
        <v>1</v>
      </c>
      <c r="D147" s="7" t="s">
        <v>160</v>
      </c>
      <c r="E147" s="58">
        <v>46160</v>
      </c>
      <c r="F147" s="58">
        <v>46169</v>
      </c>
      <c r="G147" s="13" t="s">
        <v>40</v>
      </c>
      <c r="H147" s="84">
        <v>0</v>
      </c>
    </row>
    <row r="148" spans="1:9">
      <c r="A148" s="7" t="s">
        <v>16</v>
      </c>
      <c r="B148" s="9" t="s">
        <v>57</v>
      </c>
      <c r="C148" s="6">
        <v>1</v>
      </c>
      <c r="D148" s="7" t="s">
        <v>160</v>
      </c>
      <c r="E148" s="58">
        <v>46160</v>
      </c>
      <c r="F148" s="58">
        <v>46169</v>
      </c>
      <c r="G148" s="13" t="s">
        <v>40</v>
      </c>
      <c r="H148" s="84">
        <v>0</v>
      </c>
    </row>
    <row r="149" spans="1:9">
      <c r="A149" s="7" t="s">
        <v>16</v>
      </c>
      <c r="B149" s="9" t="s">
        <v>58</v>
      </c>
      <c r="C149" s="6">
        <v>1</v>
      </c>
      <c r="D149" s="7" t="s">
        <v>160</v>
      </c>
      <c r="E149" s="58">
        <v>46160</v>
      </c>
      <c r="F149" s="58">
        <v>46169</v>
      </c>
      <c r="G149" s="13" t="s">
        <v>40</v>
      </c>
      <c r="H149" s="84">
        <v>0</v>
      </c>
    </row>
    <row r="150" spans="1:9">
      <c r="A150" s="7" t="s">
        <v>16</v>
      </c>
      <c r="B150" s="9" t="s">
        <v>59</v>
      </c>
      <c r="C150" s="6">
        <v>1</v>
      </c>
      <c r="D150" s="7" t="s">
        <v>160</v>
      </c>
      <c r="E150" s="58">
        <v>46160</v>
      </c>
      <c r="F150" s="58">
        <v>46169</v>
      </c>
      <c r="G150" s="13" t="s">
        <v>40</v>
      </c>
      <c r="H150" s="84">
        <v>0</v>
      </c>
    </row>
    <row r="151" spans="1:9">
      <c r="A151" s="7" t="s">
        <v>16</v>
      </c>
      <c r="B151" s="9" t="s">
        <v>60</v>
      </c>
      <c r="C151" s="6">
        <v>1</v>
      </c>
      <c r="D151" s="7" t="s">
        <v>160</v>
      </c>
      <c r="E151" s="58">
        <v>46160</v>
      </c>
      <c r="F151" s="58">
        <v>46169</v>
      </c>
      <c r="G151" s="13" t="s">
        <v>40</v>
      </c>
      <c r="H151" s="84">
        <v>0</v>
      </c>
    </row>
    <row r="152" spans="1:9">
      <c r="A152" s="7" t="s">
        <v>16</v>
      </c>
      <c r="B152" s="9" t="s">
        <v>61</v>
      </c>
      <c r="C152" s="6">
        <v>1</v>
      </c>
      <c r="D152" s="7" t="s">
        <v>160</v>
      </c>
      <c r="E152" s="58">
        <v>46160</v>
      </c>
      <c r="F152" s="58">
        <v>46169</v>
      </c>
      <c r="G152" s="13" t="s">
        <v>40</v>
      </c>
      <c r="H152" s="84">
        <v>0</v>
      </c>
    </row>
    <row r="153" spans="1:9">
      <c r="A153" s="7" t="s">
        <v>16</v>
      </c>
      <c r="B153" s="9" t="s">
        <v>62</v>
      </c>
      <c r="C153" s="6">
        <v>1</v>
      </c>
      <c r="D153" s="7" t="s">
        <v>160</v>
      </c>
      <c r="E153" s="58">
        <v>46160</v>
      </c>
      <c r="F153" s="58">
        <v>46169</v>
      </c>
      <c r="G153" s="13" t="s">
        <v>40</v>
      </c>
      <c r="H153" s="84">
        <v>0</v>
      </c>
    </row>
    <row r="154" spans="1:9">
      <c r="A154" s="7" t="s">
        <v>16</v>
      </c>
      <c r="B154" s="9" t="s">
        <v>63</v>
      </c>
      <c r="C154" s="6">
        <v>1</v>
      </c>
      <c r="D154" s="7" t="s">
        <v>160</v>
      </c>
      <c r="E154" s="58">
        <v>46160</v>
      </c>
      <c r="F154" s="58">
        <v>46169</v>
      </c>
      <c r="G154" s="13" t="s">
        <v>40</v>
      </c>
      <c r="H154" s="84">
        <v>0</v>
      </c>
    </row>
    <row r="155" spans="1:9">
      <c r="A155" s="7" t="s">
        <v>16</v>
      </c>
      <c r="B155" s="9" t="s">
        <v>64</v>
      </c>
      <c r="C155" s="6">
        <v>1</v>
      </c>
      <c r="D155" s="7" t="s">
        <v>160</v>
      </c>
      <c r="E155" s="58">
        <v>46160</v>
      </c>
      <c r="F155" s="58">
        <v>46169</v>
      </c>
      <c r="G155" s="13" t="s">
        <v>40</v>
      </c>
      <c r="H155" s="84">
        <v>0</v>
      </c>
    </row>
    <row r="156" spans="1:9">
      <c r="A156" s="7" t="s">
        <v>16</v>
      </c>
      <c r="B156" s="9" t="s">
        <v>65</v>
      </c>
      <c r="C156" s="6">
        <v>1</v>
      </c>
      <c r="D156" s="7" t="s">
        <v>160</v>
      </c>
      <c r="E156" s="58">
        <v>46160</v>
      </c>
      <c r="F156" s="58">
        <v>46169</v>
      </c>
      <c r="G156" s="13" t="s">
        <v>40</v>
      </c>
      <c r="H156" s="84">
        <v>0</v>
      </c>
    </row>
    <row r="157" spans="1:9">
      <c r="A157" s="7" t="s">
        <v>16</v>
      </c>
      <c r="B157" s="9" t="s">
        <v>66</v>
      </c>
      <c r="C157" s="6">
        <v>1</v>
      </c>
      <c r="D157" s="7" t="s">
        <v>160</v>
      </c>
      <c r="E157" s="58">
        <v>46170</v>
      </c>
      <c r="F157" s="58">
        <v>46183</v>
      </c>
      <c r="G157" s="13" t="s">
        <v>40</v>
      </c>
      <c r="H157" s="84">
        <v>0</v>
      </c>
    </row>
    <row r="158" spans="1:9">
      <c r="A158" s="7" t="s">
        <v>16</v>
      </c>
      <c r="B158" s="9" t="s">
        <v>67</v>
      </c>
      <c r="C158" s="6">
        <v>1</v>
      </c>
      <c r="D158" s="7" t="s">
        <v>160</v>
      </c>
      <c r="E158" s="58">
        <v>46170</v>
      </c>
      <c r="F158" s="58">
        <v>46183</v>
      </c>
      <c r="G158" s="13" t="s">
        <v>40</v>
      </c>
      <c r="H158" s="84">
        <v>0</v>
      </c>
    </row>
    <row r="159" spans="1:9" s="11" customFormat="1">
      <c r="A159" s="7" t="s">
        <v>16</v>
      </c>
      <c r="B159" s="9" t="s">
        <v>68</v>
      </c>
      <c r="C159" s="6">
        <v>1</v>
      </c>
      <c r="D159" s="7" t="s">
        <v>160</v>
      </c>
      <c r="E159" s="58">
        <v>46170</v>
      </c>
      <c r="F159" s="58">
        <v>46183</v>
      </c>
      <c r="G159" s="13" t="s">
        <v>40</v>
      </c>
      <c r="H159" s="84">
        <v>0</v>
      </c>
      <c r="I159" s="2"/>
    </row>
    <row r="160" spans="1:9" s="11" customFormat="1">
      <c r="A160" s="7" t="s">
        <v>16</v>
      </c>
      <c r="B160" s="9" t="s">
        <v>69</v>
      </c>
      <c r="C160" s="6" t="s">
        <v>70</v>
      </c>
      <c r="D160" s="7" t="s">
        <v>160</v>
      </c>
      <c r="E160" s="58">
        <v>46170</v>
      </c>
      <c r="F160" s="58">
        <v>46183</v>
      </c>
      <c r="G160" s="13" t="s">
        <v>40</v>
      </c>
      <c r="H160" s="84">
        <v>0</v>
      </c>
      <c r="I160" s="2"/>
    </row>
    <row r="161" spans="1:8">
      <c r="A161" s="7" t="s">
        <v>16</v>
      </c>
      <c r="B161" s="9" t="s">
        <v>71</v>
      </c>
      <c r="C161" s="6">
        <v>1</v>
      </c>
      <c r="D161" s="7" t="s">
        <v>160</v>
      </c>
      <c r="E161" s="58">
        <v>46170</v>
      </c>
      <c r="F161" s="58">
        <v>46183</v>
      </c>
      <c r="G161" s="13" t="s">
        <v>40</v>
      </c>
      <c r="H161" s="84">
        <v>0</v>
      </c>
    </row>
    <row r="162" spans="1:8">
      <c r="A162" s="7" t="s">
        <v>16</v>
      </c>
      <c r="B162" s="9" t="s">
        <v>72</v>
      </c>
      <c r="C162" s="6">
        <v>1</v>
      </c>
      <c r="D162" s="7" t="s">
        <v>160</v>
      </c>
      <c r="E162" s="58">
        <v>46170</v>
      </c>
      <c r="F162" s="58">
        <v>46183</v>
      </c>
      <c r="G162" s="13" t="s">
        <v>40</v>
      </c>
      <c r="H162" s="84">
        <v>0</v>
      </c>
    </row>
    <row r="163" spans="1:8">
      <c r="A163" s="7" t="s">
        <v>16</v>
      </c>
      <c r="B163" s="9" t="s">
        <v>73</v>
      </c>
      <c r="C163" s="6">
        <v>1</v>
      </c>
      <c r="D163" s="7" t="s">
        <v>160</v>
      </c>
      <c r="E163" s="58">
        <v>46170</v>
      </c>
      <c r="F163" s="58">
        <v>46183</v>
      </c>
      <c r="G163" s="13" t="s">
        <v>40</v>
      </c>
      <c r="H163" s="84">
        <v>0</v>
      </c>
    </row>
    <row r="164" spans="1:8">
      <c r="A164" s="7" t="s">
        <v>16</v>
      </c>
      <c r="B164" s="9" t="s">
        <v>74</v>
      </c>
      <c r="C164" s="6">
        <v>1</v>
      </c>
      <c r="D164" s="7" t="s">
        <v>160</v>
      </c>
      <c r="E164" s="58">
        <v>46170</v>
      </c>
      <c r="F164" s="58">
        <v>46183</v>
      </c>
      <c r="G164" s="13" t="s">
        <v>40</v>
      </c>
      <c r="H164" s="84">
        <v>0</v>
      </c>
    </row>
    <row r="165" spans="1:8">
      <c r="A165" s="7" t="s">
        <v>16</v>
      </c>
      <c r="B165" s="9" t="s">
        <v>75</v>
      </c>
      <c r="C165" s="6">
        <v>1</v>
      </c>
      <c r="D165" s="7" t="s">
        <v>160</v>
      </c>
      <c r="E165" s="58">
        <v>46170</v>
      </c>
      <c r="F165" s="58">
        <v>46183</v>
      </c>
      <c r="G165" s="13" t="s">
        <v>40</v>
      </c>
      <c r="H165" s="84">
        <v>0</v>
      </c>
    </row>
    <row r="166" spans="1:8">
      <c r="A166" s="7" t="s">
        <v>16</v>
      </c>
      <c r="B166" s="9" t="s">
        <v>76</v>
      </c>
      <c r="C166" s="6">
        <v>1</v>
      </c>
      <c r="D166" s="7" t="s">
        <v>160</v>
      </c>
      <c r="E166" s="58">
        <v>46170</v>
      </c>
      <c r="F166" s="58">
        <v>46183</v>
      </c>
      <c r="G166" s="13" t="s">
        <v>40</v>
      </c>
      <c r="H166" s="84">
        <v>0</v>
      </c>
    </row>
    <row r="167" spans="1:8">
      <c r="A167" s="7" t="s">
        <v>16</v>
      </c>
      <c r="B167" s="9" t="s">
        <v>77</v>
      </c>
      <c r="C167" s="6">
        <v>1</v>
      </c>
      <c r="D167" s="7" t="s">
        <v>160</v>
      </c>
      <c r="E167" s="58">
        <v>46170</v>
      </c>
      <c r="F167" s="58">
        <v>46183</v>
      </c>
      <c r="G167" s="13" t="s">
        <v>40</v>
      </c>
      <c r="H167" s="84">
        <v>0</v>
      </c>
    </row>
    <row r="168" spans="1:8">
      <c r="A168" s="7" t="s">
        <v>16</v>
      </c>
      <c r="B168" s="9" t="s">
        <v>78</v>
      </c>
      <c r="C168" s="6">
        <v>1</v>
      </c>
      <c r="D168" s="7" t="s">
        <v>160</v>
      </c>
      <c r="E168" s="58">
        <v>46170</v>
      </c>
      <c r="F168" s="58">
        <v>46183</v>
      </c>
      <c r="G168" s="13" t="s">
        <v>40</v>
      </c>
      <c r="H168" s="84">
        <v>0</v>
      </c>
    </row>
    <row r="169" spans="1:8">
      <c r="A169" s="7" t="s">
        <v>16</v>
      </c>
      <c r="B169" s="9" t="s">
        <v>79</v>
      </c>
      <c r="C169" s="6">
        <v>1</v>
      </c>
      <c r="D169" s="7" t="s">
        <v>160</v>
      </c>
      <c r="E169" s="58">
        <v>46170</v>
      </c>
      <c r="F169" s="58">
        <v>46183</v>
      </c>
      <c r="G169" s="13" t="s">
        <v>40</v>
      </c>
      <c r="H169" s="84">
        <v>0</v>
      </c>
    </row>
    <row r="170" spans="1:8">
      <c r="A170" s="7" t="s">
        <v>16</v>
      </c>
      <c r="B170" s="9" t="s">
        <v>80</v>
      </c>
      <c r="C170" s="6">
        <v>1</v>
      </c>
      <c r="D170" s="7" t="s">
        <v>160</v>
      </c>
      <c r="E170" s="58">
        <v>46170</v>
      </c>
      <c r="F170" s="58">
        <v>46183</v>
      </c>
      <c r="G170" s="13" t="s">
        <v>40</v>
      </c>
      <c r="H170" s="84">
        <v>0</v>
      </c>
    </row>
    <row r="171" spans="1:8">
      <c r="A171" s="7" t="s">
        <v>16</v>
      </c>
      <c r="B171" s="9" t="s">
        <v>81</v>
      </c>
      <c r="C171" s="6">
        <v>1</v>
      </c>
      <c r="D171" s="7" t="s">
        <v>160</v>
      </c>
      <c r="E171" s="58">
        <v>46170</v>
      </c>
      <c r="F171" s="58">
        <v>46183</v>
      </c>
      <c r="G171" s="13" t="s">
        <v>40</v>
      </c>
      <c r="H171" s="84">
        <v>0</v>
      </c>
    </row>
    <row r="172" spans="1:8">
      <c r="A172" s="7" t="s">
        <v>16</v>
      </c>
      <c r="B172" s="9" t="s">
        <v>82</v>
      </c>
      <c r="C172" s="6">
        <v>1</v>
      </c>
      <c r="D172" s="7" t="s">
        <v>160</v>
      </c>
      <c r="E172" s="58">
        <v>46170</v>
      </c>
      <c r="F172" s="58">
        <v>46183</v>
      </c>
      <c r="G172" s="13" t="s">
        <v>40</v>
      </c>
      <c r="H172" s="84">
        <v>0</v>
      </c>
    </row>
    <row r="173" spans="1:8">
      <c r="A173" s="7" t="s">
        <v>16</v>
      </c>
      <c r="B173" s="9" t="s">
        <v>83</v>
      </c>
      <c r="C173" s="6">
        <v>1</v>
      </c>
      <c r="D173" s="7" t="s">
        <v>160</v>
      </c>
      <c r="E173" s="58">
        <v>46170</v>
      </c>
      <c r="F173" s="58">
        <v>46183</v>
      </c>
      <c r="G173" s="13" t="s">
        <v>40</v>
      </c>
      <c r="H173" s="84">
        <v>0</v>
      </c>
    </row>
    <row r="174" spans="1:8">
      <c r="A174" s="7" t="s">
        <v>16</v>
      </c>
      <c r="B174" s="9" t="s">
        <v>84</v>
      </c>
      <c r="C174" s="6">
        <v>1</v>
      </c>
      <c r="D174" s="7" t="s">
        <v>160</v>
      </c>
      <c r="E174" s="58">
        <v>46170</v>
      </c>
      <c r="F174" s="58">
        <v>46183</v>
      </c>
      <c r="G174" s="13" t="s">
        <v>40</v>
      </c>
      <c r="H174" s="84">
        <v>0</v>
      </c>
    </row>
    <row r="175" spans="1:8">
      <c r="A175" s="7" t="s">
        <v>16</v>
      </c>
      <c r="B175" s="9" t="s">
        <v>85</v>
      </c>
      <c r="C175" s="6">
        <v>1</v>
      </c>
      <c r="D175" s="7" t="s">
        <v>160</v>
      </c>
      <c r="E175" s="58">
        <v>46170</v>
      </c>
      <c r="F175" s="58">
        <v>46183</v>
      </c>
      <c r="G175" s="13" t="s">
        <v>40</v>
      </c>
      <c r="H175" s="84">
        <v>0</v>
      </c>
    </row>
    <row r="176" spans="1:8">
      <c r="A176" s="7" t="s">
        <v>16</v>
      </c>
      <c r="B176" s="9" t="s">
        <v>86</v>
      </c>
      <c r="C176" s="6">
        <v>1</v>
      </c>
      <c r="D176" s="7" t="s">
        <v>160</v>
      </c>
      <c r="E176" s="58">
        <v>46170</v>
      </c>
      <c r="F176" s="58">
        <v>46183</v>
      </c>
      <c r="G176" s="13" t="s">
        <v>40</v>
      </c>
      <c r="H176" s="84">
        <v>0</v>
      </c>
    </row>
    <row r="177" spans="1:8">
      <c r="A177" s="7" t="s">
        <v>16</v>
      </c>
      <c r="B177" s="9" t="s">
        <v>87</v>
      </c>
      <c r="C177" s="6">
        <v>1</v>
      </c>
      <c r="D177" s="7" t="s">
        <v>160</v>
      </c>
      <c r="E177" s="58">
        <v>46170</v>
      </c>
      <c r="F177" s="58">
        <v>46183</v>
      </c>
      <c r="G177" s="13" t="s">
        <v>40</v>
      </c>
      <c r="H177" s="84">
        <v>0</v>
      </c>
    </row>
    <row r="178" spans="1:8">
      <c r="A178" s="7" t="s">
        <v>16</v>
      </c>
      <c r="B178" s="9" t="s">
        <v>88</v>
      </c>
      <c r="C178" s="6">
        <v>1</v>
      </c>
      <c r="D178" s="7" t="s">
        <v>160</v>
      </c>
      <c r="E178" s="58">
        <v>46170</v>
      </c>
      <c r="F178" s="58">
        <v>46183</v>
      </c>
      <c r="G178" s="13" t="s">
        <v>40</v>
      </c>
      <c r="H178" s="84">
        <v>0</v>
      </c>
    </row>
    <row r="179" spans="1:8">
      <c r="A179" s="7" t="s">
        <v>16</v>
      </c>
      <c r="B179" s="9" t="s">
        <v>89</v>
      </c>
      <c r="C179" s="6">
        <v>1</v>
      </c>
      <c r="D179" s="7" t="s">
        <v>160</v>
      </c>
      <c r="E179" s="58">
        <v>46170</v>
      </c>
      <c r="F179" s="58">
        <v>46183</v>
      </c>
      <c r="G179" s="13" t="s">
        <v>40</v>
      </c>
      <c r="H179" s="84">
        <v>0</v>
      </c>
    </row>
    <row r="180" spans="1:8">
      <c r="A180" s="7" t="s">
        <v>16</v>
      </c>
      <c r="B180" s="9" t="s">
        <v>90</v>
      </c>
      <c r="C180" s="6">
        <v>1</v>
      </c>
      <c r="D180" s="7" t="s">
        <v>160</v>
      </c>
      <c r="E180" s="58">
        <v>46170</v>
      </c>
      <c r="F180" s="58">
        <v>46183</v>
      </c>
      <c r="G180" s="13" t="s">
        <v>40</v>
      </c>
      <c r="H180" s="84">
        <v>0</v>
      </c>
    </row>
    <row r="181" spans="1:8">
      <c r="A181" s="7" t="s">
        <v>16</v>
      </c>
      <c r="B181" s="9" t="s">
        <v>91</v>
      </c>
      <c r="C181" s="6">
        <v>1</v>
      </c>
      <c r="D181" s="7" t="s">
        <v>160</v>
      </c>
      <c r="E181" s="58">
        <v>46170</v>
      </c>
      <c r="F181" s="58">
        <v>46183</v>
      </c>
      <c r="G181" s="13" t="s">
        <v>40</v>
      </c>
      <c r="H181" s="84">
        <v>0</v>
      </c>
    </row>
    <row r="182" spans="1:8">
      <c r="A182" s="7" t="s">
        <v>16</v>
      </c>
      <c r="B182" s="9" t="s">
        <v>92</v>
      </c>
      <c r="C182" s="6">
        <v>1</v>
      </c>
      <c r="D182" s="7" t="s">
        <v>160</v>
      </c>
      <c r="E182" s="58">
        <v>46170</v>
      </c>
      <c r="F182" s="58">
        <v>46183</v>
      </c>
      <c r="G182" s="13" t="s">
        <v>40</v>
      </c>
      <c r="H182" s="84">
        <v>0</v>
      </c>
    </row>
    <row r="183" spans="1:8">
      <c r="A183" s="7" t="s">
        <v>16</v>
      </c>
      <c r="B183" s="9" t="s">
        <v>93</v>
      </c>
      <c r="C183" s="6">
        <v>1</v>
      </c>
      <c r="D183" s="7" t="s">
        <v>160</v>
      </c>
      <c r="E183" s="58">
        <v>46170</v>
      </c>
      <c r="F183" s="58">
        <v>46183</v>
      </c>
      <c r="G183" s="13" t="s">
        <v>40</v>
      </c>
      <c r="H183" s="84">
        <v>0</v>
      </c>
    </row>
    <row r="184" spans="1:8">
      <c r="A184" s="7" t="s">
        <v>16</v>
      </c>
      <c r="B184" s="9" t="s">
        <v>94</v>
      </c>
      <c r="C184" s="6">
        <v>1</v>
      </c>
      <c r="D184" s="7" t="s">
        <v>160</v>
      </c>
      <c r="E184" s="58">
        <v>46170</v>
      </c>
      <c r="F184" s="58">
        <v>46183</v>
      </c>
      <c r="G184" s="13" t="s">
        <v>40</v>
      </c>
      <c r="H184" s="84">
        <v>0</v>
      </c>
    </row>
    <row r="185" spans="1:8">
      <c r="A185" s="7" t="s">
        <v>16</v>
      </c>
      <c r="B185" s="9" t="s">
        <v>95</v>
      </c>
      <c r="C185" s="6">
        <v>1</v>
      </c>
      <c r="D185" s="7" t="s">
        <v>160</v>
      </c>
      <c r="E185" s="58">
        <v>46170</v>
      </c>
      <c r="F185" s="58">
        <v>46183</v>
      </c>
      <c r="G185" s="13" t="s">
        <v>40</v>
      </c>
      <c r="H185" s="84">
        <v>0</v>
      </c>
    </row>
    <row r="186" spans="1:8">
      <c r="A186" s="7" t="s">
        <v>16</v>
      </c>
      <c r="B186" s="9" t="s">
        <v>96</v>
      </c>
      <c r="C186" s="6">
        <v>1</v>
      </c>
      <c r="D186" s="7" t="s">
        <v>160</v>
      </c>
      <c r="E186" s="58">
        <v>46170</v>
      </c>
      <c r="F186" s="58">
        <v>46183</v>
      </c>
      <c r="G186" s="13" t="s">
        <v>40</v>
      </c>
      <c r="H186" s="84">
        <v>0</v>
      </c>
    </row>
    <row r="187" spans="1:8">
      <c r="A187" s="7" t="s">
        <v>16</v>
      </c>
      <c r="B187" s="9" t="s">
        <v>97</v>
      </c>
      <c r="C187" s="6">
        <v>1</v>
      </c>
      <c r="D187" s="7" t="s">
        <v>160</v>
      </c>
      <c r="E187" s="58">
        <v>46170</v>
      </c>
      <c r="F187" s="58">
        <v>46183</v>
      </c>
      <c r="G187" s="13" t="s">
        <v>40</v>
      </c>
      <c r="H187" s="84">
        <v>0</v>
      </c>
    </row>
    <row r="188" spans="1:8">
      <c r="A188" s="7" t="s">
        <v>16</v>
      </c>
      <c r="B188" s="9" t="s">
        <v>98</v>
      </c>
      <c r="C188" s="6">
        <v>1</v>
      </c>
      <c r="D188" s="7" t="s">
        <v>160</v>
      </c>
      <c r="E188" s="58">
        <v>46184</v>
      </c>
      <c r="F188" s="58">
        <v>46197</v>
      </c>
      <c r="G188" s="13" t="s">
        <v>40</v>
      </c>
      <c r="H188" s="84">
        <v>0</v>
      </c>
    </row>
    <row r="189" spans="1:8">
      <c r="A189" s="7" t="s">
        <v>16</v>
      </c>
      <c r="B189" s="9" t="s">
        <v>99</v>
      </c>
      <c r="C189" s="6">
        <v>1</v>
      </c>
      <c r="D189" s="7" t="s">
        <v>160</v>
      </c>
      <c r="E189" s="58">
        <v>46184</v>
      </c>
      <c r="F189" s="58">
        <v>46197</v>
      </c>
      <c r="G189" s="13" t="s">
        <v>40</v>
      </c>
      <c r="H189" s="84">
        <v>0</v>
      </c>
    </row>
    <row r="190" spans="1:8">
      <c r="A190" s="7" t="s">
        <v>16</v>
      </c>
      <c r="B190" s="9" t="s">
        <v>100</v>
      </c>
      <c r="C190" s="6">
        <v>1</v>
      </c>
      <c r="D190" s="7" t="s">
        <v>160</v>
      </c>
      <c r="E190" s="58">
        <v>46184</v>
      </c>
      <c r="F190" s="58">
        <v>46197</v>
      </c>
      <c r="G190" s="13" t="s">
        <v>40</v>
      </c>
      <c r="H190" s="84">
        <v>0</v>
      </c>
    </row>
    <row r="191" spans="1:8">
      <c r="A191" s="7" t="s">
        <v>16</v>
      </c>
      <c r="B191" s="9" t="s">
        <v>101</v>
      </c>
      <c r="C191" s="6">
        <v>1</v>
      </c>
      <c r="D191" s="7" t="s">
        <v>160</v>
      </c>
      <c r="E191" s="58">
        <v>46184</v>
      </c>
      <c r="F191" s="58">
        <v>46197</v>
      </c>
      <c r="G191" s="13" t="s">
        <v>40</v>
      </c>
      <c r="H191" s="84">
        <v>0</v>
      </c>
    </row>
    <row r="192" spans="1:8">
      <c r="A192" s="7" t="s">
        <v>16</v>
      </c>
      <c r="B192" s="9" t="s">
        <v>102</v>
      </c>
      <c r="C192" s="6">
        <v>1</v>
      </c>
      <c r="D192" s="7" t="s">
        <v>160</v>
      </c>
      <c r="E192" s="58">
        <v>46184</v>
      </c>
      <c r="F192" s="58">
        <v>46197</v>
      </c>
      <c r="G192" s="13" t="s">
        <v>40</v>
      </c>
      <c r="H192" s="84">
        <v>0</v>
      </c>
    </row>
    <row r="193" spans="1:8">
      <c r="A193" s="7" t="s">
        <v>16</v>
      </c>
      <c r="B193" s="9" t="s">
        <v>103</v>
      </c>
      <c r="C193" s="6">
        <v>1</v>
      </c>
      <c r="D193" s="7" t="s">
        <v>160</v>
      </c>
      <c r="E193" s="58">
        <v>46184</v>
      </c>
      <c r="F193" s="58">
        <v>46197</v>
      </c>
      <c r="G193" s="13" t="s">
        <v>40</v>
      </c>
      <c r="H193" s="84">
        <v>0</v>
      </c>
    </row>
    <row r="194" spans="1:8">
      <c r="A194" s="7" t="s">
        <v>16</v>
      </c>
      <c r="B194" s="9" t="s">
        <v>104</v>
      </c>
      <c r="C194" s="6">
        <v>1</v>
      </c>
      <c r="D194" s="7" t="s">
        <v>160</v>
      </c>
      <c r="E194" s="58">
        <v>46184</v>
      </c>
      <c r="F194" s="58">
        <v>46197</v>
      </c>
      <c r="G194" s="13" t="s">
        <v>40</v>
      </c>
      <c r="H194" s="84">
        <v>0</v>
      </c>
    </row>
    <row r="195" spans="1:8">
      <c r="A195" s="7" t="s">
        <v>16</v>
      </c>
      <c r="B195" s="9" t="s">
        <v>105</v>
      </c>
      <c r="C195" s="6">
        <v>1</v>
      </c>
      <c r="D195" s="7" t="s">
        <v>160</v>
      </c>
      <c r="E195" s="58">
        <v>46184</v>
      </c>
      <c r="F195" s="58">
        <v>46197</v>
      </c>
      <c r="G195" s="13" t="s">
        <v>40</v>
      </c>
      <c r="H195" s="84">
        <v>0</v>
      </c>
    </row>
    <row r="196" spans="1:8">
      <c r="A196" s="7" t="s">
        <v>16</v>
      </c>
      <c r="B196" s="9" t="s">
        <v>106</v>
      </c>
      <c r="C196" s="6">
        <v>1</v>
      </c>
      <c r="D196" s="7" t="s">
        <v>160</v>
      </c>
      <c r="E196" s="58">
        <v>46184</v>
      </c>
      <c r="F196" s="58">
        <v>46197</v>
      </c>
      <c r="G196" s="13" t="s">
        <v>40</v>
      </c>
      <c r="H196" s="84">
        <v>0</v>
      </c>
    </row>
    <row r="197" spans="1:8">
      <c r="A197" s="7" t="s">
        <v>16</v>
      </c>
      <c r="B197" s="9" t="s">
        <v>107</v>
      </c>
      <c r="C197" s="6">
        <v>1</v>
      </c>
      <c r="D197" s="7" t="s">
        <v>160</v>
      </c>
      <c r="E197" s="58">
        <v>46184</v>
      </c>
      <c r="F197" s="58">
        <v>46197</v>
      </c>
      <c r="G197" s="13" t="s">
        <v>40</v>
      </c>
      <c r="H197" s="84">
        <v>0</v>
      </c>
    </row>
    <row r="198" spans="1:8">
      <c r="A198" s="7" t="s">
        <v>16</v>
      </c>
      <c r="B198" s="9" t="s">
        <v>108</v>
      </c>
      <c r="C198" s="6">
        <v>1</v>
      </c>
      <c r="D198" s="7" t="s">
        <v>160</v>
      </c>
      <c r="E198" s="58">
        <v>46184</v>
      </c>
      <c r="F198" s="58">
        <v>46197</v>
      </c>
      <c r="G198" s="13" t="s">
        <v>40</v>
      </c>
      <c r="H198" s="84">
        <v>0</v>
      </c>
    </row>
    <row r="199" spans="1:8">
      <c r="A199" s="7" t="s">
        <v>16</v>
      </c>
      <c r="B199" s="9" t="s">
        <v>109</v>
      </c>
      <c r="C199" s="6">
        <v>1</v>
      </c>
      <c r="D199" s="7" t="s">
        <v>160</v>
      </c>
      <c r="E199" s="58">
        <v>46184</v>
      </c>
      <c r="F199" s="58">
        <v>46197</v>
      </c>
      <c r="G199" s="13" t="s">
        <v>40</v>
      </c>
      <c r="H199" s="84">
        <v>0</v>
      </c>
    </row>
    <row r="200" spans="1:8">
      <c r="A200" s="7" t="s">
        <v>16</v>
      </c>
      <c r="B200" s="9" t="s">
        <v>110</v>
      </c>
      <c r="C200" s="6">
        <v>1</v>
      </c>
      <c r="D200" s="7" t="s">
        <v>160</v>
      </c>
      <c r="E200" s="58">
        <v>46184</v>
      </c>
      <c r="F200" s="58">
        <v>46197</v>
      </c>
      <c r="G200" s="13" t="s">
        <v>40</v>
      </c>
      <c r="H200" s="84">
        <v>0</v>
      </c>
    </row>
    <row r="201" spans="1:8">
      <c r="A201" s="7" t="s">
        <v>16</v>
      </c>
      <c r="B201" s="9" t="s">
        <v>111</v>
      </c>
      <c r="C201" s="6">
        <v>1</v>
      </c>
      <c r="D201" s="7" t="s">
        <v>160</v>
      </c>
      <c r="E201" s="58">
        <v>46184</v>
      </c>
      <c r="F201" s="58">
        <v>46197</v>
      </c>
      <c r="G201" s="13" t="s">
        <v>40</v>
      </c>
      <c r="H201" s="84">
        <v>0</v>
      </c>
    </row>
    <row r="202" spans="1:8">
      <c r="A202" s="7" t="s">
        <v>16</v>
      </c>
      <c r="B202" s="9" t="s">
        <v>112</v>
      </c>
      <c r="C202" s="6">
        <v>1</v>
      </c>
      <c r="D202" s="7" t="s">
        <v>160</v>
      </c>
      <c r="E202" s="58">
        <v>46184</v>
      </c>
      <c r="F202" s="58">
        <v>46197</v>
      </c>
      <c r="G202" s="13" t="s">
        <v>40</v>
      </c>
      <c r="H202" s="84">
        <v>0</v>
      </c>
    </row>
    <row r="203" spans="1:8">
      <c r="A203" s="7" t="s">
        <v>16</v>
      </c>
      <c r="B203" s="9" t="s">
        <v>113</v>
      </c>
      <c r="C203" s="6">
        <v>1</v>
      </c>
      <c r="D203" s="7" t="s">
        <v>160</v>
      </c>
      <c r="E203" s="58">
        <v>46184</v>
      </c>
      <c r="F203" s="58">
        <v>46197</v>
      </c>
      <c r="G203" s="13" t="s">
        <v>40</v>
      </c>
      <c r="H203" s="84">
        <v>0</v>
      </c>
    </row>
    <row r="204" spans="1:8">
      <c r="A204" s="7" t="s">
        <v>16</v>
      </c>
      <c r="B204" s="9" t="s">
        <v>114</v>
      </c>
      <c r="C204" s="6">
        <v>1</v>
      </c>
      <c r="D204" s="7" t="s">
        <v>160</v>
      </c>
      <c r="E204" s="58">
        <v>46184</v>
      </c>
      <c r="F204" s="58">
        <v>46197</v>
      </c>
      <c r="G204" s="13" t="s">
        <v>40</v>
      </c>
      <c r="H204" s="84">
        <v>0</v>
      </c>
    </row>
    <row r="205" spans="1:8">
      <c r="A205" s="7" t="s">
        <v>16</v>
      </c>
      <c r="B205" s="9" t="s">
        <v>115</v>
      </c>
      <c r="C205" s="6">
        <v>1</v>
      </c>
      <c r="D205" s="7" t="s">
        <v>160</v>
      </c>
      <c r="E205" s="58">
        <v>46184</v>
      </c>
      <c r="F205" s="58">
        <v>46197</v>
      </c>
      <c r="G205" s="13" t="s">
        <v>40</v>
      </c>
      <c r="H205" s="84">
        <v>0</v>
      </c>
    </row>
    <row r="206" spans="1:8">
      <c r="A206" s="7" t="s">
        <v>16</v>
      </c>
      <c r="B206" s="9" t="s">
        <v>116</v>
      </c>
      <c r="C206" s="6">
        <v>1</v>
      </c>
      <c r="D206" s="7" t="s">
        <v>160</v>
      </c>
      <c r="E206" s="58">
        <v>46184</v>
      </c>
      <c r="F206" s="58">
        <v>46197</v>
      </c>
      <c r="G206" s="13" t="s">
        <v>40</v>
      </c>
      <c r="H206" s="84">
        <v>0</v>
      </c>
    </row>
    <row r="207" spans="1:8">
      <c r="A207" s="7" t="s">
        <v>16</v>
      </c>
      <c r="B207" s="9" t="s">
        <v>117</v>
      </c>
      <c r="C207" s="6">
        <v>1</v>
      </c>
      <c r="D207" s="7" t="s">
        <v>160</v>
      </c>
      <c r="E207" s="58">
        <v>46184</v>
      </c>
      <c r="F207" s="58">
        <v>46197</v>
      </c>
      <c r="G207" s="13" t="s">
        <v>40</v>
      </c>
      <c r="H207" s="84">
        <v>0</v>
      </c>
    </row>
    <row r="208" spans="1:8">
      <c r="A208" s="7" t="s">
        <v>16</v>
      </c>
      <c r="B208" s="9" t="s">
        <v>118</v>
      </c>
      <c r="C208" s="6">
        <v>1</v>
      </c>
      <c r="D208" s="7" t="s">
        <v>160</v>
      </c>
      <c r="E208" s="58">
        <v>46184</v>
      </c>
      <c r="F208" s="58">
        <v>46197</v>
      </c>
      <c r="G208" s="13" t="s">
        <v>40</v>
      </c>
      <c r="H208" s="84">
        <v>0</v>
      </c>
    </row>
    <row r="209" spans="1:8">
      <c r="A209" s="7" t="s">
        <v>16</v>
      </c>
      <c r="B209" s="9" t="s">
        <v>119</v>
      </c>
      <c r="C209" s="6">
        <v>1</v>
      </c>
      <c r="D209" s="7" t="s">
        <v>160</v>
      </c>
      <c r="E209" s="58">
        <v>46184</v>
      </c>
      <c r="F209" s="58">
        <v>46197</v>
      </c>
      <c r="G209" s="13" t="s">
        <v>40</v>
      </c>
      <c r="H209" s="84">
        <v>0</v>
      </c>
    </row>
    <row r="210" spans="1:8">
      <c r="A210" s="7" t="s">
        <v>16</v>
      </c>
      <c r="B210" s="9" t="s">
        <v>120</v>
      </c>
      <c r="C210" s="6">
        <v>1</v>
      </c>
      <c r="D210" s="7" t="s">
        <v>160</v>
      </c>
      <c r="E210" s="58">
        <v>46184</v>
      </c>
      <c r="F210" s="58">
        <v>46197</v>
      </c>
      <c r="G210" s="13" t="s">
        <v>40</v>
      </c>
      <c r="H210" s="84">
        <v>0</v>
      </c>
    </row>
    <row r="211" spans="1:8">
      <c r="A211" s="7" t="s">
        <v>16</v>
      </c>
      <c r="B211" s="9" t="s">
        <v>121</v>
      </c>
      <c r="C211" s="6">
        <v>1</v>
      </c>
      <c r="D211" s="7" t="s">
        <v>160</v>
      </c>
      <c r="E211" s="58">
        <v>46184</v>
      </c>
      <c r="F211" s="58">
        <v>46197</v>
      </c>
      <c r="G211" s="13" t="s">
        <v>40</v>
      </c>
      <c r="H211" s="84">
        <v>0</v>
      </c>
    </row>
    <row r="212" spans="1:8">
      <c r="A212" s="7" t="s">
        <v>16</v>
      </c>
      <c r="B212" s="9" t="s">
        <v>122</v>
      </c>
      <c r="C212" s="6">
        <v>1</v>
      </c>
      <c r="D212" s="7" t="s">
        <v>160</v>
      </c>
      <c r="E212" s="58">
        <v>46184</v>
      </c>
      <c r="F212" s="58">
        <v>46197</v>
      </c>
      <c r="G212" s="13" t="s">
        <v>40</v>
      </c>
      <c r="H212" s="84">
        <v>0</v>
      </c>
    </row>
    <row r="213" spans="1:8">
      <c r="A213" s="7" t="s">
        <v>16</v>
      </c>
      <c r="B213" s="9" t="s">
        <v>123</v>
      </c>
      <c r="C213" s="6">
        <v>1</v>
      </c>
      <c r="D213" s="7" t="s">
        <v>160</v>
      </c>
      <c r="E213" s="58">
        <v>46184</v>
      </c>
      <c r="F213" s="58">
        <v>46197</v>
      </c>
      <c r="G213" s="13" t="s">
        <v>40</v>
      </c>
      <c r="H213" s="84">
        <v>0</v>
      </c>
    </row>
    <row r="214" spans="1:8">
      <c r="A214" s="7" t="s">
        <v>16</v>
      </c>
      <c r="B214" s="9" t="s">
        <v>124</v>
      </c>
      <c r="C214" s="6">
        <v>1</v>
      </c>
      <c r="D214" s="7" t="s">
        <v>160</v>
      </c>
      <c r="E214" s="58">
        <v>46184</v>
      </c>
      <c r="F214" s="58">
        <v>46197</v>
      </c>
      <c r="G214" s="13" t="s">
        <v>40</v>
      </c>
      <c r="H214" s="84">
        <v>0</v>
      </c>
    </row>
    <row r="215" spans="1:8">
      <c r="A215" s="7" t="s">
        <v>16</v>
      </c>
      <c r="B215" s="9" t="s">
        <v>125</v>
      </c>
      <c r="C215" s="6">
        <v>1</v>
      </c>
      <c r="D215" s="7" t="s">
        <v>160</v>
      </c>
      <c r="E215" s="58">
        <v>46184</v>
      </c>
      <c r="F215" s="58">
        <v>46197</v>
      </c>
      <c r="G215" s="13" t="s">
        <v>40</v>
      </c>
      <c r="H215" s="84">
        <v>0</v>
      </c>
    </row>
    <row r="216" spans="1:8">
      <c r="A216" s="7" t="s">
        <v>16</v>
      </c>
      <c r="B216" s="9" t="s">
        <v>126</v>
      </c>
      <c r="C216" s="6">
        <v>1</v>
      </c>
      <c r="D216" s="7" t="s">
        <v>160</v>
      </c>
      <c r="E216" s="58">
        <v>46184</v>
      </c>
      <c r="F216" s="58">
        <v>46197</v>
      </c>
      <c r="G216" s="13" t="s">
        <v>40</v>
      </c>
      <c r="H216" s="84">
        <v>0</v>
      </c>
    </row>
    <row r="217" spans="1:8">
      <c r="A217" s="7" t="s">
        <v>16</v>
      </c>
      <c r="B217" s="9" t="s">
        <v>127</v>
      </c>
      <c r="C217" s="6">
        <v>1</v>
      </c>
      <c r="D217" s="7" t="s">
        <v>160</v>
      </c>
      <c r="E217" s="58">
        <v>46184</v>
      </c>
      <c r="F217" s="58">
        <v>46197</v>
      </c>
      <c r="G217" s="13" t="s">
        <v>40</v>
      </c>
      <c r="H217" s="84">
        <v>0</v>
      </c>
    </row>
    <row r="218" spans="1:8">
      <c r="A218" s="7" t="s">
        <v>16</v>
      </c>
      <c r="B218" s="9" t="s">
        <v>128</v>
      </c>
      <c r="C218" s="6">
        <v>1</v>
      </c>
      <c r="D218" s="7" t="s">
        <v>160</v>
      </c>
      <c r="E218" s="58">
        <v>46184</v>
      </c>
      <c r="F218" s="58">
        <v>46197</v>
      </c>
      <c r="G218" s="13" t="s">
        <v>40</v>
      </c>
      <c r="H218" s="84">
        <v>0</v>
      </c>
    </row>
    <row r="219" spans="1:8">
      <c r="A219" s="7" t="s">
        <v>16</v>
      </c>
      <c r="B219" s="9" t="s">
        <v>129</v>
      </c>
      <c r="C219" s="6">
        <v>1</v>
      </c>
      <c r="D219" s="7" t="s">
        <v>160</v>
      </c>
      <c r="E219" s="58">
        <v>46198</v>
      </c>
      <c r="F219" s="58">
        <v>46211</v>
      </c>
      <c r="G219" s="13" t="s">
        <v>40</v>
      </c>
      <c r="H219" s="84">
        <v>0</v>
      </c>
    </row>
    <row r="220" spans="1:8">
      <c r="A220" s="7" t="s">
        <v>16</v>
      </c>
      <c r="B220" s="9" t="s">
        <v>130</v>
      </c>
      <c r="C220" s="6">
        <v>1</v>
      </c>
      <c r="D220" s="7" t="s">
        <v>160</v>
      </c>
      <c r="E220" s="58">
        <v>46198</v>
      </c>
      <c r="F220" s="58">
        <v>46211</v>
      </c>
      <c r="G220" s="13" t="s">
        <v>40</v>
      </c>
      <c r="H220" s="84">
        <v>0</v>
      </c>
    </row>
    <row r="221" spans="1:8">
      <c r="A221" s="7" t="s">
        <v>16</v>
      </c>
      <c r="B221" s="9" t="s">
        <v>131</v>
      </c>
      <c r="C221" s="6">
        <v>1</v>
      </c>
      <c r="D221" s="7" t="s">
        <v>160</v>
      </c>
      <c r="E221" s="58">
        <v>46198</v>
      </c>
      <c r="F221" s="58">
        <v>46211</v>
      </c>
      <c r="G221" s="13" t="s">
        <v>40</v>
      </c>
      <c r="H221" s="84">
        <v>0</v>
      </c>
    </row>
    <row r="222" spans="1:8">
      <c r="A222" s="7" t="s">
        <v>16</v>
      </c>
      <c r="B222" s="9" t="s">
        <v>132</v>
      </c>
      <c r="C222" s="6">
        <v>1</v>
      </c>
      <c r="D222" s="7" t="s">
        <v>160</v>
      </c>
      <c r="E222" s="58">
        <v>46198</v>
      </c>
      <c r="F222" s="58">
        <v>46211</v>
      </c>
      <c r="G222" s="13" t="s">
        <v>40</v>
      </c>
      <c r="H222" s="84">
        <v>0</v>
      </c>
    </row>
    <row r="223" spans="1:8">
      <c r="A223" s="7" t="s">
        <v>16</v>
      </c>
      <c r="B223" s="9" t="s">
        <v>133</v>
      </c>
      <c r="C223" s="6">
        <v>1</v>
      </c>
      <c r="D223" s="7" t="s">
        <v>160</v>
      </c>
      <c r="E223" s="58">
        <v>46198</v>
      </c>
      <c r="F223" s="58">
        <v>46211</v>
      </c>
      <c r="G223" s="13" t="s">
        <v>40</v>
      </c>
      <c r="H223" s="84">
        <v>0</v>
      </c>
    </row>
    <row r="224" spans="1:8">
      <c r="A224" s="7" t="s">
        <v>16</v>
      </c>
      <c r="B224" s="9" t="s">
        <v>134</v>
      </c>
      <c r="C224" s="6">
        <v>1</v>
      </c>
      <c r="D224" s="7" t="s">
        <v>160</v>
      </c>
      <c r="E224" s="58">
        <v>46198</v>
      </c>
      <c r="F224" s="58">
        <v>46211</v>
      </c>
      <c r="G224" s="13" t="s">
        <v>40</v>
      </c>
      <c r="H224" s="84">
        <v>0</v>
      </c>
    </row>
    <row r="225" spans="1:8">
      <c r="A225" s="7" t="s">
        <v>16</v>
      </c>
      <c r="B225" s="9" t="s">
        <v>135</v>
      </c>
      <c r="C225" s="6">
        <v>1</v>
      </c>
      <c r="D225" s="7" t="s">
        <v>160</v>
      </c>
      <c r="E225" s="58">
        <v>46198</v>
      </c>
      <c r="F225" s="58">
        <v>46211</v>
      </c>
      <c r="G225" s="13" t="s">
        <v>40</v>
      </c>
      <c r="H225" s="84">
        <v>0</v>
      </c>
    </row>
    <row r="226" spans="1:8">
      <c r="A226" s="7" t="s">
        <v>16</v>
      </c>
      <c r="B226" s="9" t="s">
        <v>136</v>
      </c>
      <c r="C226" s="6">
        <v>1</v>
      </c>
      <c r="D226" s="7" t="s">
        <v>160</v>
      </c>
      <c r="E226" s="58">
        <v>46198</v>
      </c>
      <c r="F226" s="58">
        <v>46211</v>
      </c>
      <c r="G226" s="13" t="s">
        <v>40</v>
      </c>
      <c r="H226" s="84">
        <v>0</v>
      </c>
    </row>
    <row r="227" spans="1:8">
      <c r="A227" s="7" t="s">
        <v>16</v>
      </c>
      <c r="B227" s="9" t="s">
        <v>137</v>
      </c>
      <c r="C227" s="6">
        <v>1</v>
      </c>
      <c r="D227" s="7" t="s">
        <v>160</v>
      </c>
      <c r="E227" s="58">
        <v>46198</v>
      </c>
      <c r="F227" s="58">
        <v>46211</v>
      </c>
      <c r="G227" s="13" t="s">
        <v>40</v>
      </c>
      <c r="H227" s="84">
        <v>0</v>
      </c>
    </row>
    <row r="228" spans="1:8">
      <c r="A228" s="7" t="s">
        <v>16</v>
      </c>
      <c r="B228" s="9" t="s">
        <v>138</v>
      </c>
      <c r="C228" s="6">
        <v>1</v>
      </c>
      <c r="D228" s="7" t="s">
        <v>160</v>
      </c>
      <c r="E228" s="58">
        <v>46198</v>
      </c>
      <c r="F228" s="58">
        <v>46211</v>
      </c>
      <c r="G228" s="13" t="s">
        <v>40</v>
      </c>
      <c r="H228" s="84">
        <v>0</v>
      </c>
    </row>
    <row r="229" spans="1:8">
      <c r="A229" s="7" t="s">
        <v>16</v>
      </c>
      <c r="B229" s="9" t="s">
        <v>139</v>
      </c>
      <c r="C229" s="6">
        <v>1</v>
      </c>
      <c r="D229" s="7" t="s">
        <v>160</v>
      </c>
      <c r="E229" s="58">
        <v>46198</v>
      </c>
      <c r="F229" s="58">
        <v>46211</v>
      </c>
      <c r="G229" s="13" t="s">
        <v>40</v>
      </c>
      <c r="H229" s="84">
        <v>0</v>
      </c>
    </row>
    <row r="230" spans="1:8">
      <c r="A230" s="7" t="s">
        <v>16</v>
      </c>
      <c r="B230" s="9" t="s">
        <v>140</v>
      </c>
      <c r="C230" s="6">
        <v>1</v>
      </c>
      <c r="D230" s="7" t="s">
        <v>160</v>
      </c>
      <c r="E230" s="58">
        <v>46198</v>
      </c>
      <c r="F230" s="58">
        <v>46211</v>
      </c>
      <c r="G230" s="13" t="s">
        <v>40</v>
      </c>
      <c r="H230" s="84">
        <v>0</v>
      </c>
    </row>
    <row r="231" spans="1:8">
      <c r="A231" s="7" t="s">
        <v>16</v>
      </c>
      <c r="B231" s="9" t="s">
        <v>141</v>
      </c>
      <c r="C231" s="6">
        <v>1</v>
      </c>
      <c r="D231" s="7" t="s">
        <v>160</v>
      </c>
      <c r="E231" s="58">
        <v>46198</v>
      </c>
      <c r="F231" s="58">
        <v>46211</v>
      </c>
      <c r="G231" s="13" t="s">
        <v>40</v>
      </c>
      <c r="H231" s="84">
        <v>0</v>
      </c>
    </row>
    <row r="232" spans="1:8">
      <c r="A232" s="7" t="s">
        <v>16</v>
      </c>
      <c r="B232" s="9" t="s">
        <v>142</v>
      </c>
      <c r="C232" s="6">
        <v>1</v>
      </c>
      <c r="D232" s="7" t="s">
        <v>160</v>
      </c>
      <c r="E232" s="58">
        <v>46198</v>
      </c>
      <c r="F232" s="58">
        <v>46211</v>
      </c>
      <c r="G232" s="13" t="s">
        <v>40</v>
      </c>
      <c r="H232" s="84">
        <v>0</v>
      </c>
    </row>
    <row r="233" spans="1:8">
      <c r="A233" s="7" t="s">
        <v>16</v>
      </c>
      <c r="B233" s="9" t="s">
        <v>143</v>
      </c>
      <c r="C233" s="6">
        <v>1</v>
      </c>
      <c r="D233" s="7" t="s">
        <v>160</v>
      </c>
      <c r="E233" s="58">
        <v>46198</v>
      </c>
      <c r="F233" s="58">
        <v>46211</v>
      </c>
      <c r="G233" s="13" t="s">
        <v>40</v>
      </c>
      <c r="H233" s="84">
        <v>0</v>
      </c>
    </row>
    <row r="234" spans="1:8">
      <c r="A234" s="7" t="s">
        <v>16</v>
      </c>
      <c r="B234" s="9" t="s">
        <v>144</v>
      </c>
      <c r="C234" s="6">
        <v>1</v>
      </c>
      <c r="D234" s="7" t="s">
        <v>160</v>
      </c>
      <c r="E234" s="58">
        <v>46198</v>
      </c>
      <c r="F234" s="58">
        <v>46211</v>
      </c>
      <c r="G234" s="13" t="s">
        <v>40</v>
      </c>
      <c r="H234" s="84">
        <v>0</v>
      </c>
    </row>
    <row r="235" spans="1:8">
      <c r="A235" s="7" t="s">
        <v>16</v>
      </c>
      <c r="B235" s="9" t="s">
        <v>145</v>
      </c>
      <c r="C235" s="6">
        <v>1</v>
      </c>
      <c r="D235" s="7" t="s">
        <v>160</v>
      </c>
      <c r="E235" s="58">
        <v>46198</v>
      </c>
      <c r="F235" s="58">
        <v>46211</v>
      </c>
      <c r="G235" s="13" t="s">
        <v>40</v>
      </c>
      <c r="H235" s="84">
        <v>0</v>
      </c>
    </row>
    <row r="236" spans="1:8">
      <c r="A236" s="7" t="s">
        <v>16</v>
      </c>
      <c r="B236" s="9" t="s">
        <v>146</v>
      </c>
      <c r="C236" s="6">
        <v>1</v>
      </c>
      <c r="D236" s="7" t="s">
        <v>160</v>
      </c>
      <c r="E236" s="58">
        <v>46198</v>
      </c>
      <c r="F236" s="58">
        <v>46211</v>
      </c>
      <c r="G236" s="13" t="s">
        <v>40</v>
      </c>
      <c r="H236" s="84">
        <v>0</v>
      </c>
    </row>
    <row r="237" spans="1:8">
      <c r="A237" s="7" t="s">
        <v>16</v>
      </c>
      <c r="B237" s="9" t="s">
        <v>147</v>
      </c>
      <c r="C237" s="6">
        <v>1</v>
      </c>
      <c r="D237" s="7" t="s">
        <v>160</v>
      </c>
      <c r="E237" s="58">
        <v>46198</v>
      </c>
      <c r="F237" s="58">
        <v>46211</v>
      </c>
      <c r="G237" s="13" t="s">
        <v>40</v>
      </c>
      <c r="H237" s="84">
        <v>0</v>
      </c>
    </row>
    <row r="238" spans="1:8">
      <c r="A238" s="7" t="s">
        <v>16</v>
      </c>
      <c r="B238" s="9" t="s">
        <v>148</v>
      </c>
      <c r="C238" s="6">
        <v>1</v>
      </c>
      <c r="D238" s="7" t="s">
        <v>160</v>
      </c>
      <c r="E238" s="58">
        <v>46198</v>
      </c>
      <c r="F238" s="58">
        <v>46211</v>
      </c>
      <c r="G238" s="13" t="s">
        <v>40</v>
      </c>
      <c r="H238" s="84">
        <v>0</v>
      </c>
    </row>
    <row r="239" spans="1:8">
      <c r="A239" s="7" t="s">
        <v>16</v>
      </c>
      <c r="B239" s="9" t="s">
        <v>149</v>
      </c>
      <c r="C239" s="6">
        <v>1</v>
      </c>
      <c r="D239" s="7" t="s">
        <v>160</v>
      </c>
      <c r="E239" s="58">
        <v>46198</v>
      </c>
      <c r="F239" s="58">
        <v>46211</v>
      </c>
      <c r="G239" s="13" t="s">
        <v>40</v>
      </c>
      <c r="H239" s="84">
        <v>0</v>
      </c>
    </row>
    <row r="240" spans="1:8">
      <c r="A240" s="7" t="s">
        <v>16</v>
      </c>
      <c r="B240" s="9" t="s">
        <v>150</v>
      </c>
      <c r="C240" s="6">
        <v>1</v>
      </c>
      <c r="D240" s="7" t="s">
        <v>160</v>
      </c>
      <c r="E240" s="58">
        <v>46198</v>
      </c>
      <c r="F240" s="58">
        <v>46211</v>
      </c>
      <c r="G240" s="13" t="s">
        <v>40</v>
      </c>
      <c r="H240" s="84">
        <v>0</v>
      </c>
    </row>
    <row r="241" spans="1:8">
      <c r="A241" s="7" t="s">
        <v>16</v>
      </c>
      <c r="B241" s="9" t="s">
        <v>151</v>
      </c>
      <c r="C241" s="6">
        <v>1</v>
      </c>
      <c r="D241" s="7" t="s">
        <v>160</v>
      </c>
      <c r="E241" s="58">
        <v>46198</v>
      </c>
      <c r="F241" s="58">
        <v>46211</v>
      </c>
      <c r="G241" s="13" t="s">
        <v>40</v>
      </c>
      <c r="H241" s="84">
        <v>0</v>
      </c>
    </row>
    <row r="242" spans="1:8">
      <c r="A242" s="7" t="s">
        <v>16</v>
      </c>
      <c r="B242" s="9" t="s">
        <v>152</v>
      </c>
      <c r="C242" s="6">
        <v>1</v>
      </c>
      <c r="D242" s="7" t="s">
        <v>160</v>
      </c>
      <c r="E242" s="58">
        <v>46198</v>
      </c>
      <c r="F242" s="58">
        <v>46211</v>
      </c>
      <c r="G242" s="13" t="s">
        <v>40</v>
      </c>
      <c r="H242" s="84">
        <v>0</v>
      </c>
    </row>
    <row r="243" spans="1:8">
      <c r="A243" s="7" t="s">
        <v>16</v>
      </c>
      <c r="B243" s="9" t="s">
        <v>153</v>
      </c>
      <c r="C243" s="6">
        <v>1</v>
      </c>
      <c r="D243" s="7" t="s">
        <v>160</v>
      </c>
      <c r="E243" s="58">
        <v>46198</v>
      </c>
      <c r="F243" s="58">
        <v>46211</v>
      </c>
      <c r="G243" s="13" t="s">
        <v>40</v>
      </c>
      <c r="H243" s="84">
        <v>0</v>
      </c>
    </row>
    <row r="244" spans="1:8">
      <c r="A244" s="7" t="s">
        <v>16</v>
      </c>
      <c r="B244" s="9" t="s">
        <v>154</v>
      </c>
      <c r="C244" s="6">
        <v>1</v>
      </c>
      <c r="D244" s="7" t="s">
        <v>160</v>
      </c>
      <c r="E244" s="58">
        <v>46198</v>
      </c>
      <c r="F244" s="58">
        <v>46211</v>
      </c>
      <c r="G244" s="13" t="s">
        <v>40</v>
      </c>
      <c r="H244" s="84">
        <v>0</v>
      </c>
    </row>
    <row r="245" spans="1:8">
      <c r="A245" s="7" t="s">
        <v>16</v>
      </c>
      <c r="B245" s="9" t="s">
        <v>155</v>
      </c>
      <c r="C245" s="6">
        <v>1</v>
      </c>
      <c r="D245" s="7" t="s">
        <v>160</v>
      </c>
      <c r="E245" s="58">
        <v>46198</v>
      </c>
      <c r="F245" s="58">
        <v>46211</v>
      </c>
      <c r="G245" s="13" t="s">
        <v>40</v>
      </c>
      <c r="H245" s="84">
        <v>0</v>
      </c>
    </row>
    <row r="246" spans="1:8">
      <c r="A246" s="7" t="s">
        <v>16</v>
      </c>
      <c r="B246" s="9" t="s">
        <v>156</v>
      </c>
      <c r="C246" s="6">
        <v>1</v>
      </c>
      <c r="D246" s="7" t="s">
        <v>160</v>
      </c>
      <c r="E246" s="58">
        <v>46198</v>
      </c>
      <c r="F246" s="58">
        <v>46211</v>
      </c>
      <c r="G246" s="13" t="s">
        <v>40</v>
      </c>
      <c r="H246" s="84">
        <v>0</v>
      </c>
    </row>
    <row r="247" spans="1:8">
      <c r="A247" s="7" t="s">
        <v>16</v>
      </c>
      <c r="B247" s="9" t="s">
        <v>157</v>
      </c>
      <c r="C247" s="6">
        <v>1</v>
      </c>
      <c r="D247" s="7" t="s">
        <v>160</v>
      </c>
      <c r="E247" s="58">
        <v>46198</v>
      </c>
      <c r="F247" s="58">
        <v>46211</v>
      </c>
      <c r="G247" s="13" t="s">
        <v>40</v>
      </c>
      <c r="H247" s="84">
        <v>0</v>
      </c>
    </row>
    <row r="248" spans="1:8">
      <c r="A248" s="7" t="s">
        <v>16</v>
      </c>
      <c r="B248" s="9" t="s">
        <v>158</v>
      </c>
      <c r="C248" s="6">
        <v>1</v>
      </c>
      <c r="D248" s="7" t="s">
        <v>160</v>
      </c>
      <c r="E248" s="58">
        <v>46198</v>
      </c>
      <c r="F248" s="58">
        <v>46211</v>
      </c>
      <c r="G248" s="13" t="s">
        <v>40</v>
      </c>
      <c r="H248" s="84">
        <v>0</v>
      </c>
    </row>
    <row r="249" spans="1:8">
      <c r="A249" s="7" t="s">
        <v>16</v>
      </c>
      <c r="B249" s="9" t="s">
        <v>159</v>
      </c>
      <c r="C249" s="6">
        <v>1</v>
      </c>
      <c r="D249" s="7" t="s">
        <v>160</v>
      </c>
      <c r="E249" s="58">
        <v>46198</v>
      </c>
      <c r="F249" s="58">
        <v>46211</v>
      </c>
      <c r="G249" s="13" t="s">
        <v>40</v>
      </c>
      <c r="H249" s="84">
        <v>0</v>
      </c>
    </row>
    <row r="250" spans="1:8">
      <c r="A250" s="7" t="s">
        <v>16</v>
      </c>
      <c r="B250" s="9" t="s">
        <v>32</v>
      </c>
      <c r="C250" s="6">
        <v>1</v>
      </c>
      <c r="D250" s="10" t="s">
        <v>161</v>
      </c>
      <c r="E250" s="59">
        <v>46198</v>
      </c>
      <c r="F250" s="59">
        <v>46207</v>
      </c>
      <c r="G250" s="16" t="s">
        <v>40</v>
      </c>
      <c r="H250" s="86">
        <v>0</v>
      </c>
    </row>
    <row r="251" spans="1:8">
      <c r="A251" s="7" t="s">
        <v>16</v>
      </c>
      <c r="B251" s="9" t="s">
        <v>35</v>
      </c>
      <c r="C251" s="6">
        <v>1</v>
      </c>
      <c r="D251" s="10" t="s">
        <v>161</v>
      </c>
      <c r="E251" s="59">
        <v>46198</v>
      </c>
      <c r="F251" s="59">
        <v>46207</v>
      </c>
      <c r="G251" s="16" t="s">
        <v>40</v>
      </c>
      <c r="H251" s="86">
        <v>0</v>
      </c>
    </row>
    <row r="252" spans="1:8">
      <c r="A252" s="7" t="s">
        <v>16</v>
      </c>
      <c r="B252" s="9" t="s">
        <v>36</v>
      </c>
      <c r="C252" s="6">
        <v>198</v>
      </c>
      <c r="D252" s="10" t="s">
        <v>161</v>
      </c>
      <c r="E252" s="59">
        <v>46198</v>
      </c>
      <c r="F252" s="59">
        <v>46207</v>
      </c>
      <c r="G252" s="16" t="s">
        <v>40</v>
      </c>
      <c r="H252" s="86">
        <v>0</v>
      </c>
    </row>
    <row r="253" spans="1:8">
      <c r="A253" s="7" t="s">
        <v>16</v>
      </c>
      <c r="B253" s="9" t="s">
        <v>37</v>
      </c>
      <c r="C253" s="6">
        <v>198</v>
      </c>
      <c r="D253" s="10" t="s">
        <v>161</v>
      </c>
      <c r="E253" s="59">
        <v>46198</v>
      </c>
      <c r="F253" s="59">
        <v>46207</v>
      </c>
      <c r="G253" s="16" t="s">
        <v>40</v>
      </c>
      <c r="H253" s="86">
        <v>0</v>
      </c>
    </row>
    <row r="254" spans="1:8">
      <c r="A254" s="7" t="s">
        <v>16</v>
      </c>
      <c r="B254" s="9" t="s">
        <v>38</v>
      </c>
      <c r="C254" s="6">
        <v>1</v>
      </c>
      <c r="D254" s="10" t="s">
        <v>161</v>
      </c>
      <c r="E254" s="59">
        <v>46198</v>
      </c>
      <c r="F254" s="59">
        <v>46207</v>
      </c>
      <c r="G254" s="16" t="s">
        <v>40</v>
      </c>
      <c r="H254" s="86">
        <v>0</v>
      </c>
    </row>
    <row r="255" spans="1:8">
      <c r="A255" s="7" t="s">
        <v>16</v>
      </c>
      <c r="B255" s="9" t="s">
        <v>39</v>
      </c>
      <c r="C255" s="6">
        <v>1</v>
      </c>
      <c r="D255" s="10" t="s">
        <v>161</v>
      </c>
      <c r="E255" s="59">
        <v>46198</v>
      </c>
      <c r="F255" s="59">
        <v>46207</v>
      </c>
      <c r="G255" s="16" t="s">
        <v>40</v>
      </c>
      <c r="H255" s="86">
        <v>0</v>
      </c>
    </row>
    <row r="256" spans="1:8">
      <c r="A256" s="7" t="s">
        <v>16</v>
      </c>
      <c r="B256" s="9" t="s">
        <v>41</v>
      </c>
      <c r="C256" s="6">
        <v>1</v>
      </c>
      <c r="D256" s="10" t="s">
        <v>161</v>
      </c>
      <c r="E256" s="59">
        <v>46198</v>
      </c>
      <c r="F256" s="59">
        <v>46207</v>
      </c>
      <c r="G256" s="16" t="s">
        <v>40</v>
      </c>
      <c r="H256" s="86">
        <v>0</v>
      </c>
    </row>
    <row r="257" spans="1:8">
      <c r="A257" s="7" t="s">
        <v>16</v>
      </c>
      <c r="B257" s="9" t="s">
        <v>42</v>
      </c>
      <c r="C257" s="6">
        <v>1</v>
      </c>
      <c r="D257" s="10" t="s">
        <v>161</v>
      </c>
      <c r="E257" s="59">
        <v>46198</v>
      </c>
      <c r="F257" s="59">
        <v>46207</v>
      </c>
      <c r="G257" s="16" t="s">
        <v>40</v>
      </c>
      <c r="H257" s="86">
        <v>0</v>
      </c>
    </row>
    <row r="258" spans="1:8">
      <c r="A258" s="7" t="s">
        <v>16</v>
      </c>
      <c r="B258" s="9" t="s">
        <v>43</v>
      </c>
      <c r="C258" s="6">
        <v>1</v>
      </c>
      <c r="D258" s="10" t="s">
        <v>161</v>
      </c>
      <c r="E258" s="59">
        <v>46198</v>
      </c>
      <c r="F258" s="59">
        <v>46207</v>
      </c>
      <c r="G258" s="16" t="s">
        <v>40</v>
      </c>
      <c r="H258" s="86">
        <v>0</v>
      </c>
    </row>
    <row r="259" spans="1:8">
      <c r="A259" s="7" t="s">
        <v>16</v>
      </c>
      <c r="B259" s="9" t="s">
        <v>44</v>
      </c>
      <c r="C259" s="6">
        <v>1</v>
      </c>
      <c r="D259" s="10" t="s">
        <v>161</v>
      </c>
      <c r="E259" s="59">
        <v>46198</v>
      </c>
      <c r="F259" s="59">
        <v>46207</v>
      </c>
      <c r="G259" s="16" t="s">
        <v>40</v>
      </c>
      <c r="H259" s="86">
        <v>0</v>
      </c>
    </row>
    <row r="260" spans="1:8">
      <c r="A260" s="7" t="s">
        <v>16</v>
      </c>
      <c r="B260" s="9" t="s">
        <v>45</v>
      </c>
      <c r="C260" s="6">
        <v>1</v>
      </c>
      <c r="D260" s="10" t="s">
        <v>161</v>
      </c>
      <c r="E260" s="59">
        <v>46198</v>
      </c>
      <c r="F260" s="59">
        <v>46207</v>
      </c>
      <c r="G260" s="16" t="s">
        <v>40</v>
      </c>
      <c r="H260" s="86">
        <v>0</v>
      </c>
    </row>
    <row r="261" spans="1:8">
      <c r="A261" s="7" t="s">
        <v>16</v>
      </c>
      <c r="B261" s="9" t="s">
        <v>46</v>
      </c>
      <c r="C261" s="6">
        <v>1</v>
      </c>
      <c r="D261" s="10" t="s">
        <v>161</v>
      </c>
      <c r="E261" s="59">
        <v>46198</v>
      </c>
      <c r="F261" s="59">
        <v>46207</v>
      </c>
      <c r="G261" s="16" t="s">
        <v>40</v>
      </c>
      <c r="H261" s="86">
        <v>0</v>
      </c>
    </row>
    <row r="262" spans="1:8">
      <c r="A262" s="7" t="s">
        <v>16</v>
      </c>
      <c r="B262" s="9" t="s">
        <v>47</v>
      </c>
      <c r="C262" s="6">
        <v>1</v>
      </c>
      <c r="D262" s="10" t="s">
        <v>161</v>
      </c>
      <c r="E262" s="59">
        <v>46198</v>
      </c>
      <c r="F262" s="59">
        <v>46207</v>
      </c>
      <c r="G262" s="16" t="s">
        <v>40</v>
      </c>
      <c r="H262" s="86">
        <v>0</v>
      </c>
    </row>
    <row r="263" spans="1:8">
      <c r="A263" s="7" t="s">
        <v>16</v>
      </c>
      <c r="B263" s="9" t="s">
        <v>48</v>
      </c>
      <c r="C263" s="6">
        <v>1</v>
      </c>
      <c r="D263" s="10" t="s">
        <v>161</v>
      </c>
      <c r="E263" s="59">
        <v>46198</v>
      </c>
      <c r="F263" s="59">
        <v>46207</v>
      </c>
      <c r="G263" s="16" t="s">
        <v>40</v>
      </c>
      <c r="H263" s="86">
        <v>0</v>
      </c>
    </row>
    <row r="264" spans="1:8">
      <c r="A264" s="7" t="s">
        <v>16</v>
      </c>
      <c r="B264" s="9" t="s">
        <v>49</v>
      </c>
      <c r="C264" s="6">
        <v>1</v>
      </c>
      <c r="D264" s="10" t="s">
        <v>161</v>
      </c>
      <c r="E264" s="59">
        <v>46198</v>
      </c>
      <c r="F264" s="59">
        <v>46207</v>
      </c>
      <c r="G264" s="16" t="s">
        <v>40</v>
      </c>
      <c r="H264" s="86">
        <v>0</v>
      </c>
    </row>
    <row r="265" spans="1:8">
      <c r="A265" s="7" t="s">
        <v>16</v>
      </c>
      <c r="B265" s="9" t="s">
        <v>50</v>
      </c>
      <c r="C265" s="6">
        <v>1</v>
      </c>
      <c r="D265" s="10" t="s">
        <v>161</v>
      </c>
      <c r="E265" s="59">
        <v>46198</v>
      </c>
      <c r="F265" s="59">
        <v>46207</v>
      </c>
      <c r="G265" s="16" t="s">
        <v>40</v>
      </c>
      <c r="H265" s="86">
        <v>0</v>
      </c>
    </row>
    <row r="266" spans="1:8">
      <c r="A266" s="7" t="s">
        <v>16</v>
      </c>
      <c r="B266" s="9" t="s">
        <v>51</v>
      </c>
      <c r="C266" s="6">
        <v>1</v>
      </c>
      <c r="D266" s="10" t="s">
        <v>161</v>
      </c>
      <c r="E266" s="59">
        <v>46198</v>
      </c>
      <c r="F266" s="59">
        <v>46207</v>
      </c>
      <c r="G266" s="16" t="s">
        <v>40</v>
      </c>
      <c r="H266" s="86">
        <v>0</v>
      </c>
    </row>
    <row r="267" spans="1:8">
      <c r="A267" s="7" t="s">
        <v>16</v>
      </c>
      <c r="B267" s="9" t="s">
        <v>52</v>
      </c>
      <c r="C267" s="6">
        <v>1</v>
      </c>
      <c r="D267" s="10" t="s">
        <v>161</v>
      </c>
      <c r="E267" s="59">
        <v>46198</v>
      </c>
      <c r="F267" s="59">
        <v>46207</v>
      </c>
      <c r="G267" s="16" t="s">
        <v>40</v>
      </c>
      <c r="H267" s="86">
        <v>0</v>
      </c>
    </row>
    <row r="268" spans="1:8">
      <c r="A268" s="7" t="s">
        <v>16</v>
      </c>
      <c r="B268" s="9" t="s">
        <v>53</v>
      </c>
      <c r="C268" s="6">
        <v>1</v>
      </c>
      <c r="D268" s="10" t="s">
        <v>161</v>
      </c>
      <c r="E268" s="59">
        <v>46198</v>
      </c>
      <c r="F268" s="59">
        <v>46207</v>
      </c>
      <c r="G268" s="16" t="s">
        <v>40</v>
      </c>
      <c r="H268" s="86">
        <v>0</v>
      </c>
    </row>
    <row r="269" spans="1:8">
      <c r="A269" s="7" t="s">
        <v>16</v>
      </c>
      <c r="B269" s="9" t="s">
        <v>54</v>
      </c>
      <c r="C269" s="6">
        <v>1</v>
      </c>
      <c r="D269" s="10" t="s">
        <v>161</v>
      </c>
      <c r="E269" s="59">
        <v>46198</v>
      </c>
      <c r="F269" s="59">
        <v>46207</v>
      </c>
      <c r="G269" s="16" t="s">
        <v>40</v>
      </c>
      <c r="H269" s="86">
        <v>0</v>
      </c>
    </row>
    <row r="270" spans="1:8">
      <c r="A270" s="7" t="s">
        <v>16</v>
      </c>
      <c r="B270" s="9" t="s">
        <v>55</v>
      </c>
      <c r="C270" s="6">
        <v>1</v>
      </c>
      <c r="D270" s="10" t="s">
        <v>161</v>
      </c>
      <c r="E270" s="59">
        <v>46198</v>
      </c>
      <c r="F270" s="59">
        <v>46207</v>
      </c>
      <c r="G270" s="16" t="s">
        <v>40</v>
      </c>
      <c r="H270" s="86">
        <v>0</v>
      </c>
    </row>
    <row r="271" spans="1:8">
      <c r="A271" s="7" t="s">
        <v>16</v>
      </c>
      <c r="B271" s="9" t="s">
        <v>56</v>
      </c>
      <c r="C271" s="6">
        <v>1</v>
      </c>
      <c r="D271" s="10" t="s">
        <v>161</v>
      </c>
      <c r="E271" s="59">
        <v>46198</v>
      </c>
      <c r="F271" s="59">
        <v>46207</v>
      </c>
      <c r="G271" s="16" t="s">
        <v>40</v>
      </c>
      <c r="H271" s="86">
        <v>0</v>
      </c>
    </row>
    <row r="272" spans="1:8">
      <c r="A272" s="7" t="s">
        <v>16</v>
      </c>
      <c r="B272" s="9" t="s">
        <v>57</v>
      </c>
      <c r="C272" s="6">
        <v>1</v>
      </c>
      <c r="D272" s="10" t="s">
        <v>161</v>
      </c>
      <c r="E272" s="59">
        <v>46198</v>
      </c>
      <c r="F272" s="59">
        <v>46207</v>
      </c>
      <c r="G272" s="16" t="s">
        <v>40</v>
      </c>
      <c r="H272" s="86">
        <v>0</v>
      </c>
    </row>
    <row r="273" spans="1:8">
      <c r="A273" s="7" t="s">
        <v>16</v>
      </c>
      <c r="B273" s="9" t="s">
        <v>58</v>
      </c>
      <c r="C273" s="6">
        <v>1</v>
      </c>
      <c r="D273" s="10" t="s">
        <v>161</v>
      </c>
      <c r="E273" s="59">
        <v>46198</v>
      </c>
      <c r="F273" s="59">
        <v>46207</v>
      </c>
      <c r="G273" s="16" t="s">
        <v>40</v>
      </c>
      <c r="H273" s="86">
        <v>0</v>
      </c>
    </row>
    <row r="274" spans="1:8">
      <c r="A274" s="7" t="s">
        <v>16</v>
      </c>
      <c r="B274" s="9" t="s">
        <v>59</v>
      </c>
      <c r="C274" s="6">
        <v>1</v>
      </c>
      <c r="D274" s="10" t="s">
        <v>161</v>
      </c>
      <c r="E274" s="59">
        <v>46198</v>
      </c>
      <c r="F274" s="59">
        <v>46207</v>
      </c>
      <c r="G274" s="16" t="s">
        <v>40</v>
      </c>
      <c r="H274" s="86">
        <v>0</v>
      </c>
    </row>
    <row r="275" spans="1:8">
      <c r="A275" s="7" t="s">
        <v>16</v>
      </c>
      <c r="B275" s="9" t="s">
        <v>60</v>
      </c>
      <c r="C275" s="6">
        <v>1</v>
      </c>
      <c r="D275" s="10" t="s">
        <v>161</v>
      </c>
      <c r="E275" s="59">
        <v>46198</v>
      </c>
      <c r="F275" s="59">
        <v>46207</v>
      </c>
      <c r="G275" s="16" t="s">
        <v>40</v>
      </c>
      <c r="H275" s="86">
        <v>0</v>
      </c>
    </row>
    <row r="276" spans="1:8">
      <c r="A276" s="7" t="s">
        <v>16</v>
      </c>
      <c r="B276" s="9" t="s">
        <v>61</v>
      </c>
      <c r="C276" s="6">
        <v>1</v>
      </c>
      <c r="D276" s="10" t="s">
        <v>161</v>
      </c>
      <c r="E276" s="59">
        <v>46198</v>
      </c>
      <c r="F276" s="59">
        <v>46207</v>
      </c>
      <c r="G276" s="16" t="s">
        <v>40</v>
      </c>
      <c r="H276" s="86">
        <v>0</v>
      </c>
    </row>
    <row r="277" spans="1:8">
      <c r="A277" s="7" t="s">
        <v>16</v>
      </c>
      <c r="B277" s="9" t="s">
        <v>62</v>
      </c>
      <c r="C277" s="6">
        <v>1</v>
      </c>
      <c r="D277" s="10" t="s">
        <v>161</v>
      </c>
      <c r="E277" s="59">
        <v>46198</v>
      </c>
      <c r="F277" s="59">
        <v>46207</v>
      </c>
      <c r="G277" s="16" t="s">
        <v>40</v>
      </c>
      <c r="H277" s="86">
        <v>0</v>
      </c>
    </row>
    <row r="278" spans="1:8">
      <c r="A278" s="7" t="s">
        <v>16</v>
      </c>
      <c r="B278" s="9" t="s">
        <v>63</v>
      </c>
      <c r="C278" s="6">
        <v>1</v>
      </c>
      <c r="D278" s="10" t="s">
        <v>161</v>
      </c>
      <c r="E278" s="59">
        <v>46198</v>
      </c>
      <c r="F278" s="59">
        <v>46207</v>
      </c>
      <c r="G278" s="16" t="s">
        <v>40</v>
      </c>
      <c r="H278" s="86">
        <v>0</v>
      </c>
    </row>
    <row r="279" spans="1:8">
      <c r="A279" s="7" t="s">
        <v>16</v>
      </c>
      <c r="B279" s="9" t="s">
        <v>64</v>
      </c>
      <c r="C279" s="6">
        <v>1</v>
      </c>
      <c r="D279" s="10" t="s">
        <v>161</v>
      </c>
      <c r="E279" s="59">
        <v>46198</v>
      </c>
      <c r="F279" s="59">
        <v>46207</v>
      </c>
      <c r="G279" s="16" t="s">
        <v>40</v>
      </c>
      <c r="H279" s="86">
        <v>0</v>
      </c>
    </row>
    <row r="280" spans="1:8">
      <c r="A280" s="7" t="s">
        <v>16</v>
      </c>
      <c r="B280" s="9" t="s">
        <v>65</v>
      </c>
      <c r="C280" s="6">
        <v>1</v>
      </c>
      <c r="D280" s="10" t="s">
        <v>161</v>
      </c>
      <c r="E280" s="59">
        <v>46198</v>
      </c>
      <c r="F280" s="59">
        <v>46207</v>
      </c>
      <c r="G280" s="16" t="s">
        <v>40</v>
      </c>
      <c r="H280" s="86">
        <v>0</v>
      </c>
    </row>
    <row r="281" spans="1:8">
      <c r="A281" s="7" t="s">
        <v>16</v>
      </c>
      <c r="B281" s="9" t="s">
        <v>66</v>
      </c>
      <c r="C281" s="6">
        <v>1</v>
      </c>
      <c r="D281" s="10" t="s">
        <v>161</v>
      </c>
      <c r="E281" s="59">
        <v>46198</v>
      </c>
      <c r="F281" s="59">
        <v>46207</v>
      </c>
      <c r="G281" s="16" t="s">
        <v>40</v>
      </c>
      <c r="H281" s="86">
        <v>0</v>
      </c>
    </row>
    <row r="282" spans="1:8">
      <c r="A282" s="7" t="s">
        <v>16</v>
      </c>
      <c r="B282" s="9" t="s">
        <v>67</v>
      </c>
      <c r="C282" s="6">
        <v>1</v>
      </c>
      <c r="D282" s="10" t="s">
        <v>161</v>
      </c>
      <c r="E282" s="59">
        <v>46198</v>
      </c>
      <c r="F282" s="59">
        <v>46207</v>
      </c>
      <c r="G282" s="16" t="s">
        <v>40</v>
      </c>
      <c r="H282" s="86">
        <v>0</v>
      </c>
    </row>
    <row r="283" spans="1:8">
      <c r="A283" s="7" t="s">
        <v>16</v>
      </c>
      <c r="B283" s="9" t="s">
        <v>68</v>
      </c>
      <c r="C283" s="6">
        <v>1</v>
      </c>
      <c r="D283" s="10" t="s">
        <v>161</v>
      </c>
      <c r="E283" s="59">
        <v>46198</v>
      </c>
      <c r="F283" s="59">
        <v>46207</v>
      </c>
      <c r="G283" s="16" t="s">
        <v>40</v>
      </c>
      <c r="H283" s="86">
        <v>0</v>
      </c>
    </row>
    <row r="284" spans="1:8">
      <c r="A284" s="7" t="s">
        <v>16</v>
      </c>
      <c r="B284" s="9" t="s">
        <v>69</v>
      </c>
      <c r="C284" s="6" t="s">
        <v>70</v>
      </c>
      <c r="D284" s="10" t="s">
        <v>161</v>
      </c>
      <c r="E284" s="59">
        <v>46198</v>
      </c>
      <c r="F284" s="59">
        <v>46207</v>
      </c>
      <c r="G284" s="16" t="s">
        <v>40</v>
      </c>
      <c r="H284" s="86">
        <v>0</v>
      </c>
    </row>
    <row r="285" spans="1:8">
      <c r="A285" s="7" t="s">
        <v>16</v>
      </c>
      <c r="B285" s="9" t="s">
        <v>71</v>
      </c>
      <c r="C285" s="6">
        <v>1</v>
      </c>
      <c r="D285" s="10" t="s">
        <v>161</v>
      </c>
      <c r="E285" s="59">
        <v>46198</v>
      </c>
      <c r="F285" s="59">
        <v>46207</v>
      </c>
      <c r="G285" s="16" t="s">
        <v>40</v>
      </c>
      <c r="H285" s="86">
        <v>0</v>
      </c>
    </row>
    <row r="286" spans="1:8">
      <c r="A286" s="7" t="s">
        <v>16</v>
      </c>
      <c r="B286" s="9" t="s">
        <v>72</v>
      </c>
      <c r="C286" s="6">
        <v>1</v>
      </c>
      <c r="D286" s="10" t="s">
        <v>161</v>
      </c>
      <c r="E286" s="59">
        <v>46198</v>
      </c>
      <c r="F286" s="59">
        <v>46207</v>
      </c>
      <c r="G286" s="16" t="s">
        <v>40</v>
      </c>
      <c r="H286" s="86">
        <v>0</v>
      </c>
    </row>
    <row r="287" spans="1:8">
      <c r="A287" s="7" t="s">
        <v>16</v>
      </c>
      <c r="B287" s="9" t="s">
        <v>73</v>
      </c>
      <c r="C287" s="6">
        <v>1</v>
      </c>
      <c r="D287" s="10" t="s">
        <v>161</v>
      </c>
      <c r="E287" s="59">
        <v>46198</v>
      </c>
      <c r="F287" s="59">
        <v>46207</v>
      </c>
      <c r="G287" s="16" t="s">
        <v>40</v>
      </c>
      <c r="H287" s="86">
        <v>0</v>
      </c>
    </row>
    <row r="288" spans="1:8">
      <c r="A288" s="7" t="s">
        <v>16</v>
      </c>
      <c r="B288" s="9" t="s">
        <v>74</v>
      </c>
      <c r="C288" s="6">
        <v>1</v>
      </c>
      <c r="D288" s="10" t="s">
        <v>161</v>
      </c>
      <c r="E288" s="59">
        <v>46198</v>
      </c>
      <c r="F288" s="59">
        <v>46207</v>
      </c>
      <c r="G288" s="16" t="s">
        <v>40</v>
      </c>
      <c r="H288" s="86">
        <v>0</v>
      </c>
    </row>
    <row r="289" spans="1:8">
      <c r="A289" s="7" t="s">
        <v>16</v>
      </c>
      <c r="B289" s="9" t="s">
        <v>75</v>
      </c>
      <c r="C289" s="6">
        <v>1</v>
      </c>
      <c r="D289" s="10" t="s">
        <v>161</v>
      </c>
      <c r="E289" s="59">
        <v>46198</v>
      </c>
      <c r="F289" s="59">
        <v>46207</v>
      </c>
      <c r="G289" s="16" t="s">
        <v>40</v>
      </c>
      <c r="H289" s="86">
        <v>0</v>
      </c>
    </row>
    <row r="290" spans="1:8">
      <c r="A290" s="7" t="s">
        <v>16</v>
      </c>
      <c r="B290" s="9" t="s">
        <v>76</v>
      </c>
      <c r="C290" s="6">
        <v>1</v>
      </c>
      <c r="D290" s="10" t="s">
        <v>161</v>
      </c>
      <c r="E290" s="59">
        <v>46198</v>
      </c>
      <c r="F290" s="59">
        <v>46207</v>
      </c>
      <c r="G290" s="16" t="s">
        <v>40</v>
      </c>
      <c r="H290" s="86">
        <v>0</v>
      </c>
    </row>
    <row r="291" spans="1:8">
      <c r="A291" s="7" t="s">
        <v>16</v>
      </c>
      <c r="B291" s="9" t="s">
        <v>77</v>
      </c>
      <c r="C291" s="6">
        <v>1</v>
      </c>
      <c r="D291" s="10" t="s">
        <v>161</v>
      </c>
      <c r="E291" s="59">
        <v>46198</v>
      </c>
      <c r="F291" s="59">
        <v>46207</v>
      </c>
      <c r="G291" s="16" t="s">
        <v>40</v>
      </c>
      <c r="H291" s="86">
        <v>0</v>
      </c>
    </row>
    <row r="292" spans="1:8">
      <c r="A292" s="7" t="s">
        <v>16</v>
      </c>
      <c r="B292" s="9" t="s">
        <v>78</v>
      </c>
      <c r="C292" s="6">
        <v>1</v>
      </c>
      <c r="D292" s="10" t="s">
        <v>161</v>
      </c>
      <c r="E292" s="59">
        <v>46198</v>
      </c>
      <c r="F292" s="59">
        <v>46207</v>
      </c>
      <c r="G292" s="16" t="s">
        <v>40</v>
      </c>
      <c r="H292" s="86">
        <v>0</v>
      </c>
    </row>
    <row r="293" spans="1:8">
      <c r="A293" s="7" t="s">
        <v>16</v>
      </c>
      <c r="B293" s="9" t="s">
        <v>79</v>
      </c>
      <c r="C293" s="6">
        <v>1</v>
      </c>
      <c r="D293" s="10" t="s">
        <v>161</v>
      </c>
      <c r="E293" s="59">
        <v>46198</v>
      </c>
      <c r="F293" s="59">
        <v>46207</v>
      </c>
      <c r="G293" s="16" t="s">
        <v>40</v>
      </c>
      <c r="H293" s="86">
        <v>0</v>
      </c>
    </row>
    <row r="294" spans="1:8">
      <c r="A294" s="7" t="s">
        <v>16</v>
      </c>
      <c r="B294" s="9" t="s">
        <v>80</v>
      </c>
      <c r="C294" s="6">
        <v>1</v>
      </c>
      <c r="D294" s="10" t="s">
        <v>161</v>
      </c>
      <c r="E294" s="59">
        <v>46198</v>
      </c>
      <c r="F294" s="59">
        <v>46207</v>
      </c>
      <c r="G294" s="16" t="s">
        <v>40</v>
      </c>
      <c r="H294" s="86">
        <v>0</v>
      </c>
    </row>
    <row r="295" spans="1:8">
      <c r="A295" s="7" t="s">
        <v>16</v>
      </c>
      <c r="B295" s="9" t="s">
        <v>81</v>
      </c>
      <c r="C295" s="6">
        <v>1</v>
      </c>
      <c r="D295" s="10" t="s">
        <v>161</v>
      </c>
      <c r="E295" s="59">
        <v>46198</v>
      </c>
      <c r="F295" s="59">
        <v>46207</v>
      </c>
      <c r="G295" s="16" t="s">
        <v>40</v>
      </c>
      <c r="H295" s="86">
        <v>0</v>
      </c>
    </row>
    <row r="296" spans="1:8">
      <c r="A296" s="7" t="s">
        <v>16</v>
      </c>
      <c r="B296" s="9" t="s">
        <v>82</v>
      </c>
      <c r="C296" s="6">
        <v>1</v>
      </c>
      <c r="D296" s="10" t="s">
        <v>161</v>
      </c>
      <c r="E296" s="59">
        <v>46198</v>
      </c>
      <c r="F296" s="59">
        <v>46207</v>
      </c>
      <c r="G296" s="16" t="s">
        <v>40</v>
      </c>
      <c r="H296" s="86">
        <v>0</v>
      </c>
    </row>
    <row r="297" spans="1:8">
      <c r="A297" s="7" t="s">
        <v>16</v>
      </c>
      <c r="B297" s="9" t="s">
        <v>83</v>
      </c>
      <c r="C297" s="6">
        <v>1</v>
      </c>
      <c r="D297" s="10" t="s">
        <v>161</v>
      </c>
      <c r="E297" s="59">
        <v>46198</v>
      </c>
      <c r="F297" s="59">
        <v>46207</v>
      </c>
      <c r="G297" s="16" t="s">
        <v>40</v>
      </c>
      <c r="H297" s="86">
        <v>0</v>
      </c>
    </row>
    <row r="298" spans="1:8">
      <c r="A298" s="7" t="s">
        <v>16</v>
      </c>
      <c r="B298" s="9" t="s">
        <v>84</v>
      </c>
      <c r="C298" s="6">
        <v>1</v>
      </c>
      <c r="D298" s="10" t="s">
        <v>161</v>
      </c>
      <c r="E298" s="59">
        <v>46198</v>
      </c>
      <c r="F298" s="59">
        <v>46207</v>
      </c>
      <c r="G298" s="16" t="s">
        <v>40</v>
      </c>
      <c r="H298" s="86">
        <v>0</v>
      </c>
    </row>
    <row r="299" spans="1:8">
      <c r="A299" s="7" t="s">
        <v>16</v>
      </c>
      <c r="B299" s="9" t="s">
        <v>85</v>
      </c>
      <c r="C299" s="6">
        <v>1</v>
      </c>
      <c r="D299" s="10" t="s">
        <v>161</v>
      </c>
      <c r="E299" s="59">
        <v>46198</v>
      </c>
      <c r="F299" s="59">
        <v>46207</v>
      </c>
      <c r="G299" s="16" t="s">
        <v>40</v>
      </c>
      <c r="H299" s="86">
        <v>0</v>
      </c>
    </row>
    <row r="300" spans="1:8">
      <c r="A300" s="7" t="s">
        <v>16</v>
      </c>
      <c r="B300" s="9" t="s">
        <v>86</v>
      </c>
      <c r="C300" s="6">
        <v>1</v>
      </c>
      <c r="D300" s="10" t="s">
        <v>161</v>
      </c>
      <c r="E300" s="59">
        <v>46198</v>
      </c>
      <c r="F300" s="59">
        <v>46207</v>
      </c>
      <c r="G300" s="16" t="s">
        <v>40</v>
      </c>
      <c r="H300" s="86">
        <v>0</v>
      </c>
    </row>
    <row r="301" spans="1:8">
      <c r="A301" s="7" t="s">
        <v>16</v>
      </c>
      <c r="B301" s="9" t="s">
        <v>87</v>
      </c>
      <c r="C301" s="6">
        <v>1</v>
      </c>
      <c r="D301" s="10" t="s">
        <v>161</v>
      </c>
      <c r="E301" s="59">
        <v>46198</v>
      </c>
      <c r="F301" s="59">
        <v>46207</v>
      </c>
      <c r="G301" s="16" t="s">
        <v>40</v>
      </c>
      <c r="H301" s="86">
        <v>0</v>
      </c>
    </row>
    <row r="302" spans="1:8">
      <c r="A302" s="7" t="s">
        <v>16</v>
      </c>
      <c r="B302" s="9" t="s">
        <v>88</v>
      </c>
      <c r="C302" s="6">
        <v>1</v>
      </c>
      <c r="D302" s="10" t="s">
        <v>161</v>
      </c>
      <c r="E302" s="59">
        <v>46198</v>
      </c>
      <c r="F302" s="59">
        <v>46207</v>
      </c>
      <c r="G302" s="16" t="s">
        <v>40</v>
      </c>
      <c r="H302" s="86">
        <v>0</v>
      </c>
    </row>
    <row r="303" spans="1:8">
      <c r="A303" s="7" t="s">
        <v>16</v>
      </c>
      <c r="B303" s="9" t="s">
        <v>89</v>
      </c>
      <c r="C303" s="6">
        <v>1</v>
      </c>
      <c r="D303" s="10" t="s">
        <v>161</v>
      </c>
      <c r="E303" s="59">
        <v>46198</v>
      </c>
      <c r="F303" s="59">
        <v>46207</v>
      </c>
      <c r="G303" s="16" t="s">
        <v>40</v>
      </c>
      <c r="H303" s="86">
        <v>0</v>
      </c>
    </row>
    <row r="304" spans="1:8">
      <c r="A304" s="7" t="s">
        <v>16</v>
      </c>
      <c r="B304" s="9" t="s">
        <v>90</v>
      </c>
      <c r="C304" s="6">
        <v>1</v>
      </c>
      <c r="D304" s="10" t="s">
        <v>161</v>
      </c>
      <c r="E304" s="59">
        <v>46198</v>
      </c>
      <c r="F304" s="59">
        <v>46207</v>
      </c>
      <c r="G304" s="16" t="s">
        <v>40</v>
      </c>
      <c r="H304" s="86">
        <v>0</v>
      </c>
    </row>
    <row r="305" spans="1:8">
      <c r="A305" s="7" t="s">
        <v>16</v>
      </c>
      <c r="B305" s="9" t="s">
        <v>91</v>
      </c>
      <c r="C305" s="6">
        <v>1</v>
      </c>
      <c r="D305" s="10" t="s">
        <v>161</v>
      </c>
      <c r="E305" s="59">
        <v>46198</v>
      </c>
      <c r="F305" s="59">
        <v>46207</v>
      </c>
      <c r="G305" s="16" t="s">
        <v>40</v>
      </c>
      <c r="H305" s="86">
        <v>0</v>
      </c>
    </row>
    <row r="306" spans="1:8">
      <c r="A306" s="7" t="s">
        <v>16</v>
      </c>
      <c r="B306" s="9" t="s">
        <v>92</v>
      </c>
      <c r="C306" s="6">
        <v>1</v>
      </c>
      <c r="D306" s="10" t="s">
        <v>161</v>
      </c>
      <c r="E306" s="59">
        <v>46198</v>
      </c>
      <c r="F306" s="59">
        <v>46207</v>
      </c>
      <c r="G306" s="16" t="s">
        <v>40</v>
      </c>
      <c r="H306" s="86">
        <v>0</v>
      </c>
    </row>
    <row r="307" spans="1:8">
      <c r="A307" s="7" t="s">
        <v>16</v>
      </c>
      <c r="B307" s="9" t="s">
        <v>93</v>
      </c>
      <c r="C307" s="6">
        <v>1</v>
      </c>
      <c r="D307" s="10" t="s">
        <v>161</v>
      </c>
      <c r="E307" s="59">
        <v>46198</v>
      </c>
      <c r="F307" s="59">
        <v>46207</v>
      </c>
      <c r="G307" s="16" t="s">
        <v>40</v>
      </c>
      <c r="H307" s="86">
        <v>0</v>
      </c>
    </row>
    <row r="308" spans="1:8">
      <c r="A308" s="7" t="s">
        <v>16</v>
      </c>
      <c r="B308" s="9" t="s">
        <v>94</v>
      </c>
      <c r="C308" s="6">
        <v>1</v>
      </c>
      <c r="D308" s="10" t="s">
        <v>161</v>
      </c>
      <c r="E308" s="59">
        <v>46198</v>
      </c>
      <c r="F308" s="59">
        <v>46207</v>
      </c>
      <c r="G308" s="16" t="s">
        <v>40</v>
      </c>
      <c r="H308" s="86">
        <v>0</v>
      </c>
    </row>
    <row r="309" spans="1:8">
      <c r="A309" s="7" t="s">
        <v>16</v>
      </c>
      <c r="B309" s="9" t="s">
        <v>95</v>
      </c>
      <c r="C309" s="6">
        <v>1</v>
      </c>
      <c r="D309" s="10" t="s">
        <v>161</v>
      </c>
      <c r="E309" s="59">
        <v>46198</v>
      </c>
      <c r="F309" s="59">
        <v>46207</v>
      </c>
      <c r="G309" s="16" t="s">
        <v>40</v>
      </c>
      <c r="H309" s="86">
        <v>0</v>
      </c>
    </row>
    <row r="310" spans="1:8">
      <c r="A310" s="7" t="s">
        <v>16</v>
      </c>
      <c r="B310" s="9" t="s">
        <v>96</v>
      </c>
      <c r="C310" s="6">
        <v>1</v>
      </c>
      <c r="D310" s="10" t="s">
        <v>161</v>
      </c>
      <c r="E310" s="59">
        <v>46198</v>
      </c>
      <c r="F310" s="59">
        <v>46207</v>
      </c>
      <c r="G310" s="16" t="s">
        <v>40</v>
      </c>
      <c r="H310" s="86">
        <v>0</v>
      </c>
    </row>
    <row r="311" spans="1:8">
      <c r="A311" s="7" t="s">
        <v>16</v>
      </c>
      <c r="B311" s="9" t="s">
        <v>97</v>
      </c>
      <c r="C311" s="6">
        <v>1</v>
      </c>
      <c r="D311" s="10" t="s">
        <v>161</v>
      </c>
      <c r="E311" s="59">
        <v>46198</v>
      </c>
      <c r="F311" s="59">
        <v>46207</v>
      </c>
      <c r="G311" s="16" t="s">
        <v>40</v>
      </c>
      <c r="H311" s="86">
        <v>0</v>
      </c>
    </row>
    <row r="312" spans="1:8">
      <c r="A312" s="7" t="s">
        <v>16</v>
      </c>
      <c r="B312" s="9" t="s">
        <v>98</v>
      </c>
      <c r="C312" s="6">
        <v>1</v>
      </c>
      <c r="D312" s="10" t="s">
        <v>161</v>
      </c>
      <c r="E312" s="59">
        <v>46198</v>
      </c>
      <c r="F312" s="59">
        <v>46207</v>
      </c>
      <c r="G312" s="16" t="s">
        <v>40</v>
      </c>
      <c r="H312" s="86">
        <v>0</v>
      </c>
    </row>
    <row r="313" spans="1:8">
      <c r="A313" s="7" t="s">
        <v>16</v>
      </c>
      <c r="B313" s="9" t="s">
        <v>99</v>
      </c>
      <c r="C313" s="6">
        <v>1</v>
      </c>
      <c r="D313" s="10" t="s">
        <v>161</v>
      </c>
      <c r="E313" s="59">
        <v>46198</v>
      </c>
      <c r="F313" s="59">
        <v>46207</v>
      </c>
      <c r="G313" s="16" t="s">
        <v>40</v>
      </c>
      <c r="H313" s="86">
        <v>0</v>
      </c>
    </row>
    <row r="314" spans="1:8">
      <c r="A314" s="7" t="s">
        <v>16</v>
      </c>
      <c r="B314" s="9" t="s">
        <v>100</v>
      </c>
      <c r="C314" s="6">
        <v>1</v>
      </c>
      <c r="D314" s="10" t="s">
        <v>161</v>
      </c>
      <c r="E314" s="59">
        <v>46209</v>
      </c>
      <c r="F314" s="59">
        <v>46218</v>
      </c>
      <c r="G314" s="16" t="s">
        <v>40</v>
      </c>
      <c r="H314" s="86">
        <v>0</v>
      </c>
    </row>
    <row r="315" spans="1:8">
      <c r="A315" s="7" t="s">
        <v>16</v>
      </c>
      <c r="B315" s="9" t="s">
        <v>101</v>
      </c>
      <c r="C315" s="6">
        <v>1</v>
      </c>
      <c r="D315" s="10" t="s">
        <v>161</v>
      </c>
      <c r="E315" s="59">
        <v>46209</v>
      </c>
      <c r="F315" s="59">
        <v>46218</v>
      </c>
      <c r="G315" s="16" t="s">
        <v>40</v>
      </c>
      <c r="H315" s="86">
        <v>0</v>
      </c>
    </row>
    <row r="316" spans="1:8">
      <c r="A316" s="7" t="s">
        <v>16</v>
      </c>
      <c r="B316" s="9" t="s">
        <v>102</v>
      </c>
      <c r="C316" s="6">
        <v>1</v>
      </c>
      <c r="D316" s="10" t="s">
        <v>161</v>
      </c>
      <c r="E316" s="59">
        <v>46209</v>
      </c>
      <c r="F316" s="59">
        <v>46218</v>
      </c>
      <c r="G316" s="16" t="s">
        <v>40</v>
      </c>
      <c r="H316" s="86">
        <v>0</v>
      </c>
    </row>
    <row r="317" spans="1:8">
      <c r="A317" s="7" t="s">
        <v>16</v>
      </c>
      <c r="B317" s="9" t="s">
        <v>103</v>
      </c>
      <c r="C317" s="6">
        <v>1</v>
      </c>
      <c r="D317" s="10" t="s">
        <v>161</v>
      </c>
      <c r="E317" s="59">
        <v>46209</v>
      </c>
      <c r="F317" s="59">
        <v>46218</v>
      </c>
      <c r="G317" s="16" t="s">
        <v>40</v>
      </c>
      <c r="H317" s="86">
        <v>0</v>
      </c>
    </row>
    <row r="318" spans="1:8">
      <c r="A318" s="7" t="s">
        <v>16</v>
      </c>
      <c r="B318" s="9" t="s">
        <v>104</v>
      </c>
      <c r="C318" s="6">
        <v>1</v>
      </c>
      <c r="D318" s="10" t="s">
        <v>161</v>
      </c>
      <c r="E318" s="59">
        <v>46209</v>
      </c>
      <c r="F318" s="59">
        <v>46218</v>
      </c>
      <c r="G318" s="16" t="s">
        <v>40</v>
      </c>
      <c r="H318" s="86">
        <v>0</v>
      </c>
    </row>
    <row r="319" spans="1:8">
      <c r="A319" s="7" t="s">
        <v>16</v>
      </c>
      <c r="B319" s="9" t="s">
        <v>105</v>
      </c>
      <c r="C319" s="6">
        <v>1</v>
      </c>
      <c r="D319" s="10" t="s">
        <v>161</v>
      </c>
      <c r="E319" s="59">
        <v>46209</v>
      </c>
      <c r="F319" s="59">
        <v>46218</v>
      </c>
      <c r="G319" s="16" t="s">
        <v>40</v>
      </c>
      <c r="H319" s="86">
        <v>0</v>
      </c>
    </row>
    <row r="320" spans="1:8">
      <c r="A320" s="7" t="s">
        <v>16</v>
      </c>
      <c r="B320" s="9" t="s">
        <v>106</v>
      </c>
      <c r="C320" s="6">
        <v>1</v>
      </c>
      <c r="D320" s="10" t="s">
        <v>161</v>
      </c>
      <c r="E320" s="59">
        <v>46209</v>
      </c>
      <c r="F320" s="59">
        <v>46218</v>
      </c>
      <c r="G320" s="16" t="s">
        <v>40</v>
      </c>
      <c r="H320" s="86">
        <v>0</v>
      </c>
    </row>
    <row r="321" spans="1:8">
      <c r="A321" s="7" t="s">
        <v>16</v>
      </c>
      <c r="B321" s="9" t="s">
        <v>107</v>
      </c>
      <c r="C321" s="6">
        <v>1</v>
      </c>
      <c r="D321" s="10" t="s">
        <v>161</v>
      </c>
      <c r="E321" s="59">
        <v>46209</v>
      </c>
      <c r="F321" s="59">
        <v>46218</v>
      </c>
      <c r="G321" s="16" t="s">
        <v>40</v>
      </c>
      <c r="H321" s="86">
        <v>0</v>
      </c>
    </row>
    <row r="322" spans="1:8">
      <c r="A322" s="7" t="s">
        <v>16</v>
      </c>
      <c r="B322" s="9" t="s">
        <v>108</v>
      </c>
      <c r="C322" s="6">
        <v>1</v>
      </c>
      <c r="D322" s="10" t="s">
        <v>161</v>
      </c>
      <c r="E322" s="59">
        <v>46209</v>
      </c>
      <c r="F322" s="59">
        <v>46218</v>
      </c>
      <c r="G322" s="16" t="s">
        <v>40</v>
      </c>
      <c r="H322" s="86">
        <v>0</v>
      </c>
    </row>
    <row r="323" spans="1:8">
      <c r="A323" s="7" t="s">
        <v>16</v>
      </c>
      <c r="B323" s="9" t="s">
        <v>109</v>
      </c>
      <c r="C323" s="6">
        <v>1</v>
      </c>
      <c r="D323" s="10" t="s">
        <v>161</v>
      </c>
      <c r="E323" s="59">
        <v>46209</v>
      </c>
      <c r="F323" s="59">
        <v>46218</v>
      </c>
      <c r="G323" s="16" t="s">
        <v>40</v>
      </c>
      <c r="H323" s="86">
        <v>0</v>
      </c>
    </row>
    <row r="324" spans="1:8">
      <c r="A324" s="7" t="s">
        <v>16</v>
      </c>
      <c r="B324" s="9" t="s">
        <v>110</v>
      </c>
      <c r="C324" s="6">
        <v>1</v>
      </c>
      <c r="D324" s="10" t="s">
        <v>161</v>
      </c>
      <c r="E324" s="59">
        <v>46209</v>
      </c>
      <c r="F324" s="59">
        <v>46218</v>
      </c>
      <c r="G324" s="16" t="s">
        <v>40</v>
      </c>
      <c r="H324" s="86">
        <v>0</v>
      </c>
    </row>
    <row r="325" spans="1:8">
      <c r="A325" s="7" t="s">
        <v>16</v>
      </c>
      <c r="B325" s="9" t="s">
        <v>111</v>
      </c>
      <c r="C325" s="6">
        <v>1</v>
      </c>
      <c r="D325" s="10" t="s">
        <v>161</v>
      </c>
      <c r="E325" s="59">
        <v>46209</v>
      </c>
      <c r="F325" s="59">
        <v>46218</v>
      </c>
      <c r="G325" s="16" t="s">
        <v>40</v>
      </c>
      <c r="H325" s="86">
        <v>0</v>
      </c>
    </row>
    <row r="326" spans="1:8">
      <c r="A326" s="7" t="s">
        <v>16</v>
      </c>
      <c r="B326" s="9" t="s">
        <v>112</v>
      </c>
      <c r="C326" s="6">
        <v>1</v>
      </c>
      <c r="D326" s="10" t="s">
        <v>161</v>
      </c>
      <c r="E326" s="59">
        <v>46209</v>
      </c>
      <c r="F326" s="59">
        <v>46218</v>
      </c>
      <c r="G326" s="16" t="s">
        <v>40</v>
      </c>
      <c r="H326" s="86">
        <v>0</v>
      </c>
    </row>
    <row r="327" spans="1:8">
      <c r="A327" s="7" t="s">
        <v>16</v>
      </c>
      <c r="B327" s="9" t="s">
        <v>113</v>
      </c>
      <c r="C327" s="6">
        <v>1</v>
      </c>
      <c r="D327" s="10" t="s">
        <v>161</v>
      </c>
      <c r="E327" s="59">
        <v>46209</v>
      </c>
      <c r="F327" s="59">
        <v>46218</v>
      </c>
      <c r="G327" s="16" t="s">
        <v>40</v>
      </c>
      <c r="H327" s="86">
        <v>0</v>
      </c>
    </row>
    <row r="328" spans="1:8">
      <c r="A328" s="7" t="s">
        <v>16</v>
      </c>
      <c r="B328" s="9" t="s">
        <v>114</v>
      </c>
      <c r="C328" s="6">
        <v>1</v>
      </c>
      <c r="D328" s="10" t="s">
        <v>161</v>
      </c>
      <c r="E328" s="59">
        <v>46209</v>
      </c>
      <c r="F328" s="59">
        <v>46218</v>
      </c>
      <c r="G328" s="16" t="s">
        <v>40</v>
      </c>
      <c r="H328" s="86">
        <v>0</v>
      </c>
    </row>
    <row r="329" spans="1:8">
      <c r="A329" s="7" t="s">
        <v>16</v>
      </c>
      <c r="B329" s="9" t="s">
        <v>115</v>
      </c>
      <c r="C329" s="6">
        <v>1</v>
      </c>
      <c r="D329" s="10" t="s">
        <v>161</v>
      </c>
      <c r="E329" s="59">
        <v>46209</v>
      </c>
      <c r="F329" s="59">
        <v>46218</v>
      </c>
      <c r="G329" s="16" t="s">
        <v>40</v>
      </c>
      <c r="H329" s="86">
        <v>0</v>
      </c>
    </row>
    <row r="330" spans="1:8">
      <c r="A330" s="7" t="s">
        <v>16</v>
      </c>
      <c r="B330" s="9" t="s">
        <v>116</v>
      </c>
      <c r="C330" s="6">
        <v>1</v>
      </c>
      <c r="D330" s="10" t="s">
        <v>161</v>
      </c>
      <c r="E330" s="59">
        <v>46209</v>
      </c>
      <c r="F330" s="59">
        <v>46218</v>
      </c>
      <c r="G330" s="16" t="s">
        <v>40</v>
      </c>
      <c r="H330" s="86">
        <v>0</v>
      </c>
    </row>
    <row r="331" spans="1:8">
      <c r="A331" s="7" t="s">
        <v>16</v>
      </c>
      <c r="B331" s="9" t="s">
        <v>117</v>
      </c>
      <c r="C331" s="6">
        <v>1</v>
      </c>
      <c r="D331" s="10" t="s">
        <v>161</v>
      </c>
      <c r="E331" s="59">
        <v>46209</v>
      </c>
      <c r="F331" s="59">
        <v>46218</v>
      </c>
      <c r="G331" s="16" t="s">
        <v>40</v>
      </c>
      <c r="H331" s="86">
        <v>0</v>
      </c>
    </row>
    <row r="332" spans="1:8">
      <c r="A332" s="7" t="s">
        <v>16</v>
      </c>
      <c r="B332" s="9" t="s">
        <v>118</v>
      </c>
      <c r="C332" s="6">
        <v>1</v>
      </c>
      <c r="D332" s="10" t="s">
        <v>161</v>
      </c>
      <c r="E332" s="59">
        <v>46209</v>
      </c>
      <c r="F332" s="59">
        <v>46218</v>
      </c>
      <c r="G332" s="16" t="s">
        <v>40</v>
      </c>
      <c r="H332" s="86">
        <v>0</v>
      </c>
    </row>
    <row r="333" spans="1:8">
      <c r="A333" s="7" t="s">
        <v>16</v>
      </c>
      <c r="B333" s="9" t="s">
        <v>119</v>
      </c>
      <c r="C333" s="6">
        <v>1</v>
      </c>
      <c r="D333" s="10" t="s">
        <v>161</v>
      </c>
      <c r="E333" s="59">
        <v>46209</v>
      </c>
      <c r="F333" s="59">
        <v>46218</v>
      </c>
      <c r="G333" s="16" t="s">
        <v>40</v>
      </c>
      <c r="H333" s="86">
        <v>0</v>
      </c>
    </row>
    <row r="334" spans="1:8">
      <c r="A334" s="7" t="s">
        <v>16</v>
      </c>
      <c r="B334" s="9" t="s">
        <v>120</v>
      </c>
      <c r="C334" s="6">
        <v>1</v>
      </c>
      <c r="D334" s="10" t="s">
        <v>161</v>
      </c>
      <c r="E334" s="59">
        <v>46209</v>
      </c>
      <c r="F334" s="59">
        <v>46218</v>
      </c>
      <c r="G334" s="16" t="s">
        <v>40</v>
      </c>
      <c r="H334" s="86">
        <v>0</v>
      </c>
    </row>
    <row r="335" spans="1:8">
      <c r="A335" s="7" t="s">
        <v>16</v>
      </c>
      <c r="B335" s="9" t="s">
        <v>121</v>
      </c>
      <c r="C335" s="6">
        <v>1</v>
      </c>
      <c r="D335" s="10" t="s">
        <v>161</v>
      </c>
      <c r="E335" s="59">
        <v>46209</v>
      </c>
      <c r="F335" s="59">
        <v>46218</v>
      </c>
      <c r="G335" s="16" t="s">
        <v>40</v>
      </c>
      <c r="H335" s="86">
        <v>0</v>
      </c>
    </row>
    <row r="336" spans="1:8">
      <c r="A336" s="7" t="s">
        <v>16</v>
      </c>
      <c r="B336" s="9" t="s">
        <v>122</v>
      </c>
      <c r="C336" s="6">
        <v>1</v>
      </c>
      <c r="D336" s="10" t="s">
        <v>161</v>
      </c>
      <c r="E336" s="59">
        <v>46209</v>
      </c>
      <c r="F336" s="59">
        <v>46218</v>
      </c>
      <c r="G336" s="16" t="s">
        <v>40</v>
      </c>
      <c r="H336" s="86">
        <v>0</v>
      </c>
    </row>
    <row r="337" spans="1:8">
      <c r="A337" s="7" t="s">
        <v>16</v>
      </c>
      <c r="B337" s="9" t="s">
        <v>123</v>
      </c>
      <c r="C337" s="6">
        <v>1</v>
      </c>
      <c r="D337" s="10" t="s">
        <v>161</v>
      </c>
      <c r="E337" s="59">
        <v>46209</v>
      </c>
      <c r="F337" s="59">
        <v>46218</v>
      </c>
      <c r="G337" s="16" t="s">
        <v>40</v>
      </c>
      <c r="H337" s="86">
        <v>0</v>
      </c>
    </row>
    <row r="338" spans="1:8">
      <c r="A338" s="7" t="s">
        <v>16</v>
      </c>
      <c r="B338" s="9" t="s">
        <v>124</v>
      </c>
      <c r="C338" s="6">
        <v>1</v>
      </c>
      <c r="D338" s="10" t="s">
        <v>161</v>
      </c>
      <c r="E338" s="59">
        <v>46209</v>
      </c>
      <c r="F338" s="59">
        <v>46218</v>
      </c>
      <c r="G338" s="16" t="s">
        <v>40</v>
      </c>
      <c r="H338" s="86">
        <v>0</v>
      </c>
    </row>
    <row r="339" spans="1:8">
      <c r="A339" s="7" t="s">
        <v>16</v>
      </c>
      <c r="B339" s="9" t="s">
        <v>125</v>
      </c>
      <c r="C339" s="6">
        <v>1</v>
      </c>
      <c r="D339" s="10" t="s">
        <v>161</v>
      </c>
      <c r="E339" s="59">
        <v>46209</v>
      </c>
      <c r="F339" s="59">
        <v>46218</v>
      </c>
      <c r="G339" s="16" t="s">
        <v>40</v>
      </c>
      <c r="H339" s="86">
        <v>0</v>
      </c>
    </row>
    <row r="340" spans="1:8">
      <c r="A340" s="7" t="s">
        <v>16</v>
      </c>
      <c r="B340" s="9" t="s">
        <v>126</v>
      </c>
      <c r="C340" s="6">
        <v>1</v>
      </c>
      <c r="D340" s="10" t="s">
        <v>161</v>
      </c>
      <c r="E340" s="59">
        <v>46209</v>
      </c>
      <c r="F340" s="59">
        <v>46218</v>
      </c>
      <c r="G340" s="16" t="s">
        <v>40</v>
      </c>
      <c r="H340" s="86">
        <v>0</v>
      </c>
    </row>
    <row r="341" spans="1:8">
      <c r="A341" s="7" t="s">
        <v>16</v>
      </c>
      <c r="B341" s="9" t="s">
        <v>127</v>
      </c>
      <c r="C341" s="6">
        <v>1</v>
      </c>
      <c r="D341" s="10" t="s">
        <v>161</v>
      </c>
      <c r="E341" s="59">
        <v>46209</v>
      </c>
      <c r="F341" s="59">
        <v>46218</v>
      </c>
      <c r="G341" s="16" t="s">
        <v>40</v>
      </c>
      <c r="H341" s="86">
        <v>0</v>
      </c>
    </row>
    <row r="342" spans="1:8">
      <c r="A342" s="7" t="s">
        <v>16</v>
      </c>
      <c r="B342" s="9" t="s">
        <v>128</v>
      </c>
      <c r="C342" s="6">
        <v>1</v>
      </c>
      <c r="D342" s="10" t="s">
        <v>161</v>
      </c>
      <c r="E342" s="59">
        <v>46209</v>
      </c>
      <c r="F342" s="59">
        <v>46218</v>
      </c>
      <c r="G342" s="16" t="s">
        <v>40</v>
      </c>
      <c r="H342" s="86">
        <v>0</v>
      </c>
    </row>
    <row r="343" spans="1:8">
      <c r="A343" s="7" t="s">
        <v>16</v>
      </c>
      <c r="B343" s="9" t="s">
        <v>129</v>
      </c>
      <c r="C343" s="6">
        <v>1</v>
      </c>
      <c r="D343" s="10" t="s">
        <v>161</v>
      </c>
      <c r="E343" s="59">
        <v>46209</v>
      </c>
      <c r="F343" s="59">
        <v>46218</v>
      </c>
      <c r="G343" s="16" t="s">
        <v>40</v>
      </c>
      <c r="H343" s="86">
        <v>0</v>
      </c>
    </row>
    <row r="344" spans="1:8">
      <c r="A344" s="7" t="s">
        <v>16</v>
      </c>
      <c r="B344" s="9" t="s">
        <v>130</v>
      </c>
      <c r="C344" s="6">
        <v>1</v>
      </c>
      <c r="D344" s="10" t="s">
        <v>161</v>
      </c>
      <c r="E344" s="59">
        <v>46209</v>
      </c>
      <c r="F344" s="59">
        <v>46218</v>
      </c>
      <c r="G344" s="16" t="s">
        <v>40</v>
      </c>
      <c r="H344" s="86">
        <v>0</v>
      </c>
    </row>
    <row r="345" spans="1:8">
      <c r="A345" s="7" t="s">
        <v>16</v>
      </c>
      <c r="B345" s="9" t="s">
        <v>131</v>
      </c>
      <c r="C345" s="6">
        <v>1</v>
      </c>
      <c r="D345" s="10" t="s">
        <v>161</v>
      </c>
      <c r="E345" s="59">
        <v>46209</v>
      </c>
      <c r="F345" s="59">
        <v>46218</v>
      </c>
      <c r="G345" s="16" t="s">
        <v>40</v>
      </c>
      <c r="H345" s="86">
        <v>0</v>
      </c>
    </row>
    <row r="346" spans="1:8">
      <c r="A346" s="7" t="s">
        <v>16</v>
      </c>
      <c r="B346" s="9" t="s">
        <v>132</v>
      </c>
      <c r="C346" s="6">
        <v>1</v>
      </c>
      <c r="D346" s="10" t="s">
        <v>161</v>
      </c>
      <c r="E346" s="59">
        <v>46209</v>
      </c>
      <c r="F346" s="59">
        <v>46218</v>
      </c>
      <c r="G346" s="16" t="s">
        <v>40</v>
      </c>
      <c r="H346" s="86">
        <v>0</v>
      </c>
    </row>
    <row r="347" spans="1:8">
      <c r="A347" s="7" t="s">
        <v>16</v>
      </c>
      <c r="B347" s="9" t="s">
        <v>133</v>
      </c>
      <c r="C347" s="6">
        <v>1</v>
      </c>
      <c r="D347" s="10" t="s">
        <v>161</v>
      </c>
      <c r="E347" s="59">
        <v>46209</v>
      </c>
      <c r="F347" s="59">
        <v>46218</v>
      </c>
      <c r="G347" s="16" t="s">
        <v>40</v>
      </c>
      <c r="H347" s="86">
        <v>0</v>
      </c>
    </row>
    <row r="348" spans="1:8">
      <c r="A348" s="7" t="s">
        <v>16</v>
      </c>
      <c r="B348" s="9" t="s">
        <v>134</v>
      </c>
      <c r="C348" s="6">
        <v>1</v>
      </c>
      <c r="D348" s="10" t="s">
        <v>161</v>
      </c>
      <c r="E348" s="59">
        <v>46209</v>
      </c>
      <c r="F348" s="59">
        <v>46218</v>
      </c>
      <c r="G348" s="16" t="s">
        <v>40</v>
      </c>
      <c r="H348" s="86">
        <v>0</v>
      </c>
    </row>
    <row r="349" spans="1:8">
      <c r="A349" s="7" t="s">
        <v>16</v>
      </c>
      <c r="B349" s="9" t="s">
        <v>135</v>
      </c>
      <c r="C349" s="6">
        <v>1</v>
      </c>
      <c r="D349" s="10" t="s">
        <v>161</v>
      </c>
      <c r="E349" s="59">
        <v>46209</v>
      </c>
      <c r="F349" s="59">
        <v>46218</v>
      </c>
      <c r="G349" s="16" t="s">
        <v>40</v>
      </c>
      <c r="H349" s="86">
        <v>0</v>
      </c>
    </row>
    <row r="350" spans="1:8">
      <c r="A350" s="7" t="s">
        <v>16</v>
      </c>
      <c r="B350" s="9" t="s">
        <v>136</v>
      </c>
      <c r="C350" s="6">
        <v>1</v>
      </c>
      <c r="D350" s="10" t="s">
        <v>161</v>
      </c>
      <c r="E350" s="59">
        <v>46209</v>
      </c>
      <c r="F350" s="59">
        <v>46218</v>
      </c>
      <c r="G350" s="16" t="s">
        <v>40</v>
      </c>
      <c r="H350" s="86">
        <v>0</v>
      </c>
    </row>
    <row r="351" spans="1:8">
      <c r="A351" s="7" t="s">
        <v>16</v>
      </c>
      <c r="B351" s="9" t="s">
        <v>137</v>
      </c>
      <c r="C351" s="6">
        <v>1</v>
      </c>
      <c r="D351" s="10" t="s">
        <v>161</v>
      </c>
      <c r="E351" s="59">
        <v>46209</v>
      </c>
      <c r="F351" s="59">
        <v>46218</v>
      </c>
      <c r="G351" s="16" t="s">
        <v>40</v>
      </c>
      <c r="H351" s="86">
        <v>0</v>
      </c>
    </row>
    <row r="352" spans="1:8">
      <c r="A352" s="7" t="s">
        <v>16</v>
      </c>
      <c r="B352" s="9" t="s">
        <v>138</v>
      </c>
      <c r="C352" s="6">
        <v>1</v>
      </c>
      <c r="D352" s="10" t="s">
        <v>161</v>
      </c>
      <c r="E352" s="59">
        <v>46209</v>
      </c>
      <c r="F352" s="59">
        <v>46218</v>
      </c>
      <c r="G352" s="16" t="s">
        <v>40</v>
      </c>
      <c r="H352" s="86">
        <v>0</v>
      </c>
    </row>
    <row r="353" spans="1:8">
      <c r="A353" s="7" t="s">
        <v>16</v>
      </c>
      <c r="B353" s="9" t="s">
        <v>139</v>
      </c>
      <c r="C353" s="6">
        <v>1</v>
      </c>
      <c r="D353" s="10" t="s">
        <v>161</v>
      </c>
      <c r="E353" s="59">
        <v>46209</v>
      </c>
      <c r="F353" s="59">
        <v>46218</v>
      </c>
      <c r="G353" s="16" t="s">
        <v>40</v>
      </c>
      <c r="H353" s="86">
        <v>0</v>
      </c>
    </row>
    <row r="354" spans="1:8">
      <c r="A354" s="7" t="s">
        <v>16</v>
      </c>
      <c r="B354" s="9" t="s">
        <v>140</v>
      </c>
      <c r="C354" s="6">
        <v>1</v>
      </c>
      <c r="D354" s="10" t="s">
        <v>161</v>
      </c>
      <c r="E354" s="59">
        <v>46209</v>
      </c>
      <c r="F354" s="59">
        <v>46218</v>
      </c>
      <c r="G354" s="16" t="s">
        <v>40</v>
      </c>
      <c r="H354" s="86">
        <v>0</v>
      </c>
    </row>
    <row r="355" spans="1:8">
      <c r="A355" s="7" t="s">
        <v>16</v>
      </c>
      <c r="B355" s="9" t="s">
        <v>141</v>
      </c>
      <c r="C355" s="6">
        <v>1</v>
      </c>
      <c r="D355" s="10" t="s">
        <v>161</v>
      </c>
      <c r="E355" s="59">
        <v>46209</v>
      </c>
      <c r="F355" s="59">
        <v>46218</v>
      </c>
      <c r="G355" s="16" t="s">
        <v>40</v>
      </c>
      <c r="H355" s="86">
        <v>0</v>
      </c>
    </row>
    <row r="356" spans="1:8">
      <c r="A356" s="7" t="s">
        <v>16</v>
      </c>
      <c r="B356" s="9" t="s">
        <v>142</v>
      </c>
      <c r="C356" s="6">
        <v>1</v>
      </c>
      <c r="D356" s="10" t="s">
        <v>161</v>
      </c>
      <c r="E356" s="59">
        <v>46209</v>
      </c>
      <c r="F356" s="59">
        <v>46218</v>
      </c>
      <c r="G356" s="16" t="s">
        <v>40</v>
      </c>
      <c r="H356" s="86">
        <v>0</v>
      </c>
    </row>
    <row r="357" spans="1:8">
      <c r="A357" s="7" t="s">
        <v>16</v>
      </c>
      <c r="B357" s="9" t="s">
        <v>143</v>
      </c>
      <c r="C357" s="6">
        <v>1</v>
      </c>
      <c r="D357" s="10" t="s">
        <v>161</v>
      </c>
      <c r="E357" s="59">
        <v>46209</v>
      </c>
      <c r="F357" s="59">
        <v>46218</v>
      </c>
      <c r="G357" s="16" t="s">
        <v>40</v>
      </c>
      <c r="H357" s="86">
        <v>0</v>
      </c>
    </row>
    <row r="358" spans="1:8">
      <c r="A358" s="7" t="s">
        <v>16</v>
      </c>
      <c r="B358" s="9" t="s">
        <v>144</v>
      </c>
      <c r="C358" s="6">
        <v>1</v>
      </c>
      <c r="D358" s="10" t="s">
        <v>161</v>
      </c>
      <c r="E358" s="59">
        <v>46209</v>
      </c>
      <c r="F358" s="59">
        <v>46218</v>
      </c>
      <c r="G358" s="16" t="s">
        <v>40</v>
      </c>
      <c r="H358" s="86">
        <v>0</v>
      </c>
    </row>
    <row r="359" spans="1:8">
      <c r="A359" s="7" t="s">
        <v>16</v>
      </c>
      <c r="B359" s="9" t="s">
        <v>145</v>
      </c>
      <c r="C359" s="6">
        <v>1</v>
      </c>
      <c r="D359" s="10" t="s">
        <v>161</v>
      </c>
      <c r="E359" s="59">
        <v>46209</v>
      </c>
      <c r="F359" s="59">
        <v>46218</v>
      </c>
      <c r="G359" s="16" t="s">
        <v>40</v>
      </c>
      <c r="H359" s="86">
        <v>0</v>
      </c>
    </row>
    <row r="360" spans="1:8">
      <c r="A360" s="7" t="s">
        <v>16</v>
      </c>
      <c r="B360" s="9" t="s">
        <v>146</v>
      </c>
      <c r="C360" s="6">
        <v>1</v>
      </c>
      <c r="D360" s="10" t="s">
        <v>161</v>
      </c>
      <c r="E360" s="59">
        <v>46209</v>
      </c>
      <c r="F360" s="59">
        <v>46218</v>
      </c>
      <c r="G360" s="16" t="s">
        <v>40</v>
      </c>
      <c r="H360" s="86">
        <v>0</v>
      </c>
    </row>
    <row r="361" spans="1:8">
      <c r="A361" s="7" t="s">
        <v>16</v>
      </c>
      <c r="B361" s="9" t="s">
        <v>147</v>
      </c>
      <c r="C361" s="6">
        <v>1</v>
      </c>
      <c r="D361" s="10" t="s">
        <v>161</v>
      </c>
      <c r="E361" s="59">
        <v>46209</v>
      </c>
      <c r="F361" s="59">
        <v>46218</v>
      </c>
      <c r="G361" s="16" t="s">
        <v>40</v>
      </c>
      <c r="H361" s="86">
        <v>0</v>
      </c>
    </row>
    <row r="362" spans="1:8">
      <c r="A362" s="7" t="s">
        <v>16</v>
      </c>
      <c r="B362" s="9" t="s">
        <v>148</v>
      </c>
      <c r="C362" s="6">
        <v>1</v>
      </c>
      <c r="D362" s="10" t="s">
        <v>161</v>
      </c>
      <c r="E362" s="59">
        <v>46209</v>
      </c>
      <c r="F362" s="59">
        <v>46218</v>
      </c>
      <c r="G362" s="16" t="s">
        <v>40</v>
      </c>
      <c r="H362" s="86">
        <v>0</v>
      </c>
    </row>
    <row r="363" spans="1:8">
      <c r="A363" s="7" t="s">
        <v>16</v>
      </c>
      <c r="B363" s="9" t="s">
        <v>149</v>
      </c>
      <c r="C363" s="6">
        <v>1</v>
      </c>
      <c r="D363" s="10" t="s">
        <v>161</v>
      </c>
      <c r="E363" s="59">
        <v>46209</v>
      </c>
      <c r="F363" s="59">
        <v>46218</v>
      </c>
      <c r="G363" s="16" t="s">
        <v>40</v>
      </c>
      <c r="H363" s="86">
        <v>0</v>
      </c>
    </row>
    <row r="364" spans="1:8">
      <c r="A364" s="7" t="s">
        <v>16</v>
      </c>
      <c r="B364" s="9" t="s">
        <v>150</v>
      </c>
      <c r="C364" s="6">
        <v>1</v>
      </c>
      <c r="D364" s="10" t="s">
        <v>161</v>
      </c>
      <c r="E364" s="59">
        <v>46209</v>
      </c>
      <c r="F364" s="59">
        <v>46218</v>
      </c>
      <c r="G364" s="16" t="s">
        <v>40</v>
      </c>
      <c r="H364" s="86">
        <v>0</v>
      </c>
    </row>
    <row r="365" spans="1:8">
      <c r="A365" s="7" t="s">
        <v>16</v>
      </c>
      <c r="B365" s="9" t="s">
        <v>151</v>
      </c>
      <c r="C365" s="6">
        <v>1</v>
      </c>
      <c r="D365" s="10" t="s">
        <v>161</v>
      </c>
      <c r="E365" s="59">
        <v>46209</v>
      </c>
      <c r="F365" s="59">
        <v>46218</v>
      </c>
      <c r="G365" s="16" t="s">
        <v>40</v>
      </c>
      <c r="H365" s="86">
        <v>0</v>
      </c>
    </row>
    <row r="366" spans="1:8">
      <c r="A366" s="7" t="s">
        <v>16</v>
      </c>
      <c r="B366" s="9" t="s">
        <v>152</v>
      </c>
      <c r="C366" s="6">
        <v>1</v>
      </c>
      <c r="D366" s="10" t="s">
        <v>161</v>
      </c>
      <c r="E366" s="59">
        <v>46209</v>
      </c>
      <c r="F366" s="59">
        <v>46218</v>
      </c>
      <c r="G366" s="16" t="s">
        <v>40</v>
      </c>
      <c r="H366" s="86">
        <v>0</v>
      </c>
    </row>
    <row r="367" spans="1:8">
      <c r="A367" s="7" t="s">
        <v>16</v>
      </c>
      <c r="B367" s="9" t="s">
        <v>153</v>
      </c>
      <c r="C367" s="6">
        <v>1</v>
      </c>
      <c r="D367" s="10" t="s">
        <v>161</v>
      </c>
      <c r="E367" s="59">
        <v>46209</v>
      </c>
      <c r="F367" s="59">
        <v>46218</v>
      </c>
      <c r="G367" s="16" t="s">
        <v>40</v>
      </c>
      <c r="H367" s="86">
        <v>0</v>
      </c>
    </row>
    <row r="368" spans="1:8">
      <c r="A368" s="7" t="s">
        <v>16</v>
      </c>
      <c r="B368" s="9" t="s">
        <v>154</v>
      </c>
      <c r="C368" s="6">
        <v>1</v>
      </c>
      <c r="D368" s="10" t="s">
        <v>161</v>
      </c>
      <c r="E368" s="59">
        <v>46209</v>
      </c>
      <c r="F368" s="59">
        <v>46218</v>
      </c>
      <c r="G368" s="16" t="s">
        <v>40</v>
      </c>
      <c r="H368" s="86">
        <v>0</v>
      </c>
    </row>
    <row r="369" spans="1:8">
      <c r="A369" s="7" t="s">
        <v>16</v>
      </c>
      <c r="B369" s="9" t="s">
        <v>155</v>
      </c>
      <c r="C369" s="6">
        <v>1</v>
      </c>
      <c r="D369" s="10" t="s">
        <v>161</v>
      </c>
      <c r="E369" s="59">
        <v>46209</v>
      </c>
      <c r="F369" s="59">
        <v>46218</v>
      </c>
      <c r="G369" s="16" t="s">
        <v>40</v>
      </c>
      <c r="H369" s="86">
        <v>0</v>
      </c>
    </row>
    <row r="370" spans="1:8">
      <c r="A370" s="7" t="s">
        <v>16</v>
      </c>
      <c r="B370" s="9" t="s">
        <v>156</v>
      </c>
      <c r="C370" s="6">
        <v>1</v>
      </c>
      <c r="D370" s="10" t="s">
        <v>161</v>
      </c>
      <c r="E370" s="59">
        <v>46209</v>
      </c>
      <c r="F370" s="59">
        <v>46218</v>
      </c>
      <c r="G370" s="16" t="s">
        <v>40</v>
      </c>
      <c r="H370" s="86">
        <v>0</v>
      </c>
    </row>
    <row r="371" spans="1:8">
      <c r="A371" s="7" t="s">
        <v>16</v>
      </c>
      <c r="B371" s="9" t="s">
        <v>157</v>
      </c>
      <c r="C371" s="6">
        <v>1</v>
      </c>
      <c r="D371" s="10" t="s">
        <v>161</v>
      </c>
      <c r="E371" s="59">
        <v>46209</v>
      </c>
      <c r="F371" s="59">
        <v>46218</v>
      </c>
      <c r="G371" s="16" t="s">
        <v>40</v>
      </c>
      <c r="H371" s="86">
        <v>0</v>
      </c>
    </row>
    <row r="372" spans="1:8">
      <c r="A372" s="7" t="s">
        <v>16</v>
      </c>
      <c r="B372" s="9" t="s">
        <v>158</v>
      </c>
      <c r="C372" s="6">
        <v>1</v>
      </c>
      <c r="D372" s="10" t="s">
        <v>161</v>
      </c>
      <c r="E372" s="59">
        <v>46209</v>
      </c>
      <c r="F372" s="59">
        <v>46218</v>
      </c>
      <c r="G372" s="16" t="s">
        <v>40</v>
      </c>
      <c r="H372" s="86">
        <v>0</v>
      </c>
    </row>
    <row r="373" spans="1:8">
      <c r="A373" s="7" t="s">
        <v>16</v>
      </c>
      <c r="B373" s="9" t="s">
        <v>159</v>
      </c>
      <c r="C373" s="6">
        <v>1</v>
      </c>
      <c r="D373" s="10" t="s">
        <v>161</v>
      </c>
      <c r="E373" s="59">
        <v>46209</v>
      </c>
      <c r="F373" s="59">
        <v>46218</v>
      </c>
      <c r="G373" s="16" t="s">
        <v>40</v>
      </c>
      <c r="H373" s="86">
        <v>0</v>
      </c>
    </row>
    <row r="374" spans="1:8">
      <c r="A374" s="7" t="s">
        <v>16</v>
      </c>
      <c r="B374" s="9" t="s">
        <v>32</v>
      </c>
      <c r="C374" s="6">
        <v>1</v>
      </c>
      <c r="D374" s="7" t="s">
        <v>162</v>
      </c>
      <c r="E374" s="52">
        <v>46218</v>
      </c>
      <c r="F374" s="52">
        <v>46222</v>
      </c>
      <c r="G374" s="18" t="s">
        <v>40</v>
      </c>
      <c r="H374" s="89">
        <v>0</v>
      </c>
    </row>
    <row r="375" spans="1:8">
      <c r="A375" s="7" t="s">
        <v>16</v>
      </c>
      <c r="B375" s="9" t="s">
        <v>35</v>
      </c>
      <c r="C375" s="6">
        <v>1</v>
      </c>
      <c r="D375" s="7" t="s">
        <v>162</v>
      </c>
      <c r="E375" s="52">
        <v>46218</v>
      </c>
      <c r="F375" s="52">
        <v>46222</v>
      </c>
      <c r="G375" s="18" t="s">
        <v>40</v>
      </c>
      <c r="H375" s="89">
        <v>0</v>
      </c>
    </row>
    <row r="376" spans="1:8">
      <c r="A376" s="7" t="s">
        <v>16</v>
      </c>
      <c r="B376" s="9" t="s">
        <v>36</v>
      </c>
      <c r="C376" s="6">
        <v>198</v>
      </c>
      <c r="D376" s="7" t="s">
        <v>162</v>
      </c>
      <c r="E376" s="52">
        <v>46218</v>
      </c>
      <c r="F376" s="52">
        <v>46222</v>
      </c>
      <c r="G376" s="18" t="s">
        <v>40</v>
      </c>
      <c r="H376" s="89">
        <v>0</v>
      </c>
    </row>
    <row r="377" spans="1:8">
      <c r="A377" s="7" t="s">
        <v>16</v>
      </c>
      <c r="B377" s="9" t="s">
        <v>37</v>
      </c>
      <c r="C377" s="6">
        <v>198</v>
      </c>
      <c r="D377" s="7" t="s">
        <v>162</v>
      </c>
      <c r="E377" s="52">
        <v>46218</v>
      </c>
      <c r="F377" s="52">
        <v>46222</v>
      </c>
      <c r="G377" s="18" t="s">
        <v>40</v>
      </c>
      <c r="H377" s="89">
        <v>0</v>
      </c>
    </row>
    <row r="378" spans="1:8">
      <c r="A378" s="7" t="s">
        <v>16</v>
      </c>
      <c r="B378" s="9" t="s">
        <v>38</v>
      </c>
      <c r="C378" s="6">
        <v>1</v>
      </c>
      <c r="D378" s="7" t="s">
        <v>162</v>
      </c>
      <c r="E378" s="52">
        <v>46218</v>
      </c>
      <c r="F378" s="52">
        <v>46222</v>
      </c>
      <c r="G378" s="18" t="s">
        <v>40</v>
      </c>
      <c r="H378" s="89">
        <v>0</v>
      </c>
    </row>
    <row r="379" spans="1:8">
      <c r="A379" s="7" t="s">
        <v>16</v>
      </c>
      <c r="B379" s="9" t="s">
        <v>39</v>
      </c>
      <c r="C379" s="6">
        <v>1</v>
      </c>
      <c r="D379" s="7" t="s">
        <v>162</v>
      </c>
      <c r="E379" s="52">
        <v>46218</v>
      </c>
      <c r="F379" s="52">
        <v>46222</v>
      </c>
      <c r="G379" s="18" t="s">
        <v>40</v>
      </c>
      <c r="H379" s="89">
        <v>0</v>
      </c>
    </row>
    <row r="380" spans="1:8">
      <c r="A380" s="7" t="s">
        <v>16</v>
      </c>
      <c r="B380" s="9" t="s">
        <v>41</v>
      </c>
      <c r="C380" s="6">
        <v>1</v>
      </c>
      <c r="D380" s="7" t="s">
        <v>162</v>
      </c>
      <c r="E380" s="52">
        <v>46218</v>
      </c>
      <c r="F380" s="52">
        <v>46222</v>
      </c>
      <c r="G380" s="18" t="s">
        <v>40</v>
      </c>
      <c r="H380" s="89">
        <v>0</v>
      </c>
    </row>
    <row r="381" spans="1:8">
      <c r="A381" s="7" t="s">
        <v>16</v>
      </c>
      <c r="B381" s="9" t="s">
        <v>42</v>
      </c>
      <c r="C381" s="6">
        <v>1</v>
      </c>
      <c r="D381" s="7" t="s">
        <v>162</v>
      </c>
      <c r="E381" s="52">
        <v>46218</v>
      </c>
      <c r="F381" s="52">
        <v>46222</v>
      </c>
      <c r="G381" s="18" t="s">
        <v>40</v>
      </c>
      <c r="H381" s="89">
        <v>0</v>
      </c>
    </row>
    <row r="382" spans="1:8">
      <c r="A382" s="7" t="s">
        <v>16</v>
      </c>
      <c r="B382" s="9" t="s">
        <v>43</v>
      </c>
      <c r="C382" s="6">
        <v>1</v>
      </c>
      <c r="D382" s="7" t="s">
        <v>162</v>
      </c>
      <c r="E382" s="52">
        <v>46218</v>
      </c>
      <c r="F382" s="52">
        <v>46222</v>
      </c>
      <c r="G382" s="18" t="s">
        <v>40</v>
      </c>
      <c r="H382" s="89">
        <v>0</v>
      </c>
    </row>
    <row r="383" spans="1:8">
      <c r="A383" s="7" t="s">
        <v>16</v>
      </c>
      <c r="B383" s="9" t="s">
        <v>44</v>
      </c>
      <c r="C383" s="6">
        <v>1</v>
      </c>
      <c r="D383" s="7" t="s">
        <v>162</v>
      </c>
      <c r="E383" s="52">
        <v>46218</v>
      </c>
      <c r="F383" s="52">
        <v>46222</v>
      </c>
      <c r="G383" s="18" t="s">
        <v>40</v>
      </c>
      <c r="H383" s="89">
        <v>0</v>
      </c>
    </row>
    <row r="384" spans="1:8">
      <c r="A384" s="7" t="s">
        <v>16</v>
      </c>
      <c r="B384" s="9" t="s">
        <v>45</v>
      </c>
      <c r="C384" s="6">
        <v>1</v>
      </c>
      <c r="D384" s="7" t="s">
        <v>162</v>
      </c>
      <c r="E384" s="52">
        <v>46218</v>
      </c>
      <c r="F384" s="52">
        <v>46222</v>
      </c>
      <c r="G384" s="18" t="s">
        <v>40</v>
      </c>
      <c r="H384" s="89">
        <v>0</v>
      </c>
    </row>
    <row r="385" spans="1:8">
      <c r="A385" s="7" t="s">
        <v>16</v>
      </c>
      <c r="B385" s="9" t="s">
        <v>46</v>
      </c>
      <c r="C385" s="6">
        <v>1</v>
      </c>
      <c r="D385" s="7" t="s">
        <v>162</v>
      </c>
      <c r="E385" s="52">
        <v>46218</v>
      </c>
      <c r="F385" s="52">
        <v>46222</v>
      </c>
      <c r="G385" s="18" t="s">
        <v>40</v>
      </c>
      <c r="H385" s="89">
        <v>0</v>
      </c>
    </row>
    <row r="386" spans="1:8">
      <c r="A386" s="7" t="s">
        <v>16</v>
      </c>
      <c r="B386" s="9" t="s">
        <v>47</v>
      </c>
      <c r="C386" s="6">
        <v>1</v>
      </c>
      <c r="D386" s="7" t="s">
        <v>162</v>
      </c>
      <c r="E386" s="52">
        <v>46218</v>
      </c>
      <c r="F386" s="52">
        <v>46222</v>
      </c>
      <c r="G386" s="18" t="s">
        <v>40</v>
      </c>
      <c r="H386" s="89">
        <v>0</v>
      </c>
    </row>
    <row r="387" spans="1:8">
      <c r="A387" s="7" t="s">
        <v>16</v>
      </c>
      <c r="B387" s="9" t="s">
        <v>48</v>
      </c>
      <c r="C387" s="6">
        <v>1</v>
      </c>
      <c r="D387" s="7" t="s">
        <v>162</v>
      </c>
      <c r="E387" s="52">
        <v>46218</v>
      </c>
      <c r="F387" s="52">
        <v>46222</v>
      </c>
      <c r="G387" s="18" t="s">
        <v>40</v>
      </c>
      <c r="H387" s="89">
        <v>0</v>
      </c>
    </row>
    <row r="388" spans="1:8">
      <c r="A388" s="7" t="s">
        <v>16</v>
      </c>
      <c r="B388" s="9" t="s">
        <v>49</v>
      </c>
      <c r="C388" s="6">
        <v>1</v>
      </c>
      <c r="D388" s="7" t="s">
        <v>162</v>
      </c>
      <c r="E388" s="52">
        <v>46218</v>
      </c>
      <c r="F388" s="52">
        <v>46222</v>
      </c>
      <c r="G388" s="18" t="s">
        <v>40</v>
      </c>
      <c r="H388" s="89">
        <v>0</v>
      </c>
    </row>
    <row r="389" spans="1:8">
      <c r="A389" s="7" t="s">
        <v>16</v>
      </c>
      <c r="B389" s="9" t="s">
        <v>50</v>
      </c>
      <c r="C389" s="6">
        <v>1</v>
      </c>
      <c r="D389" s="7" t="s">
        <v>162</v>
      </c>
      <c r="E389" s="52">
        <v>46218</v>
      </c>
      <c r="F389" s="52">
        <v>46222</v>
      </c>
      <c r="G389" s="18" t="s">
        <v>40</v>
      </c>
      <c r="H389" s="89">
        <v>0</v>
      </c>
    </row>
    <row r="390" spans="1:8">
      <c r="A390" s="7" t="s">
        <v>16</v>
      </c>
      <c r="B390" s="9" t="s">
        <v>51</v>
      </c>
      <c r="C390" s="6">
        <v>1</v>
      </c>
      <c r="D390" s="7" t="s">
        <v>162</v>
      </c>
      <c r="E390" s="52">
        <v>46218</v>
      </c>
      <c r="F390" s="52">
        <v>46222</v>
      </c>
      <c r="G390" s="18" t="s">
        <v>40</v>
      </c>
      <c r="H390" s="89">
        <v>0</v>
      </c>
    </row>
    <row r="391" spans="1:8">
      <c r="A391" s="7" t="s">
        <v>16</v>
      </c>
      <c r="B391" s="9" t="s">
        <v>52</v>
      </c>
      <c r="C391" s="6">
        <v>1</v>
      </c>
      <c r="D391" s="7" t="s">
        <v>162</v>
      </c>
      <c r="E391" s="52">
        <v>46218</v>
      </c>
      <c r="F391" s="52">
        <v>46222</v>
      </c>
      <c r="G391" s="18" t="s">
        <v>40</v>
      </c>
      <c r="H391" s="89">
        <v>0</v>
      </c>
    </row>
    <row r="392" spans="1:8">
      <c r="A392" s="7" t="s">
        <v>16</v>
      </c>
      <c r="B392" s="9" t="s">
        <v>53</v>
      </c>
      <c r="C392" s="6">
        <v>1</v>
      </c>
      <c r="D392" s="7" t="s">
        <v>162</v>
      </c>
      <c r="E392" s="52">
        <v>46218</v>
      </c>
      <c r="F392" s="52">
        <v>46222</v>
      </c>
      <c r="G392" s="18" t="s">
        <v>40</v>
      </c>
      <c r="H392" s="89">
        <v>0</v>
      </c>
    </row>
    <row r="393" spans="1:8">
      <c r="A393" s="7" t="s">
        <v>16</v>
      </c>
      <c r="B393" s="9" t="s">
        <v>54</v>
      </c>
      <c r="C393" s="6">
        <v>1</v>
      </c>
      <c r="D393" s="7" t="s">
        <v>162</v>
      </c>
      <c r="E393" s="52">
        <v>46218</v>
      </c>
      <c r="F393" s="52">
        <v>46222</v>
      </c>
      <c r="G393" s="18" t="s">
        <v>40</v>
      </c>
      <c r="H393" s="89">
        <v>0</v>
      </c>
    </row>
    <row r="394" spans="1:8">
      <c r="A394" s="7" t="s">
        <v>16</v>
      </c>
      <c r="B394" s="9" t="s">
        <v>55</v>
      </c>
      <c r="C394" s="6">
        <v>1</v>
      </c>
      <c r="D394" s="7" t="s">
        <v>162</v>
      </c>
      <c r="E394" s="52">
        <v>46218</v>
      </c>
      <c r="F394" s="52">
        <v>46222</v>
      </c>
      <c r="G394" s="18" t="s">
        <v>40</v>
      </c>
      <c r="H394" s="89">
        <v>0</v>
      </c>
    </row>
    <row r="395" spans="1:8">
      <c r="A395" s="7" t="s">
        <v>16</v>
      </c>
      <c r="B395" s="9" t="s">
        <v>56</v>
      </c>
      <c r="C395" s="6">
        <v>1</v>
      </c>
      <c r="D395" s="7" t="s">
        <v>162</v>
      </c>
      <c r="E395" s="52">
        <v>46218</v>
      </c>
      <c r="F395" s="52">
        <v>46222</v>
      </c>
      <c r="G395" s="18" t="s">
        <v>40</v>
      </c>
      <c r="H395" s="89">
        <v>0</v>
      </c>
    </row>
    <row r="396" spans="1:8">
      <c r="A396" s="7" t="s">
        <v>16</v>
      </c>
      <c r="B396" s="9" t="s">
        <v>57</v>
      </c>
      <c r="C396" s="6">
        <v>1</v>
      </c>
      <c r="D396" s="7" t="s">
        <v>162</v>
      </c>
      <c r="E396" s="52">
        <v>46218</v>
      </c>
      <c r="F396" s="52">
        <v>46222</v>
      </c>
      <c r="G396" s="18" t="s">
        <v>40</v>
      </c>
      <c r="H396" s="89">
        <v>0</v>
      </c>
    </row>
    <row r="397" spans="1:8">
      <c r="A397" s="7" t="s">
        <v>16</v>
      </c>
      <c r="B397" s="9" t="s">
        <v>58</v>
      </c>
      <c r="C397" s="6">
        <v>1</v>
      </c>
      <c r="D397" s="7" t="s">
        <v>162</v>
      </c>
      <c r="E397" s="52">
        <v>46218</v>
      </c>
      <c r="F397" s="52">
        <v>46222</v>
      </c>
      <c r="G397" s="18" t="s">
        <v>40</v>
      </c>
      <c r="H397" s="89">
        <v>0</v>
      </c>
    </row>
    <row r="398" spans="1:8">
      <c r="A398" s="7" t="s">
        <v>16</v>
      </c>
      <c r="B398" s="9" t="s">
        <v>59</v>
      </c>
      <c r="C398" s="6">
        <v>1</v>
      </c>
      <c r="D398" s="7" t="s">
        <v>162</v>
      </c>
      <c r="E398" s="52">
        <v>46218</v>
      </c>
      <c r="F398" s="52">
        <v>46222</v>
      </c>
      <c r="G398" s="18" t="s">
        <v>40</v>
      </c>
      <c r="H398" s="89">
        <v>0</v>
      </c>
    </row>
    <row r="399" spans="1:8">
      <c r="A399" s="7" t="s">
        <v>16</v>
      </c>
      <c r="B399" s="9" t="s">
        <v>60</v>
      </c>
      <c r="C399" s="6">
        <v>1</v>
      </c>
      <c r="D399" s="7" t="s">
        <v>162</v>
      </c>
      <c r="E399" s="52">
        <v>46218</v>
      </c>
      <c r="F399" s="52">
        <v>46222</v>
      </c>
      <c r="G399" s="18" t="s">
        <v>40</v>
      </c>
      <c r="H399" s="89">
        <v>0</v>
      </c>
    </row>
    <row r="400" spans="1:8">
      <c r="A400" s="7" t="s">
        <v>16</v>
      </c>
      <c r="B400" s="9" t="s">
        <v>61</v>
      </c>
      <c r="C400" s="6">
        <v>1</v>
      </c>
      <c r="D400" s="7" t="s">
        <v>162</v>
      </c>
      <c r="E400" s="52">
        <v>46218</v>
      </c>
      <c r="F400" s="52">
        <v>46222</v>
      </c>
      <c r="G400" s="18" t="s">
        <v>40</v>
      </c>
      <c r="H400" s="89">
        <v>0</v>
      </c>
    </row>
    <row r="401" spans="1:8">
      <c r="A401" s="7" t="s">
        <v>16</v>
      </c>
      <c r="B401" s="9" t="s">
        <v>62</v>
      </c>
      <c r="C401" s="6">
        <v>1</v>
      </c>
      <c r="D401" s="7" t="s">
        <v>162</v>
      </c>
      <c r="E401" s="52">
        <v>46218</v>
      </c>
      <c r="F401" s="52">
        <v>46222</v>
      </c>
      <c r="G401" s="18" t="s">
        <v>40</v>
      </c>
      <c r="H401" s="89">
        <v>0</v>
      </c>
    </row>
    <row r="402" spans="1:8">
      <c r="A402" s="7" t="s">
        <v>16</v>
      </c>
      <c r="B402" s="9" t="s">
        <v>63</v>
      </c>
      <c r="C402" s="6">
        <v>1</v>
      </c>
      <c r="D402" s="7" t="s">
        <v>162</v>
      </c>
      <c r="E402" s="52">
        <v>46218</v>
      </c>
      <c r="F402" s="52">
        <v>46222</v>
      </c>
      <c r="G402" s="18" t="s">
        <v>40</v>
      </c>
      <c r="H402" s="89">
        <v>0</v>
      </c>
    </row>
    <row r="403" spans="1:8">
      <c r="A403" s="7" t="s">
        <v>16</v>
      </c>
      <c r="B403" s="9" t="s">
        <v>64</v>
      </c>
      <c r="C403" s="6">
        <v>1</v>
      </c>
      <c r="D403" s="7" t="s">
        <v>162</v>
      </c>
      <c r="E403" s="52">
        <v>46218</v>
      </c>
      <c r="F403" s="52">
        <v>46222</v>
      </c>
      <c r="G403" s="18" t="s">
        <v>40</v>
      </c>
      <c r="H403" s="89">
        <v>0</v>
      </c>
    </row>
    <row r="404" spans="1:8">
      <c r="A404" s="7" t="s">
        <v>16</v>
      </c>
      <c r="B404" s="9" t="s">
        <v>65</v>
      </c>
      <c r="C404" s="6">
        <v>1</v>
      </c>
      <c r="D404" s="7" t="s">
        <v>162</v>
      </c>
      <c r="E404" s="52">
        <v>46218</v>
      </c>
      <c r="F404" s="52">
        <v>46222</v>
      </c>
      <c r="G404" s="18" t="s">
        <v>40</v>
      </c>
      <c r="H404" s="89">
        <v>0</v>
      </c>
    </row>
    <row r="405" spans="1:8">
      <c r="A405" s="7" t="s">
        <v>16</v>
      </c>
      <c r="B405" s="9" t="s">
        <v>66</v>
      </c>
      <c r="C405" s="6">
        <v>1</v>
      </c>
      <c r="D405" s="7" t="s">
        <v>162</v>
      </c>
      <c r="E405" s="52">
        <v>46218</v>
      </c>
      <c r="F405" s="52">
        <v>46222</v>
      </c>
      <c r="G405" s="18" t="s">
        <v>40</v>
      </c>
      <c r="H405" s="89">
        <v>0</v>
      </c>
    </row>
    <row r="406" spans="1:8">
      <c r="A406" s="7" t="s">
        <v>16</v>
      </c>
      <c r="B406" s="9" t="s">
        <v>67</v>
      </c>
      <c r="C406" s="6">
        <v>1</v>
      </c>
      <c r="D406" s="7" t="s">
        <v>162</v>
      </c>
      <c r="E406" s="52">
        <v>46218</v>
      </c>
      <c r="F406" s="52">
        <v>46222</v>
      </c>
      <c r="G406" s="18" t="s">
        <v>40</v>
      </c>
      <c r="H406" s="89">
        <v>0</v>
      </c>
    </row>
    <row r="407" spans="1:8">
      <c r="A407" s="7" t="s">
        <v>16</v>
      </c>
      <c r="B407" s="9" t="s">
        <v>68</v>
      </c>
      <c r="C407" s="6">
        <v>1</v>
      </c>
      <c r="D407" s="7" t="s">
        <v>162</v>
      </c>
      <c r="E407" s="52">
        <v>46218</v>
      </c>
      <c r="F407" s="52">
        <v>46222</v>
      </c>
      <c r="G407" s="18" t="s">
        <v>40</v>
      </c>
      <c r="H407" s="89">
        <v>0</v>
      </c>
    </row>
    <row r="408" spans="1:8">
      <c r="A408" s="7" t="s">
        <v>16</v>
      </c>
      <c r="B408" s="9" t="s">
        <v>69</v>
      </c>
      <c r="C408" s="6" t="s">
        <v>70</v>
      </c>
      <c r="D408" s="7" t="s">
        <v>162</v>
      </c>
      <c r="E408" s="52">
        <v>46218</v>
      </c>
      <c r="F408" s="52">
        <v>46222</v>
      </c>
      <c r="G408" s="18" t="s">
        <v>40</v>
      </c>
      <c r="H408" s="89">
        <v>0</v>
      </c>
    </row>
    <row r="409" spans="1:8">
      <c r="A409" s="7" t="s">
        <v>16</v>
      </c>
      <c r="B409" s="9" t="s">
        <v>71</v>
      </c>
      <c r="C409" s="6">
        <v>1</v>
      </c>
      <c r="D409" s="7" t="s">
        <v>162</v>
      </c>
      <c r="E409" s="52">
        <v>46218</v>
      </c>
      <c r="F409" s="52">
        <v>46222</v>
      </c>
      <c r="G409" s="18" t="s">
        <v>40</v>
      </c>
      <c r="H409" s="89">
        <v>0</v>
      </c>
    </row>
    <row r="410" spans="1:8">
      <c r="A410" s="7" t="s">
        <v>16</v>
      </c>
      <c r="B410" s="9" t="s">
        <v>72</v>
      </c>
      <c r="C410" s="6">
        <v>1</v>
      </c>
      <c r="D410" s="7" t="s">
        <v>162</v>
      </c>
      <c r="E410" s="52">
        <v>46218</v>
      </c>
      <c r="F410" s="52">
        <v>46222</v>
      </c>
      <c r="G410" s="18" t="s">
        <v>40</v>
      </c>
      <c r="H410" s="89">
        <v>0</v>
      </c>
    </row>
    <row r="411" spans="1:8">
      <c r="A411" s="7" t="s">
        <v>16</v>
      </c>
      <c r="B411" s="9" t="s">
        <v>73</v>
      </c>
      <c r="C411" s="6">
        <v>1</v>
      </c>
      <c r="D411" s="7" t="s">
        <v>162</v>
      </c>
      <c r="E411" s="52">
        <v>46218</v>
      </c>
      <c r="F411" s="52">
        <v>46222</v>
      </c>
      <c r="G411" s="18" t="s">
        <v>40</v>
      </c>
      <c r="H411" s="89">
        <v>0</v>
      </c>
    </row>
    <row r="412" spans="1:8">
      <c r="A412" s="7" t="s">
        <v>16</v>
      </c>
      <c r="B412" s="9" t="s">
        <v>74</v>
      </c>
      <c r="C412" s="6">
        <v>1</v>
      </c>
      <c r="D412" s="7" t="s">
        <v>162</v>
      </c>
      <c r="E412" s="52">
        <v>46218</v>
      </c>
      <c r="F412" s="52">
        <v>46222</v>
      </c>
      <c r="G412" s="18" t="s">
        <v>40</v>
      </c>
      <c r="H412" s="89">
        <v>0</v>
      </c>
    </row>
    <row r="413" spans="1:8">
      <c r="A413" s="7" t="s">
        <v>16</v>
      </c>
      <c r="B413" s="9" t="s">
        <v>75</v>
      </c>
      <c r="C413" s="6">
        <v>1</v>
      </c>
      <c r="D413" s="7" t="s">
        <v>162</v>
      </c>
      <c r="E413" s="52">
        <v>46218</v>
      </c>
      <c r="F413" s="52">
        <v>46222</v>
      </c>
      <c r="G413" s="18" t="s">
        <v>40</v>
      </c>
      <c r="H413" s="89">
        <v>0</v>
      </c>
    </row>
    <row r="414" spans="1:8">
      <c r="A414" s="7" t="s">
        <v>16</v>
      </c>
      <c r="B414" s="9" t="s">
        <v>76</v>
      </c>
      <c r="C414" s="6">
        <v>1</v>
      </c>
      <c r="D414" s="7" t="s">
        <v>162</v>
      </c>
      <c r="E414" s="52">
        <v>46218</v>
      </c>
      <c r="F414" s="52">
        <v>46222</v>
      </c>
      <c r="G414" s="18" t="s">
        <v>40</v>
      </c>
      <c r="H414" s="89">
        <v>0</v>
      </c>
    </row>
    <row r="415" spans="1:8">
      <c r="A415" s="7" t="s">
        <v>16</v>
      </c>
      <c r="B415" s="9" t="s">
        <v>77</v>
      </c>
      <c r="C415" s="6">
        <v>1</v>
      </c>
      <c r="D415" s="7" t="s">
        <v>162</v>
      </c>
      <c r="E415" s="52">
        <v>46218</v>
      </c>
      <c r="F415" s="52">
        <v>46222</v>
      </c>
      <c r="G415" s="18" t="s">
        <v>40</v>
      </c>
      <c r="H415" s="89">
        <v>0</v>
      </c>
    </row>
    <row r="416" spans="1:8">
      <c r="A416" s="7" t="s">
        <v>16</v>
      </c>
      <c r="B416" s="9" t="s">
        <v>78</v>
      </c>
      <c r="C416" s="6">
        <v>1</v>
      </c>
      <c r="D416" s="7" t="s">
        <v>162</v>
      </c>
      <c r="E416" s="52">
        <v>46218</v>
      </c>
      <c r="F416" s="52">
        <v>46222</v>
      </c>
      <c r="G416" s="18" t="s">
        <v>40</v>
      </c>
      <c r="H416" s="89">
        <v>0</v>
      </c>
    </row>
    <row r="417" spans="1:8">
      <c r="A417" s="7" t="s">
        <v>16</v>
      </c>
      <c r="B417" s="9" t="s">
        <v>79</v>
      </c>
      <c r="C417" s="6">
        <v>1</v>
      </c>
      <c r="D417" s="7" t="s">
        <v>162</v>
      </c>
      <c r="E417" s="52">
        <v>46218</v>
      </c>
      <c r="F417" s="52">
        <v>46222</v>
      </c>
      <c r="G417" s="18" t="s">
        <v>40</v>
      </c>
      <c r="H417" s="89">
        <v>0</v>
      </c>
    </row>
    <row r="418" spans="1:8">
      <c r="A418" s="7" t="s">
        <v>16</v>
      </c>
      <c r="B418" s="9" t="s">
        <v>80</v>
      </c>
      <c r="C418" s="6">
        <v>1</v>
      </c>
      <c r="D418" s="7" t="s">
        <v>162</v>
      </c>
      <c r="E418" s="52">
        <v>46218</v>
      </c>
      <c r="F418" s="52">
        <v>46222</v>
      </c>
      <c r="G418" s="18" t="s">
        <v>40</v>
      </c>
      <c r="H418" s="89">
        <v>0</v>
      </c>
    </row>
    <row r="419" spans="1:8">
      <c r="A419" s="7" t="s">
        <v>16</v>
      </c>
      <c r="B419" s="9" t="s">
        <v>81</v>
      </c>
      <c r="C419" s="6">
        <v>1</v>
      </c>
      <c r="D419" s="7" t="s">
        <v>162</v>
      </c>
      <c r="E419" s="52">
        <v>46218</v>
      </c>
      <c r="F419" s="52">
        <v>46222</v>
      </c>
      <c r="G419" s="18" t="s">
        <v>40</v>
      </c>
      <c r="H419" s="89">
        <v>0</v>
      </c>
    </row>
    <row r="420" spans="1:8">
      <c r="A420" s="7" t="s">
        <v>16</v>
      </c>
      <c r="B420" s="9" t="s">
        <v>82</v>
      </c>
      <c r="C420" s="6">
        <v>1</v>
      </c>
      <c r="D420" s="7" t="s">
        <v>162</v>
      </c>
      <c r="E420" s="52">
        <v>46218</v>
      </c>
      <c r="F420" s="52">
        <v>46222</v>
      </c>
      <c r="G420" s="18" t="s">
        <v>40</v>
      </c>
      <c r="H420" s="89">
        <v>0</v>
      </c>
    </row>
    <row r="421" spans="1:8">
      <c r="A421" s="7" t="s">
        <v>16</v>
      </c>
      <c r="B421" s="9" t="s">
        <v>83</v>
      </c>
      <c r="C421" s="6">
        <v>1</v>
      </c>
      <c r="D421" s="7" t="s">
        <v>162</v>
      </c>
      <c r="E421" s="52">
        <v>46218</v>
      </c>
      <c r="F421" s="52">
        <v>46222</v>
      </c>
      <c r="G421" s="18" t="s">
        <v>40</v>
      </c>
      <c r="H421" s="89">
        <v>0</v>
      </c>
    </row>
    <row r="422" spans="1:8">
      <c r="A422" s="7" t="s">
        <v>16</v>
      </c>
      <c r="B422" s="9" t="s">
        <v>84</v>
      </c>
      <c r="C422" s="6">
        <v>1</v>
      </c>
      <c r="D422" s="7" t="s">
        <v>162</v>
      </c>
      <c r="E422" s="52">
        <v>46218</v>
      </c>
      <c r="F422" s="52">
        <v>46222</v>
      </c>
      <c r="G422" s="18" t="s">
        <v>40</v>
      </c>
      <c r="H422" s="89">
        <v>0</v>
      </c>
    </row>
    <row r="423" spans="1:8">
      <c r="A423" s="7" t="s">
        <v>16</v>
      </c>
      <c r="B423" s="9" t="s">
        <v>85</v>
      </c>
      <c r="C423" s="6">
        <v>1</v>
      </c>
      <c r="D423" s="7" t="s">
        <v>162</v>
      </c>
      <c r="E423" s="52">
        <v>46218</v>
      </c>
      <c r="F423" s="52">
        <v>46222</v>
      </c>
      <c r="G423" s="18" t="s">
        <v>40</v>
      </c>
      <c r="H423" s="89">
        <v>0</v>
      </c>
    </row>
    <row r="424" spans="1:8">
      <c r="A424" s="7" t="s">
        <v>16</v>
      </c>
      <c r="B424" s="9" t="s">
        <v>86</v>
      </c>
      <c r="C424" s="6">
        <v>1</v>
      </c>
      <c r="D424" s="7" t="s">
        <v>162</v>
      </c>
      <c r="E424" s="52">
        <v>46218</v>
      </c>
      <c r="F424" s="52">
        <v>46222</v>
      </c>
      <c r="G424" s="18" t="s">
        <v>40</v>
      </c>
      <c r="H424" s="89">
        <v>0</v>
      </c>
    </row>
    <row r="425" spans="1:8">
      <c r="A425" s="7" t="s">
        <v>16</v>
      </c>
      <c r="B425" s="9" t="s">
        <v>87</v>
      </c>
      <c r="C425" s="6">
        <v>1</v>
      </c>
      <c r="D425" s="7" t="s">
        <v>162</v>
      </c>
      <c r="E425" s="52">
        <v>46218</v>
      </c>
      <c r="F425" s="52">
        <v>46222</v>
      </c>
      <c r="G425" s="18" t="s">
        <v>40</v>
      </c>
      <c r="H425" s="89">
        <v>0</v>
      </c>
    </row>
    <row r="426" spans="1:8">
      <c r="A426" s="7" t="s">
        <v>16</v>
      </c>
      <c r="B426" s="9" t="s">
        <v>88</v>
      </c>
      <c r="C426" s="6">
        <v>1</v>
      </c>
      <c r="D426" s="7" t="s">
        <v>162</v>
      </c>
      <c r="E426" s="52">
        <v>46218</v>
      </c>
      <c r="F426" s="52">
        <v>46222</v>
      </c>
      <c r="G426" s="18" t="s">
        <v>40</v>
      </c>
      <c r="H426" s="89">
        <v>0</v>
      </c>
    </row>
    <row r="427" spans="1:8">
      <c r="A427" s="7" t="s">
        <v>16</v>
      </c>
      <c r="B427" s="9" t="s">
        <v>89</v>
      </c>
      <c r="C427" s="6">
        <v>1</v>
      </c>
      <c r="D427" s="7" t="s">
        <v>162</v>
      </c>
      <c r="E427" s="52">
        <v>46218</v>
      </c>
      <c r="F427" s="52">
        <v>46222</v>
      </c>
      <c r="G427" s="18" t="s">
        <v>40</v>
      </c>
      <c r="H427" s="89">
        <v>0</v>
      </c>
    </row>
    <row r="428" spans="1:8">
      <c r="A428" s="7" t="s">
        <v>16</v>
      </c>
      <c r="B428" s="9" t="s">
        <v>90</v>
      </c>
      <c r="C428" s="6">
        <v>1</v>
      </c>
      <c r="D428" s="7" t="s">
        <v>162</v>
      </c>
      <c r="E428" s="52">
        <v>46218</v>
      </c>
      <c r="F428" s="52">
        <v>46222</v>
      </c>
      <c r="G428" s="18" t="s">
        <v>40</v>
      </c>
      <c r="H428" s="89">
        <v>0</v>
      </c>
    </row>
    <row r="429" spans="1:8">
      <c r="A429" s="7" t="s">
        <v>16</v>
      </c>
      <c r="B429" s="9" t="s">
        <v>91</v>
      </c>
      <c r="C429" s="6">
        <v>1</v>
      </c>
      <c r="D429" s="7" t="s">
        <v>162</v>
      </c>
      <c r="E429" s="52">
        <v>46218</v>
      </c>
      <c r="F429" s="52">
        <v>46222</v>
      </c>
      <c r="G429" s="18" t="s">
        <v>40</v>
      </c>
      <c r="H429" s="89">
        <v>0</v>
      </c>
    </row>
    <row r="430" spans="1:8">
      <c r="A430" s="7" t="s">
        <v>16</v>
      </c>
      <c r="B430" s="9" t="s">
        <v>92</v>
      </c>
      <c r="C430" s="6">
        <v>1</v>
      </c>
      <c r="D430" s="7" t="s">
        <v>162</v>
      </c>
      <c r="E430" s="52">
        <v>46218</v>
      </c>
      <c r="F430" s="52">
        <v>46222</v>
      </c>
      <c r="G430" s="18" t="s">
        <v>40</v>
      </c>
      <c r="H430" s="89">
        <v>0</v>
      </c>
    </row>
    <row r="431" spans="1:8">
      <c r="A431" s="7" t="s">
        <v>16</v>
      </c>
      <c r="B431" s="9" t="s">
        <v>93</v>
      </c>
      <c r="C431" s="6">
        <v>1</v>
      </c>
      <c r="D431" s="7" t="s">
        <v>162</v>
      </c>
      <c r="E431" s="52">
        <v>46218</v>
      </c>
      <c r="F431" s="52">
        <v>46222</v>
      </c>
      <c r="G431" s="18" t="s">
        <v>40</v>
      </c>
      <c r="H431" s="89">
        <v>0</v>
      </c>
    </row>
    <row r="432" spans="1:8">
      <c r="A432" s="7" t="s">
        <v>16</v>
      </c>
      <c r="B432" s="9" t="s">
        <v>94</v>
      </c>
      <c r="C432" s="6">
        <v>1</v>
      </c>
      <c r="D432" s="7" t="s">
        <v>162</v>
      </c>
      <c r="E432" s="52">
        <v>46218</v>
      </c>
      <c r="F432" s="52">
        <v>46222</v>
      </c>
      <c r="G432" s="18" t="s">
        <v>40</v>
      </c>
      <c r="H432" s="89">
        <v>0</v>
      </c>
    </row>
    <row r="433" spans="1:8">
      <c r="A433" s="7" t="s">
        <v>16</v>
      </c>
      <c r="B433" s="9" t="s">
        <v>95</v>
      </c>
      <c r="C433" s="6">
        <v>1</v>
      </c>
      <c r="D433" s="7" t="s">
        <v>162</v>
      </c>
      <c r="E433" s="52">
        <v>46218</v>
      </c>
      <c r="F433" s="52">
        <v>46222</v>
      </c>
      <c r="G433" s="18" t="s">
        <v>40</v>
      </c>
      <c r="H433" s="89">
        <v>0</v>
      </c>
    </row>
    <row r="434" spans="1:8">
      <c r="A434" s="7" t="s">
        <v>16</v>
      </c>
      <c r="B434" s="9" t="s">
        <v>96</v>
      </c>
      <c r="C434" s="6">
        <v>1</v>
      </c>
      <c r="D434" s="7" t="s">
        <v>162</v>
      </c>
      <c r="E434" s="52">
        <v>46218</v>
      </c>
      <c r="F434" s="52">
        <v>46222</v>
      </c>
      <c r="G434" s="18" t="s">
        <v>40</v>
      </c>
      <c r="H434" s="89">
        <v>0</v>
      </c>
    </row>
    <row r="435" spans="1:8">
      <c r="A435" s="7" t="s">
        <v>16</v>
      </c>
      <c r="B435" s="9" t="s">
        <v>97</v>
      </c>
      <c r="C435" s="6">
        <v>1</v>
      </c>
      <c r="D435" s="7" t="s">
        <v>162</v>
      </c>
      <c r="E435" s="52">
        <v>46218</v>
      </c>
      <c r="F435" s="52">
        <v>46222</v>
      </c>
      <c r="G435" s="18" t="s">
        <v>40</v>
      </c>
      <c r="H435" s="89">
        <v>0</v>
      </c>
    </row>
    <row r="436" spans="1:8">
      <c r="A436" s="7" t="s">
        <v>16</v>
      </c>
      <c r="B436" s="9" t="s">
        <v>98</v>
      </c>
      <c r="C436" s="6">
        <v>1</v>
      </c>
      <c r="D436" s="7" t="s">
        <v>162</v>
      </c>
      <c r="E436" s="52">
        <v>46218</v>
      </c>
      <c r="F436" s="52">
        <v>46222</v>
      </c>
      <c r="G436" s="18" t="s">
        <v>40</v>
      </c>
      <c r="H436" s="89">
        <v>0</v>
      </c>
    </row>
    <row r="437" spans="1:8">
      <c r="A437" s="7" t="s">
        <v>16</v>
      </c>
      <c r="B437" s="9" t="s">
        <v>99</v>
      </c>
      <c r="C437" s="6">
        <v>1</v>
      </c>
      <c r="D437" s="7" t="s">
        <v>162</v>
      </c>
      <c r="E437" s="52">
        <v>46218</v>
      </c>
      <c r="F437" s="52">
        <v>46222</v>
      </c>
      <c r="G437" s="18" t="s">
        <v>40</v>
      </c>
      <c r="H437" s="89">
        <v>0</v>
      </c>
    </row>
    <row r="438" spans="1:8">
      <c r="A438" s="7" t="s">
        <v>16</v>
      </c>
      <c r="B438" s="9" t="s">
        <v>100</v>
      </c>
      <c r="C438" s="6">
        <v>1</v>
      </c>
      <c r="D438" s="7" t="s">
        <v>162</v>
      </c>
      <c r="E438" s="52">
        <v>46218</v>
      </c>
      <c r="F438" s="52">
        <v>46222</v>
      </c>
      <c r="G438" s="18" t="s">
        <v>40</v>
      </c>
      <c r="H438" s="89">
        <v>0</v>
      </c>
    </row>
    <row r="439" spans="1:8">
      <c r="A439" s="7" t="s">
        <v>16</v>
      </c>
      <c r="B439" s="9" t="s">
        <v>101</v>
      </c>
      <c r="C439" s="6">
        <v>1</v>
      </c>
      <c r="D439" s="7" t="s">
        <v>162</v>
      </c>
      <c r="E439" s="52">
        <v>46218</v>
      </c>
      <c r="F439" s="52">
        <v>46222</v>
      </c>
      <c r="G439" s="18" t="s">
        <v>40</v>
      </c>
      <c r="H439" s="89">
        <v>0</v>
      </c>
    </row>
    <row r="440" spans="1:8">
      <c r="A440" s="7" t="s">
        <v>16</v>
      </c>
      <c r="B440" s="9" t="s">
        <v>102</v>
      </c>
      <c r="C440" s="6">
        <v>1</v>
      </c>
      <c r="D440" s="7" t="s">
        <v>162</v>
      </c>
      <c r="E440" s="52">
        <v>46218</v>
      </c>
      <c r="F440" s="52">
        <v>46222</v>
      </c>
      <c r="G440" s="18" t="s">
        <v>40</v>
      </c>
      <c r="H440" s="89">
        <v>0</v>
      </c>
    </row>
    <row r="441" spans="1:8">
      <c r="A441" s="7" t="s">
        <v>16</v>
      </c>
      <c r="B441" s="9" t="s">
        <v>103</v>
      </c>
      <c r="C441" s="6">
        <v>1</v>
      </c>
      <c r="D441" s="7" t="s">
        <v>162</v>
      </c>
      <c r="E441" s="52">
        <v>46218</v>
      </c>
      <c r="F441" s="52">
        <v>46222</v>
      </c>
      <c r="G441" s="18" t="s">
        <v>40</v>
      </c>
      <c r="H441" s="89">
        <v>0</v>
      </c>
    </row>
    <row r="442" spans="1:8">
      <c r="A442" s="7" t="s">
        <v>16</v>
      </c>
      <c r="B442" s="9" t="s">
        <v>104</v>
      </c>
      <c r="C442" s="6">
        <v>1</v>
      </c>
      <c r="D442" s="7" t="s">
        <v>162</v>
      </c>
      <c r="E442" s="52">
        <v>46218</v>
      </c>
      <c r="F442" s="52">
        <v>46222</v>
      </c>
      <c r="G442" s="18" t="s">
        <v>40</v>
      </c>
      <c r="H442" s="89">
        <v>0</v>
      </c>
    </row>
    <row r="443" spans="1:8">
      <c r="A443" s="7" t="s">
        <v>16</v>
      </c>
      <c r="B443" s="9" t="s">
        <v>105</v>
      </c>
      <c r="C443" s="6">
        <v>1</v>
      </c>
      <c r="D443" s="7" t="s">
        <v>162</v>
      </c>
      <c r="E443" s="52">
        <v>46218</v>
      </c>
      <c r="F443" s="52">
        <v>46222</v>
      </c>
      <c r="G443" s="18" t="s">
        <v>40</v>
      </c>
      <c r="H443" s="89">
        <v>0</v>
      </c>
    </row>
    <row r="444" spans="1:8">
      <c r="A444" s="7" t="s">
        <v>16</v>
      </c>
      <c r="B444" s="9" t="s">
        <v>106</v>
      </c>
      <c r="C444" s="6">
        <v>1</v>
      </c>
      <c r="D444" s="7" t="s">
        <v>162</v>
      </c>
      <c r="E444" s="52">
        <v>46218</v>
      </c>
      <c r="F444" s="52">
        <v>46222</v>
      </c>
      <c r="G444" s="18" t="s">
        <v>40</v>
      </c>
      <c r="H444" s="89">
        <v>0</v>
      </c>
    </row>
    <row r="445" spans="1:8">
      <c r="A445" s="7" t="s">
        <v>16</v>
      </c>
      <c r="B445" s="9" t="s">
        <v>107</v>
      </c>
      <c r="C445" s="6">
        <v>1</v>
      </c>
      <c r="D445" s="7" t="s">
        <v>162</v>
      </c>
      <c r="E445" s="52">
        <v>46218</v>
      </c>
      <c r="F445" s="52">
        <v>46222</v>
      </c>
      <c r="G445" s="18" t="s">
        <v>40</v>
      </c>
      <c r="H445" s="89">
        <v>0</v>
      </c>
    </row>
    <row r="446" spans="1:8">
      <c r="A446" s="7" t="s">
        <v>16</v>
      </c>
      <c r="B446" s="9" t="s">
        <v>108</v>
      </c>
      <c r="C446" s="6">
        <v>1</v>
      </c>
      <c r="D446" s="7" t="s">
        <v>162</v>
      </c>
      <c r="E446" s="52">
        <v>46218</v>
      </c>
      <c r="F446" s="52">
        <v>46222</v>
      </c>
      <c r="G446" s="18" t="s">
        <v>40</v>
      </c>
      <c r="H446" s="89">
        <v>0</v>
      </c>
    </row>
    <row r="447" spans="1:8">
      <c r="A447" s="7" t="s">
        <v>16</v>
      </c>
      <c r="B447" s="9" t="s">
        <v>109</v>
      </c>
      <c r="C447" s="6">
        <v>1</v>
      </c>
      <c r="D447" s="7" t="s">
        <v>162</v>
      </c>
      <c r="E447" s="52">
        <v>46218</v>
      </c>
      <c r="F447" s="52">
        <v>46222</v>
      </c>
      <c r="G447" s="18" t="s">
        <v>40</v>
      </c>
      <c r="H447" s="89">
        <v>0</v>
      </c>
    </row>
    <row r="448" spans="1:8">
      <c r="A448" s="7" t="s">
        <v>16</v>
      </c>
      <c r="B448" s="9" t="s">
        <v>110</v>
      </c>
      <c r="C448" s="6">
        <v>1</v>
      </c>
      <c r="D448" s="7" t="s">
        <v>162</v>
      </c>
      <c r="E448" s="52">
        <v>46218</v>
      </c>
      <c r="F448" s="52">
        <v>46222</v>
      </c>
      <c r="G448" s="18" t="s">
        <v>40</v>
      </c>
      <c r="H448" s="89">
        <v>0</v>
      </c>
    </row>
    <row r="449" spans="1:8">
      <c r="A449" s="7" t="s">
        <v>16</v>
      </c>
      <c r="B449" s="9" t="s">
        <v>111</v>
      </c>
      <c r="C449" s="6">
        <v>1</v>
      </c>
      <c r="D449" s="7" t="s">
        <v>162</v>
      </c>
      <c r="E449" s="52">
        <v>46218</v>
      </c>
      <c r="F449" s="52">
        <v>46222</v>
      </c>
      <c r="G449" s="18" t="s">
        <v>40</v>
      </c>
      <c r="H449" s="89">
        <v>0</v>
      </c>
    </row>
    <row r="450" spans="1:8">
      <c r="A450" s="7" t="s">
        <v>16</v>
      </c>
      <c r="B450" s="9" t="s">
        <v>112</v>
      </c>
      <c r="C450" s="6">
        <v>1</v>
      </c>
      <c r="D450" s="7" t="s">
        <v>162</v>
      </c>
      <c r="E450" s="52">
        <v>46218</v>
      </c>
      <c r="F450" s="52">
        <v>46222</v>
      </c>
      <c r="G450" s="18" t="s">
        <v>40</v>
      </c>
      <c r="H450" s="89">
        <v>0</v>
      </c>
    </row>
    <row r="451" spans="1:8">
      <c r="A451" s="7" t="s">
        <v>16</v>
      </c>
      <c r="B451" s="9" t="s">
        <v>113</v>
      </c>
      <c r="C451" s="6">
        <v>1</v>
      </c>
      <c r="D451" s="7" t="s">
        <v>162</v>
      </c>
      <c r="E451" s="52">
        <v>46218</v>
      </c>
      <c r="F451" s="52">
        <v>46222</v>
      </c>
      <c r="G451" s="18" t="s">
        <v>40</v>
      </c>
      <c r="H451" s="89">
        <v>0</v>
      </c>
    </row>
    <row r="452" spans="1:8">
      <c r="A452" s="7" t="s">
        <v>16</v>
      </c>
      <c r="B452" s="9" t="s">
        <v>114</v>
      </c>
      <c r="C452" s="6">
        <v>1</v>
      </c>
      <c r="D452" s="7" t="s">
        <v>162</v>
      </c>
      <c r="E452" s="52">
        <v>46218</v>
      </c>
      <c r="F452" s="52">
        <v>46222</v>
      </c>
      <c r="G452" s="18" t="s">
        <v>40</v>
      </c>
      <c r="H452" s="89">
        <v>0</v>
      </c>
    </row>
    <row r="453" spans="1:8">
      <c r="A453" s="7" t="s">
        <v>16</v>
      </c>
      <c r="B453" s="9" t="s">
        <v>115</v>
      </c>
      <c r="C453" s="6">
        <v>1</v>
      </c>
      <c r="D453" s="7" t="s">
        <v>162</v>
      </c>
      <c r="E453" s="52">
        <v>46218</v>
      </c>
      <c r="F453" s="52">
        <v>46222</v>
      </c>
      <c r="G453" s="18" t="s">
        <v>40</v>
      </c>
      <c r="H453" s="89">
        <v>0</v>
      </c>
    </row>
    <row r="454" spans="1:8">
      <c r="A454" s="7" t="s">
        <v>16</v>
      </c>
      <c r="B454" s="9" t="s">
        <v>116</v>
      </c>
      <c r="C454" s="6">
        <v>1</v>
      </c>
      <c r="D454" s="7" t="s">
        <v>162</v>
      </c>
      <c r="E454" s="52">
        <v>46218</v>
      </c>
      <c r="F454" s="52">
        <v>46222</v>
      </c>
      <c r="G454" s="18" t="s">
        <v>40</v>
      </c>
      <c r="H454" s="89">
        <v>0</v>
      </c>
    </row>
    <row r="455" spans="1:8">
      <c r="A455" s="7" t="s">
        <v>16</v>
      </c>
      <c r="B455" s="9" t="s">
        <v>117</v>
      </c>
      <c r="C455" s="6">
        <v>1</v>
      </c>
      <c r="D455" s="7" t="s">
        <v>162</v>
      </c>
      <c r="E455" s="52">
        <v>46218</v>
      </c>
      <c r="F455" s="52">
        <v>46222</v>
      </c>
      <c r="G455" s="18" t="s">
        <v>40</v>
      </c>
      <c r="H455" s="89">
        <v>0</v>
      </c>
    </row>
    <row r="456" spans="1:8">
      <c r="A456" s="7" t="s">
        <v>16</v>
      </c>
      <c r="B456" s="9" t="s">
        <v>118</v>
      </c>
      <c r="C456" s="6">
        <v>1</v>
      </c>
      <c r="D456" s="7" t="s">
        <v>162</v>
      </c>
      <c r="E456" s="52">
        <v>46218</v>
      </c>
      <c r="F456" s="52">
        <v>46222</v>
      </c>
      <c r="G456" s="18" t="s">
        <v>40</v>
      </c>
      <c r="H456" s="89">
        <v>0</v>
      </c>
    </row>
    <row r="457" spans="1:8">
      <c r="A457" s="7" t="s">
        <v>16</v>
      </c>
      <c r="B457" s="9" t="s">
        <v>119</v>
      </c>
      <c r="C457" s="6">
        <v>1</v>
      </c>
      <c r="D457" s="7" t="s">
        <v>162</v>
      </c>
      <c r="E457" s="52">
        <v>46218</v>
      </c>
      <c r="F457" s="52">
        <v>46222</v>
      </c>
      <c r="G457" s="18" t="s">
        <v>40</v>
      </c>
      <c r="H457" s="89">
        <v>0</v>
      </c>
    </row>
    <row r="458" spans="1:8">
      <c r="A458" s="7" t="s">
        <v>16</v>
      </c>
      <c r="B458" s="9" t="s">
        <v>120</v>
      </c>
      <c r="C458" s="6">
        <v>1</v>
      </c>
      <c r="D458" s="7" t="s">
        <v>162</v>
      </c>
      <c r="E458" s="52">
        <v>46218</v>
      </c>
      <c r="F458" s="52">
        <v>46222</v>
      </c>
      <c r="G458" s="18" t="s">
        <v>40</v>
      </c>
      <c r="H458" s="89">
        <v>0</v>
      </c>
    </row>
    <row r="459" spans="1:8">
      <c r="A459" s="7" t="s">
        <v>16</v>
      </c>
      <c r="B459" s="9" t="s">
        <v>121</v>
      </c>
      <c r="C459" s="6">
        <v>1</v>
      </c>
      <c r="D459" s="7" t="s">
        <v>162</v>
      </c>
      <c r="E459" s="52">
        <v>46218</v>
      </c>
      <c r="F459" s="52">
        <v>46222</v>
      </c>
      <c r="G459" s="18" t="s">
        <v>40</v>
      </c>
      <c r="H459" s="89">
        <v>0</v>
      </c>
    </row>
    <row r="460" spans="1:8">
      <c r="A460" s="7" t="s">
        <v>16</v>
      </c>
      <c r="B460" s="9" t="s">
        <v>122</v>
      </c>
      <c r="C460" s="6">
        <v>1</v>
      </c>
      <c r="D460" s="7" t="s">
        <v>162</v>
      </c>
      <c r="E460" s="52">
        <v>46218</v>
      </c>
      <c r="F460" s="52">
        <v>46222</v>
      </c>
      <c r="G460" s="18" t="s">
        <v>40</v>
      </c>
      <c r="H460" s="89">
        <v>0</v>
      </c>
    </row>
    <row r="461" spans="1:8">
      <c r="A461" s="7" t="s">
        <v>16</v>
      </c>
      <c r="B461" s="9" t="s">
        <v>123</v>
      </c>
      <c r="C461" s="6">
        <v>1</v>
      </c>
      <c r="D461" s="7" t="s">
        <v>162</v>
      </c>
      <c r="E461" s="52">
        <v>46218</v>
      </c>
      <c r="F461" s="52">
        <v>46222</v>
      </c>
      <c r="G461" s="18" t="s">
        <v>40</v>
      </c>
      <c r="H461" s="89">
        <v>0</v>
      </c>
    </row>
    <row r="462" spans="1:8">
      <c r="A462" s="7" t="s">
        <v>16</v>
      </c>
      <c r="B462" s="9" t="s">
        <v>124</v>
      </c>
      <c r="C462" s="6">
        <v>1</v>
      </c>
      <c r="D462" s="7" t="s">
        <v>162</v>
      </c>
      <c r="E462" s="52">
        <v>46218</v>
      </c>
      <c r="F462" s="52">
        <v>46222</v>
      </c>
      <c r="G462" s="18" t="s">
        <v>40</v>
      </c>
      <c r="H462" s="89">
        <v>0</v>
      </c>
    </row>
    <row r="463" spans="1:8">
      <c r="A463" s="7" t="s">
        <v>16</v>
      </c>
      <c r="B463" s="9" t="s">
        <v>125</v>
      </c>
      <c r="C463" s="6">
        <v>1</v>
      </c>
      <c r="D463" s="7" t="s">
        <v>162</v>
      </c>
      <c r="E463" s="52">
        <v>46218</v>
      </c>
      <c r="F463" s="52">
        <v>46222</v>
      </c>
      <c r="G463" s="18" t="s">
        <v>40</v>
      </c>
      <c r="H463" s="89">
        <v>0</v>
      </c>
    </row>
    <row r="464" spans="1:8">
      <c r="A464" s="7" t="s">
        <v>16</v>
      </c>
      <c r="B464" s="9" t="s">
        <v>126</v>
      </c>
      <c r="C464" s="6">
        <v>1</v>
      </c>
      <c r="D464" s="7" t="s">
        <v>162</v>
      </c>
      <c r="E464" s="52">
        <v>46218</v>
      </c>
      <c r="F464" s="52">
        <v>46222</v>
      </c>
      <c r="G464" s="18" t="s">
        <v>40</v>
      </c>
      <c r="H464" s="89">
        <v>0</v>
      </c>
    </row>
    <row r="465" spans="1:8">
      <c r="A465" s="7" t="s">
        <v>16</v>
      </c>
      <c r="B465" s="9" t="s">
        <v>127</v>
      </c>
      <c r="C465" s="6">
        <v>1</v>
      </c>
      <c r="D465" s="7" t="s">
        <v>162</v>
      </c>
      <c r="E465" s="52">
        <v>46218</v>
      </c>
      <c r="F465" s="52">
        <v>46222</v>
      </c>
      <c r="G465" s="18" t="s">
        <v>40</v>
      </c>
      <c r="H465" s="89">
        <v>0</v>
      </c>
    </row>
    <row r="466" spans="1:8">
      <c r="A466" s="7" t="s">
        <v>16</v>
      </c>
      <c r="B466" s="9" t="s">
        <v>128</v>
      </c>
      <c r="C466" s="6">
        <v>1</v>
      </c>
      <c r="D466" s="7" t="s">
        <v>162</v>
      </c>
      <c r="E466" s="52">
        <v>46218</v>
      </c>
      <c r="F466" s="52">
        <v>46222</v>
      </c>
      <c r="G466" s="18" t="s">
        <v>40</v>
      </c>
      <c r="H466" s="89">
        <v>0</v>
      </c>
    </row>
    <row r="467" spans="1:8">
      <c r="A467" s="7" t="s">
        <v>16</v>
      </c>
      <c r="B467" s="9" t="s">
        <v>129</v>
      </c>
      <c r="C467" s="6">
        <v>1</v>
      </c>
      <c r="D467" s="7" t="s">
        <v>162</v>
      </c>
      <c r="E467" s="52">
        <v>46218</v>
      </c>
      <c r="F467" s="52">
        <v>46222</v>
      </c>
      <c r="G467" s="18" t="s">
        <v>40</v>
      </c>
      <c r="H467" s="89">
        <v>0</v>
      </c>
    </row>
    <row r="468" spans="1:8">
      <c r="A468" s="7" t="s">
        <v>16</v>
      </c>
      <c r="B468" s="9" t="s">
        <v>130</v>
      </c>
      <c r="C468" s="6">
        <v>1</v>
      </c>
      <c r="D468" s="7" t="s">
        <v>162</v>
      </c>
      <c r="E468" s="52">
        <v>46218</v>
      </c>
      <c r="F468" s="52">
        <v>46222</v>
      </c>
      <c r="G468" s="18" t="s">
        <v>40</v>
      </c>
      <c r="H468" s="89">
        <v>0</v>
      </c>
    </row>
    <row r="469" spans="1:8">
      <c r="A469" s="7" t="s">
        <v>16</v>
      </c>
      <c r="B469" s="9" t="s">
        <v>131</v>
      </c>
      <c r="C469" s="6">
        <v>1</v>
      </c>
      <c r="D469" s="7" t="s">
        <v>162</v>
      </c>
      <c r="E469" s="52">
        <v>46218</v>
      </c>
      <c r="F469" s="52">
        <v>46222</v>
      </c>
      <c r="G469" s="18" t="s">
        <v>40</v>
      </c>
      <c r="H469" s="89">
        <v>0</v>
      </c>
    </row>
    <row r="470" spans="1:8">
      <c r="A470" s="7" t="s">
        <v>16</v>
      </c>
      <c r="B470" s="9" t="s">
        <v>132</v>
      </c>
      <c r="C470" s="6">
        <v>1</v>
      </c>
      <c r="D470" s="7" t="s">
        <v>162</v>
      </c>
      <c r="E470" s="52">
        <v>46218</v>
      </c>
      <c r="F470" s="52">
        <v>46222</v>
      </c>
      <c r="G470" s="18" t="s">
        <v>40</v>
      </c>
      <c r="H470" s="89">
        <v>0</v>
      </c>
    </row>
    <row r="471" spans="1:8">
      <c r="A471" s="7" t="s">
        <v>16</v>
      </c>
      <c r="B471" s="9" t="s">
        <v>133</v>
      </c>
      <c r="C471" s="6">
        <v>1</v>
      </c>
      <c r="D471" s="7" t="s">
        <v>162</v>
      </c>
      <c r="E471" s="52">
        <v>46218</v>
      </c>
      <c r="F471" s="52">
        <v>46222</v>
      </c>
      <c r="G471" s="18" t="s">
        <v>40</v>
      </c>
      <c r="H471" s="89">
        <v>0</v>
      </c>
    </row>
    <row r="472" spans="1:8">
      <c r="A472" s="7" t="s">
        <v>16</v>
      </c>
      <c r="B472" s="9" t="s">
        <v>134</v>
      </c>
      <c r="C472" s="6">
        <v>1</v>
      </c>
      <c r="D472" s="7" t="s">
        <v>162</v>
      </c>
      <c r="E472" s="52">
        <v>46218</v>
      </c>
      <c r="F472" s="52">
        <v>46222</v>
      </c>
      <c r="G472" s="18" t="s">
        <v>40</v>
      </c>
      <c r="H472" s="89">
        <v>0</v>
      </c>
    </row>
    <row r="473" spans="1:8">
      <c r="A473" s="7" t="s">
        <v>16</v>
      </c>
      <c r="B473" s="9" t="s">
        <v>135</v>
      </c>
      <c r="C473" s="6">
        <v>1</v>
      </c>
      <c r="D473" s="7" t="s">
        <v>162</v>
      </c>
      <c r="E473" s="52">
        <v>46218</v>
      </c>
      <c r="F473" s="52">
        <v>46222</v>
      </c>
      <c r="G473" s="18" t="s">
        <v>40</v>
      </c>
      <c r="H473" s="89">
        <v>0</v>
      </c>
    </row>
    <row r="474" spans="1:8">
      <c r="A474" s="7" t="s">
        <v>16</v>
      </c>
      <c r="B474" s="9" t="s">
        <v>136</v>
      </c>
      <c r="C474" s="6">
        <v>1</v>
      </c>
      <c r="D474" s="7" t="s">
        <v>162</v>
      </c>
      <c r="E474" s="52">
        <v>46218</v>
      </c>
      <c r="F474" s="52">
        <v>46222</v>
      </c>
      <c r="G474" s="18" t="s">
        <v>40</v>
      </c>
      <c r="H474" s="89">
        <v>0</v>
      </c>
    </row>
    <row r="475" spans="1:8">
      <c r="A475" s="7" t="s">
        <v>16</v>
      </c>
      <c r="B475" s="9" t="s">
        <v>137</v>
      </c>
      <c r="C475" s="6">
        <v>1</v>
      </c>
      <c r="D475" s="7" t="s">
        <v>162</v>
      </c>
      <c r="E475" s="52">
        <v>46218</v>
      </c>
      <c r="F475" s="52">
        <v>46222</v>
      </c>
      <c r="G475" s="18" t="s">
        <v>40</v>
      </c>
      <c r="H475" s="89">
        <v>0</v>
      </c>
    </row>
    <row r="476" spans="1:8">
      <c r="A476" s="7" t="s">
        <v>16</v>
      </c>
      <c r="B476" s="9" t="s">
        <v>138</v>
      </c>
      <c r="C476" s="6">
        <v>1</v>
      </c>
      <c r="D476" s="7" t="s">
        <v>162</v>
      </c>
      <c r="E476" s="52">
        <v>46218</v>
      </c>
      <c r="F476" s="52">
        <v>46222</v>
      </c>
      <c r="G476" s="18" t="s">
        <v>40</v>
      </c>
      <c r="H476" s="89">
        <v>0</v>
      </c>
    </row>
    <row r="477" spans="1:8">
      <c r="A477" s="7" t="s">
        <v>16</v>
      </c>
      <c r="B477" s="9" t="s">
        <v>139</v>
      </c>
      <c r="C477" s="6">
        <v>1</v>
      </c>
      <c r="D477" s="7" t="s">
        <v>162</v>
      </c>
      <c r="E477" s="52">
        <v>46218</v>
      </c>
      <c r="F477" s="52">
        <v>46222</v>
      </c>
      <c r="G477" s="18" t="s">
        <v>40</v>
      </c>
      <c r="H477" s="89">
        <v>0</v>
      </c>
    </row>
    <row r="478" spans="1:8">
      <c r="A478" s="7" t="s">
        <v>16</v>
      </c>
      <c r="B478" s="9" t="s">
        <v>140</v>
      </c>
      <c r="C478" s="6">
        <v>1</v>
      </c>
      <c r="D478" s="7" t="s">
        <v>162</v>
      </c>
      <c r="E478" s="52">
        <v>46218</v>
      </c>
      <c r="F478" s="52">
        <v>46222</v>
      </c>
      <c r="G478" s="18" t="s">
        <v>40</v>
      </c>
      <c r="H478" s="89">
        <v>0</v>
      </c>
    </row>
    <row r="479" spans="1:8">
      <c r="A479" s="7" t="s">
        <v>16</v>
      </c>
      <c r="B479" s="9" t="s">
        <v>141</v>
      </c>
      <c r="C479" s="6">
        <v>1</v>
      </c>
      <c r="D479" s="7" t="s">
        <v>162</v>
      </c>
      <c r="E479" s="52">
        <v>46218</v>
      </c>
      <c r="F479" s="52">
        <v>46222</v>
      </c>
      <c r="G479" s="18" t="s">
        <v>40</v>
      </c>
      <c r="H479" s="89">
        <v>0</v>
      </c>
    </row>
    <row r="480" spans="1:8">
      <c r="A480" s="7" t="s">
        <v>16</v>
      </c>
      <c r="B480" s="9" t="s">
        <v>142</v>
      </c>
      <c r="C480" s="6">
        <v>1</v>
      </c>
      <c r="D480" s="7" t="s">
        <v>162</v>
      </c>
      <c r="E480" s="52">
        <v>46218</v>
      </c>
      <c r="F480" s="52">
        <v>46222</v>
      </c>
      <c r="G480" s="18" t="s">
        <v>40</v>
      </c>
      <c r="H480" s="89">
        <v>0</v>
      </c>
    </row>
    <row r="481" spans="1:8">
      <c r="A481" s="7" t="s">
        <v>16</v>
      </c>
      <c r="B481" s="9" t="s">
        <v>143</v>
      </c>
      <c r="C481" s="6">
        <v>1</v>
      </c>
      <c r="D481" s="7" t="s">
        <v>162</v>
      </c>
      <c r="E481" s="52">
        <v>46218</v>
      </c>
      <c r="F481" s="52">
        <v>46222</v>
      </c>
      <c r="G481" s="18" t="s">
        <v>40</v>
      </c>
      <c r="H481" s="89">
        <v>0</v>
      </c>
    </row>
    <row r="482" spans="1:8">
      <c r="A482" s="7" t="s">
        <v>16</v>
      </c>
      <c r="B482" s="9" t="s">
        <v>144</v>
      </c>
      <c r="C482" s="6">
        <v>1</v>
      </c>
      <c r="D482" s="7" t="s">
        <v>162</v>
      </c>
      <c r="E482" s="52">
        <v>46218</v>
      </c>
      <c r="F482" s="52">
        <v>46222</v>
      </c>
      <c r="G482" s="18" t="s">
        <v>40</v>
      </c>
      <c r="H482" s="89">
        <v>0</v>
      </c>
    </row>
    <row r="483" spans="1:8">
      <c r="A483" s="7" t="s">
        <v>16</v>
      </c>
      <c r="B483" s="9" t="s">
        <v>145</v>
      </c>
      <c r="C483" s="6">
        <v>1</v>
      </c>
      <c r="D483" s="7" t="s">
        <v>162</v>
      </c>
      <c r="E483" s="52">
        <v>46218</v>
      </c>
      <c r="F483" s="52">
        <v>46222</v>
      </c>
      <c r="G483" s="18" t="s">
        <v>40</v>
      </c>
      <c r="H483" s="89">
        <v>0</v>
      </c>
    </row>
    <row r="484" spans="1:8">
      <c r="A484" s="7" t="s">
        <v>16</v>
      </c>
      <c r="B484" s="9" t="s">
        <v>146</v>
      </c>
      <c r="C484" s="6">
        <v>1</v>
      </c>
      <c r="D484" s="7" t="s">
        <v>162</v>
      </c>
      <c r="E484" s="52">
        <v>46218</v>
      </c>
      <c r="F484" s="52">
        <v>46222</v>
      </c>
      <c r="G484" s="18" t="s">
        <v>40</v>
      </c>
      <c r="H484" s="89">
        <v>0</v>
      </c>
    </row>
    <row r="485" spans="1:8">
      <c r="A485" s="7" t="s">
        <v>16</v>
      </c>
      <c r="B485" s="9" t="s">
        <v>147</v>
      </c>
      <c r="C485" s="6">
        <v>1</v>
      </c>
      <c r="D485" s="7" t="s">
        <v>162</v>
      </c>
      <c r="E485" s="52">
        <v>46218</v>
      </c>
      <c r="F485" s="52">
        <v>46222</v>
      </c>
      <c r="G485" s="18" t="s">
        <v>40</v>
      </c>
      <c r="H485" s="89">
        <v>0</v>
      </c>
    </row>
    <row r="486" spans="1:8">
      <c r="A486" s="7" t="s">
        <v>16</v>
      </c>
      <c r="B486" s="9" t="s">
        <v>148</v>
      </c>
      <c r="C486" s="6">
        <v>1</v>
      </c>
      <c r="D486" s="7" t="s">
        <v>162</v>
      </c>
      <c r="E486" s="52">
        <v>46218</v>
      </c>
      <c r="F486" s="52">
        <v>46222</v>
      </c>
      <c r="G486" s="18" t="s">
        <v>40</v>
      </c>
      <c r="H486" s="89">
        <v>0</v>
      </c>
    </row>
    <row r="487" spans="1:8">
      <c r="A487" s="7" t="s">
        <v>16</v>
      </c>
      <c r="B487" s="9" t="s">
        <v>149</v>
      </c>
      <c r="C487" s="6">
        <v>1</v>
      </c>
      <c r="D487" s="7" t="s">
        <v>162</v>
      </c>
      <c r="E487" s="52">
        <v>46218</v>
      </c>
      <c r="F487" s="52">
        <v>46222</v>
      </c>
      <c r="G487" s="18" t="s">
        <v>40</v>
      </c>
      <c r="H487" s="89">
        <v>0</v>
      </c>
    </row>
    <row r="488" spans="1:8">
      <c r="A488" s="7" t="s">
        <v>16</v>
      </c>
      <c r="B488" s="9" t="s">
        <v>150</v>
      </c>
      <c r="C488" s="6">
        <v>1</v>
      </c>
      <c r="D488" s="7" t="s">
        <v>162</v>
      </c>
      <c r="E488" s="52">
        <v>46218</v>
      </c>
      <c r="F488" s="52">
        <v>46222</v>
      </c>
      <c r="G488" s="18" t="s">
        <v>40</v>
      </c>
      <c r="H488" s="89">
        <v>0</v>
      </c>
    </row>
    <row r="489" spans="1:8">
      <c r="A489" s="7" t="s">
        <v>16</v>
      </c>
      <c r="B489" s="9" t="s">
        <v>151</v>
      </c>
      <c r="C489" s="6">
        <v>1</v>
      </c>
      <c r="D489" s="7" t="s">
        <v>162</v>
      </c>
      <c r="E489" s="52">
        <v>46218</v>
      </c>
      <c r="F489" s="52">
        <v>46222</v>
      </c>
      <c r="G489" s="18" t="s">
        <v>40</v>
      </c>
      <c r="H489" s="89">
        <v>0</v>
      </c>
    </row>
    <row r="490" spans="1:8">
      <c r="A490" s="7" t="s">
        <v>16</v>
      </c>
      <c r="B490" s="9" t="s">
        <v>152</v>
      </c>
      <c r="C490" s="6">
        <v>1</v>
      </c>
      <c r="D490" s="7" t="s">
        <v>162</v>
      </c>
      <c r="E490" s="52">
        <v>46218</v>
      </c>
      <c r="F490" s="52">
        <v>46222</v>
      </c>
      <c r="G490" s="18" t="s">
        <v>40</v>
      </c>
      <c r="H490" s="89">
        <v>0</v>
      </c>
    </row>
    <row r="491" spans="1:8">
      <c r="A491" s="7" t="s">
        <v>16</v>
      </c>
      <c r="B491" s="9" t="s">
        <v>153</v>
      </c>
      <c r="C491" s="6">
        <v>1</v>
      </c>
      <c r="D491" s="7" t="s">
        <v>162</v>
      </c>
      <c r="E491" s="52">
        <v>46218</v>
      </c>
      <c r="F491" s="52">
        <v>46222</v>
      </c>
      <c r="G491" s="18" t="s">
        <v>40</v>
      </c>
      <c r="H491" s="89">
        <v>0</v>
      </c>
    </row>
    <row r="492" spans="1:8">
      <c r="A492" s="7" t="s">
        <v>16</v>
      </c>
      <c r="B492" s="9" t="s">
        <v>154</v>
      </c>
      <c r="C492" s="6">
        <v>1</v>
      </c>
      <c r="D492" s="7" t="s">
        <v>162</v>
      </c>
      <c r="E492" s="52">
        <v>46218</v>
      </c>
      <c r="F492" s="52">
        <v>46222</v>
      </c>
      <c r="G492" s="18" t="s">
        <v>40</v>
      </c>
      <c r="H492" s="89">
        <v>0</v>
      </c>
    </row>
    <row r="493" spans="1:8">
      <c r="A493" s="7" t="s">
        <v>16</v>
      </c>
      <c r="B493" s="9" t="s">
        <v>155</v>
      </c>
      <c r="C493" s="6">
        <v>1</v>
      </c>
      <c r="D493" s="7" t="s">
        <v>162</v>
      </c>
      <c r="E493" s="52">
        <v>46218</v>
      </c>
      <c r="F493" s="52">
        <v>46222</v>
      </c>
      <c r="G493" s="18" t="s">
        <v>40</v>
      </c>
      <c r="H493" s="89">
        <v>0</v>
      </c>
    </row>
    <row r="494" spans="1:8">
      <c r="A494" s="7" t="s">
        <v>16</v>
      </c>
      <c r="B494" s="9" t="s">
        <v>156</v>
      </c>
      <c r="C494" s="6">
        <v>1</v>
      </c>
      <c r="D494" s="7" t="s">
        <v>162</v>
      </c>
      <c r="E494" s="52">
        <v>46218</v>
      </c>
      <c r="F494" s="52">
        <v>46222</v>
      </c>
      <c r="G494" s="18" t="s">
        <v>40</v>
      </c>
      <c r="H494" s="89">
        <v>0</v>
      </c>
    </row>
    <row r="495" spans="1:8">
      <c r="A495" s="7" t="s">
        <v>16</v>
      </c>
      <c r="B495" s="9" t="s">
        <v>157</v>
      </c>
      <c r="C495" s="6">
        <v>1</v>
      </c>
      <c r="D495" s="7" t="s">
        <v>162</v>
      </c>
      <c r="E495" s="52">
        <v>46218</v>
      </c>
      <c r="F495" s="52">
        <v>46222</v>
      </c>
      <c r="G495" s="18" t="s">
        <v>40</v>
      </c>
      <c r="H495" s="89">
        <v>0</v>
      </c>
    </row>
    <row r="496" spans="1:8">
      <c r="A496" s="7" t="s">
        <v>16</v>
      </c>
      <c r="B496" s="9" t="s">
        <v>158</v>
      </c>
      <c r="C496" s="6">
        <v>1</v>
      </c>
      <c r="D496" s="7" t="s">
        <v>162</v>
      </c>
      <c r="E496" s="52">
        <v>46218</v>
      </c>
      <c r="F496" s="52">
        <v>46222</v>
      </c>
      <c r="G496" s="18" t="s">
        <v>40</v>
      </c>
      <c r="H496" s="89">
        <v>0</v>
      </c>
    </row>
    <row r="497" spans="1:8">
      <c r="A497" s="7" t="s">
        <v>16</v>
      </c>
      <c r="B497" s="9" t="s">
        <v>159</v>
      </c>
      <c r="C497" s="6">
        <v>1</v>
      </c>
      <c r="D497" s="7" t="s">
        <v>162</v>
      </c>
      <c r="E497" s="52">
        <v>46218</v>
      </c>
      <c r="F497" s="52">
        <v>46222</v>
      </c>
      <c r="G497" s="18" t="s">
        <v>40</v>
      </c>
      <c r="H497" s="89">
        <v>0</v>
      </c>
    </row>
    <row r="498" spans="1:8">
      <c r="A498" s="7" t="s">
        <v>16</v>
      </c>
      <c r="B498" s="9" t="s">
        <v>32</v>
      </c>
      <c r="C498" s="6">
        <v>1</v>
      </c>
      <c r="D498" s="7" t="s">
        <v>163</v>
      </c>
      <c r="E498" s="51">
        <v>46223</v>
      </c>
      <c r="F498" s="51">
        <v>46232</v>
      </c>
      <c r="G498" s="22" t="s">
        <v>40</v>
      </c>
      <c r="H498" s="91">
        <v>0</v>
      </c>
    </row>
    <row r="499" spans="1:8">
      <c r="A499" s="7" t="s">
        <v>16</v>
      </c>
      <c r="B499" s="9" t="s">
        <v>35</v>
      </c>
      <c r="C499" s="6">
        <v>1</v>
      </c>
      <c r="D499" s="7" t="s">
        <v>163</v>
      </c>
      <c r="E499" s="51">
        <v>46223</v>
      </c>
      <c r="F499" s="51">
        <v>46232</v>
      </c>
      <c r="G499" s="22" t="s">
        <v>40</v>
      </c>
      <c r="H499" s="91">
        <v>0</v>
      </c>
    </row>
    <row r="500" spans="1:8">
      <c r="A500" s="7" t="s">
        <v>16</v>
      </c>
      <c r="B500" s="9" t="s">
        <v>36</v>
      </c>
      <c r="C500" s="6">
        <v>198</v>
      </c>
      <c r="D500" s="7" t="s">
        <v>163</v>
      </c>
      <c r="E500" s="51">
        <v>46223</v>
      </c>
      <c r="F500" s="51">
        <v>46232</v>
      </c>
      <c r="G500" s="22" t="s">
        <v>40</v>
      </c>
      <c r="H500" s="91">
        <v>1</v>
      </c>
    </row>
    <row r="501" spans="1:8">
      <c r="A501" s="7" t="s">
        <v>16</v>
      </c>
      <c r="B501" s="9" t="s">
        <v>37</v>
      </c>
      <c r="C501" s="6">
        <v>198</v>
      </c>
      <c r="D501" s="7" t="s">
        <v>163</v>
      </c>
      <c r="E501" s="51">
        <v>46223</v>
      </c>
      <c r="F501" s="51">
        <v>46232</v>
      </c>
      <c r="G501" s="22" t="s">
        <v>40</v>
      </c>
      <c r="H501" s="91">
        <v>1</v>
      </c>
    </row>
    <row r="502" spans="1:8">
      <c r="A502" s="7" t="s">
        <v>16</v>
      </c>
      <c r="B502" s="9" t="s">
        <v>38</v>
      </c>
      <c r="C502" s="6">
        <v>1</v>
      </c>
      <c r="D502" s="7" t="s">
        <v>163</v>
      </c>
      <c r="E502" s="51">
        <v>46223</v>
      </c>
      <c r="F502" s="51">
        <v>46232</v>
      </c>
      <c r="G502" s="22" t="s">
        <v>40</v>
      </c>
      <c r="H502" s="91">
        <v>1</v>
      </c>
    </row>
    <row r="503" spans="1:8">
      <c r="A503" s="7" t="s">
        <v>16</v>
      </c>
      <c r="B503" s="9" t="s">
        <v>39</v>
      </c>
      <c r="C503" s="6">
        <v>1</v>
      </c>
      <c r="D503" s="7" t="s">
        <v>163</v>
      </c>
      <c r="E503" s="51">
        <v>46223</v>
      </c>
      <c r="F503" s="51">
        <v>46232</v>
      </c>
      <c r="G503" s="22" t="s">
        <v>40</v>
      </c>
      <c r="H503" s="91">
        <v>1</v>
      </c>
    </row>
    <row r="504" spans="1:8">
      <c r="A504" s="7" t="s">
        <v>16</v>
      </c>
      <c r="B504" s="9" t="s">
        <v>41</v>
      </c>
      <c r="C504" s="6">
        <v>1</v>
      </c>
      <c r="D504" s="7" t="s">
        <v>163</v>
      </c>
      <c r="E504" s="51">
        <v>46223</v>
      </c>
      <c r="F504" s="51">
        <v>46232</v>
      </c>
      <c r="G504" s="22" t="s">
        <v>40</v>
      </c>
      <c r="H504" s="91">
        <v>0</v>
      </c>
    </row>
    <row r="505" spans="1:8">
      <c r="A505" s="7" t="s">
        <v>16</v>
      </c>
      <c r="B505" s="9" t="s">
        <v>42</v>
      </c>
      <c r="C505" s="6">
        <v>1</v>
      </c>
      <c r="D505" s="7" t="s">
        <v>163</v>
      </c>
      <c r="E505" s="51">
        <v>46223</v>
      </c>
      <c r="F505" s="51">
        <v>46232</v>
      </c>
      <c r="G505" s="22" t="s">
        <v>40</v>
      </c>
      <c r="H505" s="91">
        <v>0</v>
      </c>
    </row>
    <row r="506" spans="1:8">
      <c r="A506" s="7" t="s">
        <v>16</v>
      </c>
      <c r="B506" s="9" t="s">
        <v>43</v>
      </c>
      <c r="C506" s="6">
        <v>1</v>
      </c>
      <c r="D506" s="7" t="s">
        <v>163</v>
      </c>
      <c r="E506" s="51">
        <v>46223</v>
      </c>
      <c r="F506" s="51">
        <v>46232</v>
      </c>
      <c r="G506" s="22" t="s">
        <v>40</v>
      </c>
      <c r="H506" s="91">
        <v>0</v>
      </c>
    </row>
    <row r="507" spans="1:8">
      <c r="A507" s="7" t="s">
        <v>16</v>
      </c>
      <c r="B507" s="9" t="s">
        <v>44</v>
      </c>
      <c r="C507" s="6">
        <v>1</v>
      </c>
      <c r="D507" s="7" t="s">
        <v>163</v>
      </c>
      <c r="E507" s="51">
        <v>46223</v>
      </c>
      <c r="F507" s="51">
        <v>46232</v>
      </c>
      <c r="G507" s="22" t="s">
        <v>40</v>
      </c>
      <c r="H507" s="91">
        <v>0</v>
      </c>
    </row>
    <row r="508" spans="1:8">
      <c r="A508" s="7" t="s">
        <v>16</v>
      </c>
      <c r="B508" s="9" t="s">
        <v>45</v>
      </c>
      <c r="C508" s="6">
        <v>1</v>
      </c>
      <c r="D508" s="7" t="s">
        <v>163</v>
      </c>
      <c r="E508" s="51">
        <v>46223</v>
      </c>
      <c r="F508" s="51">
        <v>46232</v>
      </c>
      <c r="G508" s="22" t="s">
        <v>40</v>
      </c>
      <c r="H508" s="91">
        <v>0</v>
      </c>
    </row>
    <row r="509" spans="1:8">
      <c r="A509" s="7" t="s">
        <v>16</v>
      </c>
      <c r="B509" s="9" t="s">
        <v>46</v>
      </c>
      <c r="C509" s="6">
        <v>1</v>
      </c>
      <c r="D509" s="7" t="s">
        <v>163</v>
      </c>
      <c r="E509" s="51">
        <v>46223</v>
      </c>
      <c r="F509" s="51">
        <v>46232</v>
      </c>
      <c r="G509" s="22" t="s">
        <v>40</v>
      </c>
      <c r="H509" s="91">
        <v>0</v>
      </c>
    </row>
    <row r="510" spans="1:8">
      <c r="A510" s="7" t="s">
        <v>16</v>
      </c>
      <c r="B510" s="9" t="s">
        <v>47</v>
      </c>
      <c r="C510" s="6">
        <v>1</v>
      </c>
      <c r="D510" s="7" t="s">
        <v>163</v>
      </c>
      <c r="E510" s="51">
        <v>46223</v>
      </c>
      <c r="F510" s="51">
        <v>46232</v>
      </c>
      <c r="G510" s="22" t="s">
        <v>40</v>
      </c>
      <c r="H510" s="91">
        <v>0</v>
      </c>
    </row>
    <row r="511" spans="1:8">
      <c r="A511" s="7" t="s">
        <v>16</v>
      </c>
      <c r="B511" s="9" t="s">
        <v>48</v>
      </c>
      <c r="C511" s="6">
        <v>1</v>
      </c>
      <c r="D511" s="7" t="s">
        <v>163</v>
      </c>
      <c r="E511" s="51">
        <v>46223</v>
      </c>
      <c r="F511" s="51">
        <v>46232</v>
      </c>
      <c r="G511" s="22" t="s">
        <v>40</v>
      </c>
      <c r="H511" s="91">
        <v>0</v>
      </c>
    </row>
    <row r="512" spans="1:8">
      <c r="A512" s="7" t="s">
        <v>16</v>
      </c>
      <c r="B512" s="9" t="s">
        <v>49</v>
      </c>
      <c r="C512" s="6">
        <v>1</v>
      </c>
      <c r="D512" s="7" t="s">
        <v>163</v>
      </c>
      <c r="E512" s="51">
        <v>46223</v>
      </c>
      <c r="F512" s="51">
        <v>46232</v>
      </c>
      <c r="G512" s="22" t="s">
        <v>40</v>
      </c>
      <c r="H512" s="91">
        <v>0</v>
      </c>
    </row>
    <row r="513" spans="1:8">
      <c r="A513" s="7" t="s">
        <v>16</v>
      </c>
      <c r="B513" s="9" t="s">
        <v>50</v>
      </c>
      <c r="C513" s="6">
        <v>1</v>
      </c>
      <c r="D513" s="7" t="s">
        <v>163</v>
      </c>
      <c r="E513" s="51">
        <v>46223</v>
      </c>
      <c r="F513" s="51">
        <v>46232</v>
      </c>
      <c r="G513" s="22" t="s">
        <v>40</v>
      </c>
      <c r="H513" s="91">
        <v>0</v>
      </c>
    </row>
    <row r="514" spans="1:8">
      <c r="A514" s="7" t="s">
        <v>16</v>
      </c>
      <c r="B514" s="9" t="s">
        <v>51</v>
      </c>
      <c r="C514" s="6">
        <v>1</v>
      </c>
      <c r="D514" s="7" t="s">
        <v>163</v>
      </c>
      <c r="E514" s="51">
        <v>46223</v>
      </c>
      <c r="F514" s="51">
        <v>46232</v>
      </c>
      <c r="G514" s="22" t="s">
        <v>40</v>
      </c>
      <c r="H514" s="91">
        <v>0</v>
      </c>
    </row>
    <row r="515" spans="1:8">
      <c r="A515" s="7" t="s">
        <v>16</v>
      </c>
      <c r="B515" s="9" t="s">
        <v>52</v>
      </c>
      <c r="C515" s="6">
        <v>1</v>
      </c>
      <c r="D515" s="7" t="s">
        <v>163</v>
      </c>
      <c r="E515" s="51">
        <v>46223</v>
      </c>
      <c r="F515" s="51">
        <v>46232</v>
      </c>
      <c r="G515" s="22" t="s">
        <v>40</v>
      </c>
      <c r="H515" s="91">
        <v>0</v>
      </c>
    </row>
    <row r="516" spans="1:8">
      <c r="A516" s="7" t="s">
        <v>16</v>
      </c>
      <c r="B516" s="9" t="s">
        <v>53</v>
      </c>
      <c r="C516" s="6">
        <v>1</v>
      </c>
      <c r="D516" s="7" t="s">
        <v>163</v>
      </c>
      <c r="E516" s="51">
        <v>46223</v>
      </c>
      <c r="F516" s="51">
        <v>46232</v>
      </c>
      <c r="G516" s="22" t="s">
        <v>40</v>
      </c>
      <c r="H516" s="91">
        <v>0</v>
      </c>
    </row>
    <row r="517" spans="1:8">
      <c r="A517" s="7" t="s">
        <v>16</v>
      </c>
      <c r="B517" s="9" t="s">
        <v>54</v>
      </c>
      <c r="C517" s="6">
        <v>1</v>
      </c>
      <c r="D517" s="7" t="s">
        <v>163</v>
      </c>
      <c r="E517" s="51">
        <v>46223</v>
      </c>
      <c r="F517" s="51">
        <v>46232</v>
      </c>
      <c r="G517" s="22" t="s">
        <v>40</v>
      </c>
      <c r="H517" s="91">
        <v>0</v>
      </c>
    </row>
    <row r="518" spans="1:8">
      <c r="A518" s="7" t="s">
        <v>16</v>
      </c>
      <c r="B518" s="9" t="s">
        <v>55</v>
      </c>
      <c r="C518" s="6">
        <v>1</v>
      </c>
      <c r="D518" s="7" t="s">
        <v>163</v>
      </c>
      <c r="E518" s="51">
        <v>46223</v>
      </c>
      <c r="F518" s="51">
        <v>46232</v>
      </c>
      <c r="G518" s="22" t="s">
        <v>40</v>
      </c>
      <c r="H518" s="91">
        <v>0</v>
      </c>
    </row>
    <row r="519" spans="1:8">
      <c r="A519" s="7" t="s">
        <v>16</v>
      </c>
      <c r="B519" s="9" t="s">
        <v>56</v>
      </c>
      <c r="C519" s="6">
        <v>1</v>
      </c>
      <c r="D519" s="7" t="s">
        <v>163</v>
      </c>
      <c r="E519" s="51">
        <v>46223</v>
      </c>
      <c r="F519" s="51">
        <v>46232</v>
      </c>
      <c r="G519" s="22" t="s">
        <v>40</v>
      </c>
      <c r="H519" s="91">
        <v>0</v>
      </c>
    </row>
    <row r="520" spans="1:8">
      <c r="A520" s="7" t="s">
        <v>16</v>
      </c>
      <c r="B520" s="9" t="s">
        <v>57</v>
      </c>
      <c r="C520" s="6">
        <v>1</v>
      </c>
      <c r="D520" s="7" t="s">
        <v>163</v>
      </c>
      <c r="E520" s="51">
        <v>46223</v>
      </c>
      <c r="F520" s="51">
        <v>46232</v>
      </c>
      <c r="G520" s="22" t="s">
        <v>40</v>
      </c>
      <c r="H520" s="91">
        <v>0</v>
      </c>
    </row>
    <row r="521" spans="1:8">
      <c r="A521" s="7" t="s">
        <v>16</v>
      </c>
      <c r="B521" s="9" t="s">
        <v>58</v>
      </c>
      <c r="C521" s="6">
        <v>1</v>
      </c>
      <c r="D521" s="7" t="s">
        <v>163</v>
      </c>
      <c r="E521" s="51">
        <v>46223</v>
      </c>
      <c r="F521" s="51">
        <v>46232</v>
      </c>
      <c r="G521" s="22" t="s">
        <v>40</v>
      </c>
      <c r="H521" s="91">
        <v>0</v>
      </c>
    </row>
    <row r="522" spans="1:8">
      <c r="A522" s="7" t="s">
        <v>16</v>
      </c>
      <c r="B522" s="9" t="s">
        <v>59</v>
      </c>
      <c r="C522" s="6">
        <v>1</v>
      </c>
      <c r="D522" s="7" t="s">
        <v>163</v>
      </c>
      <c r="E522" s="51">
        <v>46223</v>
      </c>
      <c r="F522" s="51">
        <v>46232</v>
      </c>
      <c r="G522" s="22" t="s">
        <v>40</v>
      </c>
      <c r="H522" s="91">
        <v>0</v>
      </c>
    </row>
    <row r="523" spans="1:8">
      <c r="A523" s="7" t="s">
        <v>16</v>
      </c>
      <c r="B523" s="9" t="s">
        <v>60</v>
      </c>
      <c r="C523" s="6">
        <v>1</v>
      </c>
      <c r="D523" s="7" t="s">
        <v>163</v>
      </c>
      <c r="E523" s="51">
        <v>46223</v>
      </c>
      <c r="F523" s="51">
        <v>46232</v>
      </c>
      <c r="G523" s="22" t="s">
        <v>40</v>
      </c>
      <c r="H523" s="91">
        <v>0</v>
      </c>
    </row>
    <row r="524" spans="1:8">
      <c r="A524" s="7" t="s">
        <v>16</v>
      </c>
      <c r="B524" s="9" t="s">
        <v>61</v>
      </c>
      <c r="C524" s="6">
        <v>1</v>
      </c>
      <c r="D524" s="7" t="s">
        <v>163</v>
      </c>
      <c r="E524" s="51">
        <v>46223</v>
      </c>
      <c r="F524" s="51">
        <v>46232</v>
      </c>
      <c r="G524" s="22" t="s">
        <v>40</v>
      </c>
      <c r="H524" s="91">
        <v>0</v>
      </c>
    </row>
    <row r="525" spans="1:8">
      <c r="A525" s="7" t="s">
        <v>16</v>
      </c>
      <c r="B525" s="9" t="s">
        <v>62</v>
      </c>
      <c r="C525" s="6">
        <v>1</v>
      </c>
      <c r="D525" s="7" t="s">
        <v>163</v>
      </c>
      <c r="E525" s="51">
        <v>46223</v>
      </c>
      <c r="F525" s="51">
        <v>46232</v>
      </c>
      <c r="G525" s="22" t="s">
        <v>40</v>
      </c>
      <c r="H525" s="91">
        <v>0</v>
      </c>
    </row>
    <row r="526" spans="1:8">
      <c r="A526" s="7" t="s">
        <v>16</v>
      </c>
      <c r="B526" s="9" t="s">
        <v>63</v>
      </c>
      <c r="C526" s="6">
        <v>1</v>
      </c>
      <c r="D526" s="7" t="s">
        <v>163</v>
      </c>
      <c r="E526" s="51">
        <v>46223</v>
      </c>
      <c r="F526" s="51">
        <v>46232</v>
      </c>
      <c r="G526" s="22" t="s">
        <v>40</v>
      </c>
      <c r="H526" s="91">
        <v>0</v>
      </c>
    </row>
    <row r="527" spans="1:8">
      <c r="A527" s="7" t="s">
        <v>16</v>
      </c>
      <c r="B527" s="9" t="s">
        <v>64</v>
      </c>
      <c r="C527" s="6">
        <v>1</v>
      </c>
      <c r="D527" s="7" t="s">
        <v>163</v>
      </c>
      <c r="E527" s="51">
        <v>46223</v>
      </c>
      <c r="F527" s="51">
        <v>46232</v>
      </c>
      <c r="G527" s="22" t="s">
        <v>40</v>
      </c>
      <c r="H527" s="91">
        <v>0</v>
      </c>
    </row>
    <row r="528" spans="1:8">
      <c r="A528" s="7" t="s">
        <v>16</v>
      </c>
      <c r="B528" s="9" t="s">
        <v>65</v>
      </c>
      <c r="C528" s="6">
        <v>1</v>
      </c>
      <c r="D528" s="7" t="s">
        <v>163</v>
      </c>
      <c r="E528" s="51">
        <v>46223</v>
      </c>
      <c r="F528" s="51">
        <v>46232</v>
      </c>
      <c r="G528" s="22" t="s">
        <v>40</v>
      </c>
      <c r="H528" s="91">
        <v>0</v>
      </c>
    </row>
    <row r="529" spans="1:8">
      <c r="A529" s="7" t="s">
        <v>16</v>
      </c>
      <c r="B529" s="9" t="s">
        <v>66</v>
      </c>
      <c r="C529" s="6">
        <v>1</v>
      </c>
      <c r="D529" s="7" t="s">
        <v>163</v>
      </c>
      <c r="E529" s="51">
        <v>46223</v>
      </c>
      <c r="F529" s="51">
        <v>46232</v>
      </c>
      <c r="G529" s="22" t="s">
        <v>40</v>
      </c>
      <c r="H529" s="91">
        <v>0</v>
      </c>
    </row>
    <row r="530" spans="1:8">
      <c r="A530" s="7" t="s">
        <v>16</v>
      </c>
      <c r="B530" s="9" t="s">
        <v>67</v>
      </c>
      <c r="C530" s="6">
        <v>1</v>
      </c>
      <c r="D530" s="7" t="s">
        <v>163</v>
      </c>
      <c r="E530" s="51">
        <v>46223</v>
      </c>
      <c r="F530" s="51">
        <v>46232</v>
      </c>
      <c r="G530" s="22" t="s">
        <v>40</v>
      </c>
      <c r="H530" s="91">
        <v>0</v>
      </c>
    </row>
    <row r="531" spans="1:8">
      <c r="A531" s="7" t="s">
        <v>16</v>
      </c>
      <c r="B531" s="9" t="s">
        <v>68</v>
      </c>
      <c r="C531" s="6">
        <v>1</v>
      </c>
      <c r="D531" s="7" t="s">
        <v>163</v>
      </c>
      <c r="E531" s="51">
        <v>46223</v>
      </c>
      <c r="F531" s="51">
        <v>46232</v>
      </c>
      <c r="G531" s="22" t="s">
        <v>40</v>
      </c>
      <c r="H531" s="91">
        <v>0</v>
      </c>
    </row>
    <row r="532" spans="1:8">
      <c r="A532" s="7" t="s">
        <v>16</v>
      </c>
      <c r="B532" s="9" t="s">
        <v>69</v>
      </c>
      <c r="C532" s="6" t="s">
        <v>70</v>
      </c>
      <c r="D532" s="7" t="s">
        <v>163</v>
      </c>
      <c r="E532" s="51">
        <v>46223</v>
      </c>
      <c r="F532" s="51">
        <v>46232</v>
      </c>
      <c r="G532" s="22" t="s">
        <v>40</v>
      </c>
      <c r="H532" s="91">
        <v>0</v>
      </c>
    </row>
    <row r="533" spans="1:8">
      <c r="A533" s="7" t="s">
        <v>16</v>
      </c>
      <c r="B533" s="9" t="s">
        <v>71</v>
      </c>
      <c r="C533" s="6">
        <v>1</v>
      </c>
      <c r="D533" s="7" t="s">
        <v>163</v>
      </c>
      <c r="E533" s="51">
        <v>46223</v>
      </c>
      <c r="F533" s="51">
        <v>46232</v>
      </c>
      <c r="G533" s="22" t="s">
        <v>40</v>
      </c>
      <c r="H533" s="91">
        <v>0</v>
      </c>
    </row>
    <row r="534" spans="1:8">
      <c r="A534" s="7" t="s">
        <v>16</v>
      </c>
      <c r="B534" s="9" t="s">
        <v>72</v>
      </c>
      <c r="C534" s="6">
        <v>1</v>
      </c>
      <c r="D534" s="7" t="s">
        <v>163</v>
      </c>
      <c r="E534" s="51">
        <v>46223</v>
      </c>
      <c r="F534" s="51">
        <v>46232</v>
      </c>
      <c r="G534" s="22" t="s">
        <v>40</v>
      </c>
      <c r="H534" s="91">
        <v>0</v>
      </c>
    </row>
    <row r="535" spans="1:8">
      <c r="A535" s="7" t="s">
        <v>16</v>
      </c>
      <c r="B535" s="9" t="s">
        <v>73</v>
      </c>
      <c r="C535" s="6">
        <v>1</v>
      </c>
      <c r="D535" s="7" t="s">
        <v>163</v>
      </c>
      <c r="E535" s="51">
        <v>46223</v>
      </c>
      <c r="F535" s="51">
        <v>46232</v>
      </c>
      <c r="G535" s="22" t="s">
        <v>40</v>
      </c>
      <c r="H535" s="91">
        <v>0</v>
      </c>
    </row>
    <row r="536" spans="1:8">
      <c r="A536" s="7" t="s">
        <v>16</v>
      </c>
      <c r="B536" s="9" t="s">
        <v>74</v>
      </c>
      <c r="C536" s="6">
        <v>1</v>
      </c>
      <c r="D536" s="7" t="s">
        <v>163</v>
      </c>
      <c r="E536" s="51">
        <v>46223</v>
      </c>
      <c r="F536" s="51">
        <v>46232</v>
      </c>
      <c r="G536" s="22" t="s">
        <v>40</v>
      </c>
      <c r="H536" s="91">
        <v>0</v>
      </c>
    </row>
    <row r="537" spans="1:8">
      <c r="A537" s="7" t="s">
        <v>16</v>
      </c>
      <c r="B537" s="9" t="s">
        <v>75</v>
      </c>
      <c r="C537" s="6">
        <v>1</v>
      </c>
      <c r="D537" s="7" t="s">
        <v>163</v>
      </c>
      <c r="E537" s="51">
        <v>46223</v>
      </c>
      <c r="F537" s="51">
        <v>46232</v>
      </c>
      <c r="G537" s="22" t="s">
        <v>40</v>
      </c>
      <c r="H537" s="91">
        <v>0</v>
      </c>
    </row>
    <row r="538" spans="1:8">
      <c r="A538" s="7" t="s">
        <v>16</v>
      </c>
      <c r="B538" s="9" t="s">
        <v>76</v>
      </c>
      <c r="C538" s="6">
        <v>1</v>
      </c>
      <c r="D538" s="7" t="s">
        <v>163</v>
      </c>
      <c r="E538" s="51">
        <v>46223</v>
      </c>
      <c r="F538" s="51">
        <v>46232</v>
      </c>
      <c r="G538" s="22" t="s">
        <v>40</v>
      </c>
      <c r="H538" s="91">
        <v>0</v>
      </c>
    </row>
    <row r="539" spans="1:8">
      <c r="A539" s="7" t="s">
        <v>16</v>
      </c>
      <c r="B539" s="9" t="s">
        <v>77</v>
      </c>
      <c r="C539" s="6">
        <v>1</v>
      </c>
      <c r="D539" s="7" t="s">
        <v>163</v>
      </c>
      <c r="E539" s="51">
        <v>46223</v>
      </c>
      <c r="F539" s="51">
        <v>46232</v>
      </c>
      <c r="G539" s="22" t="s">
        <v>40</v>
      </c>
      <c r="H539" s="91">
        <v>0</v>
      </c>
    </row>
    <row r="540" spans="1:8">
      <c r="A540" s="7" t="s">
        <v>16</v>
      </c>
      <c r="B540" s="9" t="s">
        <v>78</v>
      </c>
      <c r="C540" s="6">
        <v>1</v>
      </c>
      <c r="D540" s="7" t="s">
        <v>163</v>
      </c>
      <c r="E540" s="51">
        <v>46223</v>
      </c>
      <c r="F540" s="51">
        <v>46232</v>
      </c>
      <c r="G540" s="22" t="s">
        <v>40</v>
      </c>
      <c r="H540" s="91">
        <v>0</v>
      </c>
    </row>
    <row r="541" spans="1:8">
      <c r="A541" s="7" t="s">
        <v>16</v>
      </c>
      <c r="B541" s="9" t="s">
        <v>79</v>
      </c>
      <c r="C541" s="6">
        <v>1</v>
      </c>
      <c r="D541" s="7" t="s">
        <v>163</v>
      </c>
      <c r="E541" s="51">
        <v>46223</v>
      </c>
      <c r="F541" s="51">
        <v>46232</v>
      </c>
      <c r="G541" s="22" t="s">
        <v>40</v>
      </c>
      <c r="H541" s="91">
        <v>0</v>
      </c>
    </row>
    <row r="542" spans="1:8">
      <c r="A542" s="7" t="s">
        <v>16</v>
      </c>
      <c r="B542" s="9" t="s">
        <v>80</v>
      </c>
      <c r="C542" s="6">
        <v>1</v>
      </c>
      <c r="D542" s="7" t="s">
        <v>163</v>
      </c>
      <c r="E542" s="51">
        <v>46223</v>
      </c>
      <c r="F542" s="51">
        <v>46232</v>
      </c>
      <c r="G542" s="22" t="s">
        <v>40</v>
      </c>
      <c r="H542" s="91">
        <v>0</v>
      </c>
    </row>
    <row r="543" spans="1:8">
      <c r="A543" s="7" t="s">
        <v>16</v>
      </c>
      <c r="B543" s="9" t="s">
        <v>81</v>
      </c>
      <c r="C543" s="6">
        <v>1</v>
      </c>
      <c r="D543" s="7" t="s">
        <v>163</v>
      </c>
      <c r="E543" s="51">
        <v>46223</v>
      </c>
      <c r="F543" s="51">
        <v>46232</v>
      </c>
      <c r="G543" s="22" t="s">
        <v>40</v>
      </c>
      <c r="H543" s="91">
        <v>0</v>
      </c>
    </row>
    <row r="544" spans="1:8">
      <c r="A544" s="7" t="s">
        <v>16</v>
      </c>
      <c r="B544" s="9" t="s">
        <v>82</v>
      </c>
      <c r="C544" s="6">
        <v>1</v>
      </c>
      <c r="D544" s="7" t="s">
        <v>163</v>
      </c>
      <c r="E544" s="51">
        <v>46223</v>
      </c>
      <c r="F544" s="51">
        <v>46232</v>
      </c>
      <c r="G544" s="22" t="s">
        <v>40</v>
      </c>
      <c r="H544" s="91">
        <v>0</v>
      </c>
    </row>
    <row r="545" spans="1:8">
      <c r="A545" s="7" t="s">
        <v>16</v>
      </c>
      <c r="B545" s="9" t="s">
        <v>83</v>
      </c>
      <c r="C545" s="6">
        <v>1</v>
      </c>
      <c r="D545" s="7" t="s">
        <v>163</v>
      </c>
      <c r="E545" s="51">
        <v>46223</v>
      </c>
      <c r="F545" s="51">
        <v>46232</v>
      </c>
      <c r="G545" s="22" t="s">
        <v>40</v>
      </c>
      <c r="H545" s="91">
        <v>0</v>
      </c>
    </row>
    <row r="546" spans="1:8">
      <c r="A546" s="7" t="s">
        <v>16</v>
      </c>
      <c r="B546" s="9" t="s">
        <v>84</v>
      </c>
      <c r="C546" s="6">
        <v>1</v>
      </c>
      <c r="D546" s="7" t="s">
        <v>163</v>
      </c>
      <c r="E546" s="51">
        <v>46223</v>
      </c>
      <c r="F546" s="51">
        <v>46232</v>
      </c>
      <c r="G546" s="22" t="s">
        <v>40</v>
      </c>
      <c r="H546" s="91">
        <v>0</v>
      </c>
    </row>
    <row r="547" spans="1:8">
      <c r="A547" s="7" t="s">
        <v>16</v>
      </c>
      <c r="B547" s="9" t="s">
        <v>85</v>
      </c>
      <c r="C547" s="6">
        <v>1</v>
      </c>
      <c r="D547" s="7" t="s">
        <v>163</v>
      </c>
      <c r="E547" s="51">
        <v>46223</v>
      </c>
      <c r="F547" s="51">
        <v>46232</v>
      </c>
      <c r="G547" s="22" t="s">
        <v>40</v>
      </c>
      <c r="H547" s="91">
        <v>0</v>
      </c>
    </row>
    <row r="548" spans="1:8">
      <c r="A548" s="7" t="s">
        <v>16</v>
      </c>
      <c r="B548" s="9" t="s">
        <v>86</v>
      </c>
      <c r="C548" s="6">
        <v>1</v>
      </c>
      <c r="D548" s="7" t="s">
        <v>163</v>
      </c>
      <c r="E548" s="51">
        <v>46223</v>
      </c>
      <c r="F548" s="51">
        <v>46232</v>
      </c>
      <c r="G548" s="22" t="s">
        <v>40</v>
      </c>
      <c r="H548" s="91">
        <v>0</v>
      </c>
    </row>
    <row r="549" spans="1:8">
      <c r="A549" s="7" t="s">
        <v>16</v>
      </c>
      <c r="B549" s="9" t="s">
        <v>87</v>
      </c>
      <c r="C549" s="6">
        <v>1</v>
      </c>
      <c r="D549" s="7" t="s">
        <v>163</v>
      </c>
      <c r="E549" s="51">
        <v>46223</v>
      </c>
      <c r="F549" s="51">
        <v>46232</v>
      </c>
      <c r="G549" s="22" t="s">
        <v>40</v>
      </c>
      <c r="H549" s="91">
        <v>0</v>
      </c>
    </row>
    <row r="550" spans="1:8">
      <c r="A550" s="7" t="s">
        <v>16</v>
      </c>
      <c r="B550" s="9" t="s">
        <v>88</v>
      </c>
      <c r="C550" s="6">
        <v>1</v>
      </c>
      <c r="D550" s="7" t="s">
        <v>163</v>
      </c>
      <c r="E550" s="51">
        <v>46223</v>
      </c>
      <c r="F550" s="51">
        <v>46232</v>
      </c>
      <c r="G550" s="22" t="s">
        <v>40</v>
      </c>
      <c r="H550" s="91">
        <v>0</v>
      </c>
    </row>
    <row r="551" spans="1:8">
      <c r="A551" s="7" t="s">
        <v>16</v>
      </c>
      <c r="B551" s="9" t="s">
        <v>89</v>
      </c>
      <c r="C551" s="6">
        <v>1</v>
      </c>
      <c r="D551" s="7" t="s">
        <v>163</v>
      </c>
      <c r="E551" s="51">
        <v>46223</v>
      </c>
      <c r="F551" s="51">
        <v>46232</v>
      </c>
      <c r="G551" s="22" t="s">
        <v>40</v>
      </c>
      <c r="H551" s="91">
        <v>0</v>
      </c>
    </row>
    <row r="552" spans="1:8">
      <c r="A552" s="7" t="s">
        <v>16</v>
      </c>
      <c r="B552" s="9" t="s">
        <v>90</v>
      </c>
      <c r="C552" s="6">
        <v>1</v>
      </c>
      <c r="D552" s="7" t="s">
        <v>163</v>
      </c>
      <c r="E552" s="51">
        <v>46223</v>
      </c>
      <c r="F552" s="51">
        <v>46232</v>
      </c>
      <c r="G552" s="22" t="s">
        <v>40</v>
      </c>
      <c r="H552" s="91">
        <v>0</v>
      </c>
    </row>
    <row r="553" spans="1:8">
      <c r="A553" s="7" t="s">
        <v>16</v>
      </c>
      <c r="B553" s="9" t="s">
        <v>91</v>
      </c>
      <c r="C553" s="6">
        <v>1</v>
      </c>
      <c r="D553" s="7" t="s">
        <v>163</v>
      </c>
      <c r="E553" s="51">
        <v>46223</v>
      </c>
      <c r="F553" s="51">
        <v>46232</v>
      </c>
      <c r="G553" s="22" t="s">
        <v>40</v>
      </c>
      <c r="H553" s="91">
        <v>0</v>
      </c>
    </row>
    <row r="554" spans="1:8">
      <c r="A554" s="7" t="s">
        <v>16</v>
      </c>
      <c r="B554" s="9" t="s">
        <v>92</v>
      </c>
      <c r="C554" s="6">
        <v>1</v>
      </c>
      <c r="D554" s="7" t="s">
        <v>163</v>
      </c>
      <c r="E554" s="51">
        <v>46223</v>
      </c>
      <c r="F554" s="51">
        <v>46232</v>
      </c>
      <c r="G554" s="22" t="s">
        <v>40</v>
      </c>
      <c r="H554" s="91">
        <v>0</v>
      </c>
    </row>
    <row r="555" spans="1:8">
      <c r="A555" s="7" t="s">
        <v>16</v>
      </c>
      <c r="B555" s="9" t="s">
        <v>93</v>
      </c>
      <c r="C555" s="6">
        <v>1</v>
      </c>
      <c r="D555" s="7" t="s">
        <v>163</v>
      </c>
      <c r="E555" s="51">
        <v>46223</v>
      </c>
      <c r="F555" s="51">
        <v>46232</v>
      </c>
      <c r="G555" s="22" t="s">
        <v>40</v>
      </c>
      <c r="H555" s="91">
        <v>0</v>
      </c>
    </row>
    <row r="556" spans="1:8">
      <c r="A556" s="7" t="s">
        <v>16</v>
      </c>
      <c r="B556" s="9" t="s">
        <v>94</v>
      </c>
      <c r="C556" s="6">
        <v>1</v>
      </c>
      <c r="D556" s="7" t="s">
        <v>163</v>
      </c>
      <c r="E556" s="51">
        <v>46223</v>
      </c>
      <c r="F556" s="51">
        <v>46232</v>
      </c>
      <c r="G556" s="22" t="s">
        <v>40</v>
      </c>
      <c r="H556" s="91">
        <v>0</v>
      </c>
    </row>
    <row r="557" spans="1:8">
      <c r="A557" s="7" t="s">
        <v>16</v>
      </c>
      <c r="B557" s="9" t="s">
        <v>95</v>
      </c>
      <c r="C557" s="6">
        <v>1</v>
      </c>
      <c r="D557" s="7" t="s">
        <v>163</v>
      </c>
      <c r="E557" s="51">
        <v>46223</v>
      </c>
      <c r="F557" s="51">
        <v>46232</v>
      </c>
      <c r="G557" s="22" t="s">
        <v>40</v>
      </c>
      <c r="H557" s="91">
        <v>0</v>
      </c>
    </row>
    <row r="558" spans="1:8">
      <c r="A558" s="7" t="s">
        <v>16</v>
      </c>
      <c r="B558" s="9" t="s">
        <v>96</v>
      </c>
      <c r="C558" s="6">
        <v>1</v>
      </c>
      <c r="D558" s="7" t="s">
        <v>163</v>
      </c>
      <c r="E558" s="51">
        <v>46223</v>
      </c>
      <c r="F558" s="51">
        <v>46232</v>
      </c>
      <c r="G558" s="22" t="s">
        <v>40</v>
      </c>
      <c r="H558" s="91">
        <v>0</v>
      </c>
    </row>
    <row r="559" spans="1:8">
      <c r="A559" s="7" t="s">
        <v>16</v>
      </c>
      <c r="B559" s="9" t="s">
        <v>97</v>
      </c>
      <c r="C559" s="6">
        <v>1</v>
      </c>
      <c r="D559" s="7" t="s">
        <v>163</v>
      </c>
      <c r="E559" s="51">
        <v>46233</v>
      </c>
      <c r="F559" s="51">
        <v>46242</v>
      </c>
      <c r="G559" s="22" t="s">
        <v>40</v>
      </c>
      <c r="H559" s="91">
        <v>0</v>
      </c>
    </row>
    <row r="560" spans="1:8">
      <c r="A560" s="7" t="s">
        <v>16</v>
      </c>
      <c r="B560" s="9" t="s">
        <v>98</v>
      </c>
      <c r="C560" s="6">
        <v>1</v>
      </c>
      <c r="D560" s="7" t="s">
        <v>163</v>
      </c>
      <c r="E560" s="51">
        <v>46233</v>
      </c>
      <c r="F560" s="51">
        <v>46242</v>
      </c>
      <c r="G560" s="22" t="s">
        <v>40</v>
      </c>
      <c r="H560" s="91">
        <v>0</v>
      </c>
    </row>
    <row r="561" spans="1:8">
      <c r="A561" s="7" t="s">
        <v>16</v>
      </c>
      <c r="B561" s="9" t="s">
        <v>99</v>
      </c>
      <c r="C561" s="6">
        <v>1</v>
      </c>
      <c r="D561" s="7" t="s">
        <v>163</v>
      </c>
      <c r="E561" s="51">
        <v>46233</v>
      </c>
      <c r="F561" s="51">
        <v>46242</v>
      </c>
      <c r="G561" s="22" t="s">
        <v>40</v>
      </c>
      <c r="H561" s="91">
        <v>0</v>
      </c>
    </row>
    <row r="562" spans="1:8">
      <c r="A562" s="7" t="s">
        <v>16</v>
      </c>
      <c r="B562" s="9" t="s">
        <v>100</v>
      </c>
      <c r="C562" s="6">
        <v>1</v>
      </c>
      <c r="D562" s="7" t="s">
        <v>163</v>
      </c>
      <c r="E562" s="51">
        <v>46233</v>
      </c>
      <c r="F562" s="51">
        <v>46242</v>
      </c>
      <c r="G562" s="22" t="s">
        <v>40</v>
      </c>
      <c r="H562" s="91">
        <v>0</v>
      </c>
    </row>
    <row r="563" spans="1:8">
      <c r="A563" s="7" t="s">
        <v>16</v>
      </c>
      <c r="B563" s="9" t="s">
        <v>101</v>
      </c>
      <c r="C563" s="6">
        <v>1</v>
      </c>
      <c r="D563" s="7" t="s">
        <v>163</v>
      </c>
      <c r="E563" s="51">
        <v>46233</v>
      </c>
      <c r="F563" s="51">
        <v>46242</v>
      </c>
      <c r="G563" s="22" t="s">
        <v>40</v>
      </c>
      <c r="H563" s="91">
        <v>0</v>
      </c>
    </row>
    <row r="564" spans="1:8">
      <c r="A564" s="7" t="s">
        <v>16</v>
      </c>
      <c r="B564" s="9" t="s">
        <v>102</v>
      </c>
      <c r="C564" s="6">
        <v>1</v>
      </c>
      <c r="D564" s="7" t="s">
        <v>163</v>
      </c>
      <c r="E564" s="51">
        <v>46233</v>
      </c>
      <c r="F564" s="51">
        <v>46242</v>
      </c>
      <c r="G564" s="22" t="s">
        <v>40</v>
      </c>
      <c r="H564" s="91">
        <v>0</v>
      </c>
    </row>
    <row r="565" spans="1:8">
      <c r="A565" s="7" t="s">
        <v>16</v>
      </c>
      <c r="B565" s="9" t="s">
        <v>103</v>
      </c>
      <c r="C565" s="6">
        <v>1</v>
      </c>
      <c r="D565" s="7" t="s">
        <v>163</v>
      </c>
      <c r="E565" s="51">
        <v>46233</v>
      </c>
      <c r="F565" s="51">
        <v>46242</v>
      </c>
      <c r="G565" s="22" t="s">
        <v>40</v>
      </c>
      <c r="H565" s="91">
        <v>0</v>
      </c>
    </row>
    <row r="566" spans="1:8">
      <c r="A566" s="7" t="s">
        <v>16</v>
      </c>
      <c r="B566" s="9" t="s">
        <v>104</v>
      </c>
      <c r="C566" s="6">
        <v>1</v>
      </c>
      <c r="D566" s="7" t="s">
        <v>163</v>
      </c>
      <c r="E566" s="51">
        <v>46233</v>
      </c>
      <c r="F566" s="51">
        <v>46242</v>
      </c>
      <c r="G566" s="22" t="s">
        <v>40</v>
      </c>
      <c r="H566" s="91">
        <v>0</v>
      </c>
    </row>
    <row r="567" spans="1:8">
      <c r="A567" s="7" t="s">
        <v>16</v>
      </c>
      <c r="B567" s="9" t="s">
        <v>105</v>
      </c>
      <c r="C567" s="6">
        <v>1</v>
      </c>
      <c r="D567" s="7" t="s">
        <v>163</v>
      </c>
      <c r="E567" s="51">
        <v>46233</v>
      </c>
      <c r="F567" s="51">
        <v>46242</v>
      </c>
      <c r="G567" s="22" t="s">
        <v>40</v>
      </c>
      <c r="H567" s="91">
        <v>0</v>
      </c>
    </row>
    <row r="568" spans="1:8">
      <c r="A568" s="7" t="s">
        <v>16</v>
      </c>
      <c r="B568" s="9" t="s">
        <v>106</v>
      </c>
      <c r="C568" s="6">
        <v>1</v>
      </c>
      <c r="D568" s="7" t="s">
        <v>163</v>
      </c>
      <c r="E568" s="51">
        <v>46233</v>
      </c>
      <c r="F568" s="51">
        <v>46242</v>
      </c>
      <c r="G568" s="22" t="s">
        <v>40</v>
      </c>
      <c r="H568" s="91">
        <v>0</v>
      </c>
    </row>
    <row r="569" spans="1:8">
      <c r="A569" s="7" t="s">
        <v>16</v>
      </c>
      <c r="B569" s="9" t="s">
        <v>107</v>
      </c>
      <c r="C569" s="6">
        <v>1</v>
      </c>
      <c r="D569" s="7" t="s">
        <v>163</v>
      </c>
      <c r="E569" s="51">
        <v>46233</v>
      </c>
      <c r="F569" s="51">
        <v>46242</v>
      </c>
      <c r="G569" s="22" t="s">
        <v>40</v>
      </c>
      <c r="H569" s="91">
        <v>0</v>
      </c>
    </row>
    <row r="570" spans="1:8">
      <c r="A570" s="7" t="s">
        <v>16</v>
      </c>
      <c r="B570" s="9" t="s">
        <v>108</v>
      </c>
      <c r="C570" s="6">
        <v>1</v>
      </c>
      <c r="D570" s="7" t="s">
        <v>163</v>
      </c>
      <c r="E570" s="51">
        <v>46233</v>
      </c>
      <c r="F570" s="51">
        <v>46242</v>
      </c>
      <c r="G570" s="22" t="s">
        <v>40</v>
      </c>
      <c r="H570" s="91">
        <v>0</v>
      </c>
    </row>
    <row r="571" spans="1:8">
      <c r="A571" s="7" t="s">
        <v>16</v>
      </c>
      <c r="B571" s="9" t="s">
        <v>109</v>
      </c>
      <c r="C571" s="6">
        <v>1</v>
      </c>
      <c r="D571" s="7" t="s">
        <v>163</v>
      </c>
      <c r="E571" s="51">
        <v>46233</v>
      </c>
      <c r="F571" s="51">
        <v>46242</v>
      </c>
      <c r="G571" s="22" t="s">
        <v>40</v>
      </c>
      <c r="H571" s="91">
        <v>0</v>
      </c>
    </row>
    <row r="572" spans="1:8">
      <c r="A572" s="7" t="s">
        <v>16</v>
      </c>
      <c r="B572" s="9" t="s">
        <v>110</v>
      </c>
      <c r="C572" s="6">
        <v>1</v>
      </c>
      <c r="D572" s="7" t="s">
        <v>163</v>
      </c>
      <c r="E572" s="51">
        <v>46233</v>
      </c>
      <c r="F572" s="51">
        <v>46242</v>
      </c>
      <c r="G572" s="22" t="s">
        <v>40</v>
      </c>
      <c r="H572" s="91">
        <v>0</v>
      </c>
    </row>
    <row r="573" spans="1:8">
      <c r="A573" s="7" t="s">
        <v>16</v>
      </c>
      <c r="B573" s="9" t="s">
        <v>111</v>
      </c>
      <c r="C573" s="6">
        <v>1</v>
      </c>
      <c r="D573" s="7" t="s">
        <v>163</v>
      </c>
      <c r="E573" s="51">
        <v>46233</v>
      </c>
      <c r="F573" s="51">
        <v>46242</v>
      </c>
      <c r="G573" s="22" t="s">
        <v>40</v>
      </c>
      <c r="H573" s="91">
        <v>0</v>
      </c>
    </row>
    <row r="574" spans="1:8">
      <c r="A574" s="7" t="s">
        <v>16</v>
      </c>
      <c r="B574" s="9" t="s">
        <v>112</v>
      </c>
      <c r="C574" s="6">
        <v>1</v>
      </c>
      <c r="D574" s="7" t="s">
        <v>163</v>
      </c>
      <c r="E574" s="51">
        <v>46233</v>
      </c>
      <c r="F574" s="51">
        <v>46242</v>
      </c>
      <c r="G574" s="22" t="s">
        <v>40</v>
      </c>
      <c r="H574" s="91">
        <v>0</v>
      </c>
    </row>
    <row r="575" spans="1:8">
      <c r="A575" s="7" t="s">
        <v>16</v>
      </c>
      <c r="B575" s="9" t="s">
        <v>113</v>
      </c>
      <c r="C575" s="6">
        <v>1</v>
      </c>
      <c r="D575" s="7" t="s">
        <v>163</v>
      </c>
      <c r="E575" s="51">
        <v>46233</v>
      </c>
      <c r="F575" s="51">
        <v>46242</v>
      </c>
      <c r="G575" s="22" t="s">
        <v>40</v>
      </c>
      <c r="H575" s="91">
        <v>0</v>
      </c>
    </row>
    <row r="576" spans="1:8">
      <c r="A576" s="7" t="s">
        <v>16</v>
      </c>
      <c r="B576" s="9" t="s">
        <v>114</v>
      </c>
      <c r="C576" s="6">
        <v>1</v>
      </c>
      <c r="D576" s="7" t="s">
        <v>163</v>
      </c>
      <c r="E576" s="51">
        <v>46233</v>
      </c>
      <c r="F576" s="51">
        <v>46242</v>
      </c>
      <c r="G576" s="22" t="s">
        <v>40</v>
      </c>
      <c r="H576" s="91">
        <v>0</v>
      </c>
    </row>
    <row r="577" spans="1:8">
      <c r="A577" s="7" t="s">
        <v>16</v>
      </c>
      <c r="B577" s="9" t="s">
        <v>115</v>
      </c>
      <c r="C577" s="6">
        <v>1</v>
      </c>
      <c r="D577" s="7" t="s">
        <v>163</v>
      </c>
      <c r="E577" s="51">
        <v>46233</v>
      </c>
      <c r="F577" s="51">
        <v>46242</v>
      </c>
      <c r="G577" s="22" t="s">
        <v>40</v>
      </c>
      <c r="H577" s="91">
        <v>0</v>
      </c>
    </row>
    <row r="578" spans="1:8">
      <c r="A578" s="7" t="s">
        <v>16</v>
      </c>
      <c r="B578" s="9" t="s">
        <v>116</v>
      </c>
      <c r="C578" s="6">
        <v>1</v>
      </c>
      <c r="D578" s="7" t="s">
        <v>163</v>
      </c>
      <c r="E578" s="51">
        <v>46233</v>
      </c>
      <c r="F578" s="51">
        <v>46242</v>
      </c>
      <c r="G578" s="22" t="s">
        <v>40</v>
      </c>
      <c r="H578" s="91">
        <v>0</v>
      </c>
    </row>
    <row r="579" spans="1:8">
      <c r="A579" s="7" t="s">
        <v>16</v>
      </c>
      <c r="B579" s="9" t="s">
        <v>117</v>
      </c>
      <c r="C579" s="6">
        <v>1</v>
      </c>
      <c r="D579" s="7" t="s">
        <v>163</v>
      </c>
      <c r="E579" s="51">
        <v>46233</v>
      </c>
      <c r="F579" s="51">
        <v>46242</v>
      </c>
      <c r="G579" s="22" t="s">
        <v>40</v>
      </c>
      <c r="H579" s="91">
        <v>0</v>
      </c>
    </row>
    <row r="580" spans="1:8">
      <c r="A580" s="7" t="s">
        <v>16</v>
      </c>
      <c r="B580" s="9" t="s">
        <v>118</v>
      </c>
      <c r="C580" s="6">
        <v>1</v>
      </c>
      <c r="D580" s="7" t="s">
        <v>163</v>
      </c>
      <c r="E580" s="51">
        <v>46233</v>
      </c>
      <c r="F580" s="51">
        <v>46242</v>
      </c>
      <c r="G580" s="22" t="s">
        <v>40</v>
      </c>
      <c r="H580" s="91">
        <v>0</v>
      </c>
    </row>
    <row r="581" spans="1:8">
      <c r="A581" s="7" t="s">
        <v>16</v>
      </c>
      <c r="B581" s="9" t="s">
        <v>119</v>
      </c>
      <c r="C581" s="6">
        <v>1</v>
      </c>
      <c r="D581" s="7" t="s">
        <v>163</v>
      </c>
      <c r="E581" s="51">
        <v>46233</v>
      </c>
      <c r="F581" s="51">
        <v>46242</v>
      </c>
      <c r="G581" s="22" t="s">
        <v>40</v>
      </c>
      <c r="H581" s="91">
        <v>0</v>
      </c>
    </row>
    <row r="582" spans="1:8">
      <c r="A582" s="7" t="s">
        <v>16</v>
      </c>
      <c r="B582" s="9" t="s">
        <v>120</v>
      </c>
      <c r="C582" s="6">
        <v>1</v>
      </c>
      <c r="D582" s="7" t="s">
        <v>163</v>
      </c>
      <c r="E582" s="51">
        <v>46233</v>
      </c>
      <c r="F582" s="51">
        <v>46242</v>
      </c>
      <c r="G582" s="22" t="s">
        <v>40</v>
      </c>
      <c r="H582" s="91">
        <v>0</v>
      </c>
    </row>
    <row r="583" spans="1:8">
      <c r="A583" s="7" t="s">
        <v>16</v>
      </c>
      <c r="B583" s="9" t="s">
        <v>121</v>
      </c>
      <c r="C583" s="6">
        <v>1</v>
      </c>
      <c r="D583" s="7" t="s">
        <v>163</v>
      </c>
      <c r="E583" s="51">
        <v>46233</v>
      </c>
      <c r="F583" s="51">
        <v>46242</v>
      </c>
      <c r="G583" s="22" t="s">
        <v>40</v>
      </c>
      <c r="H583" s="91">
        <v>0</v>
      </c>
    </row>
    <row r="584" spans="1:8">
      <c r="A584" s="7" t="s">
        <v>16</v>
      </c>
      <c r="B584" s="9" t="s">
        <v>122</v>
      </c>
      <c r="C584" s="6">
        <v>1</v>
      </c>
      <c r="D584" s="7" t="s">
        <v>163</v>
      </c>
      <c r="E584" s="51">
        <v>46233</v>
      </c>
      <c r="F584" s="51">
        <v>46242</v>
      </c>
      <c r="G584" s="22" t="s">
        <v>40</v>
      </c>
      <c r="H584" s="91">
        <v>0</v>
      </c>
    </row>
    <row r="585" spans="1:8">
      <c r="A585" s="7" t="s">
        <v>16</v>
      </c>
      <c r="B585" s="9" t="s">
        <v>123</v>
      </c>
      <c r="C585" s="6">
        <v>1</v>
      </c>
      <c r="D585" s="7" t="s">
        <v>163</v>
      </c>
      <c r="E585" s="51">
        <v>46233</v>
      </c>
      <c r="F585" s="51">
        <v>46242</v>
      </c>
      <c r="G585" s="22" t="s">
        <v>40</v>
      </c>
      <c r="H585" s="91">
        <v>0</v>
      </c>
    </row>
    <row r="586" spans="1:8">
      <c r="A586" s="7" t="s">
        <v>16</v>
      </c>
      <c r="B586" s="9" t="s">
        <v>124</v>
      </c>
      <c r="C586" s="6">
        <v>1</v>
      </c>
      <c r="D586" s="7" t="s">
        <v>163</v>
      </c>
      <c r="E586" s="51">
        <v>46233</v>
      </c>
      <c r="F586" s="51">
        <v>46242</v>
      </c>
      <c r="G586" s="22" t="s">
        <v>40</v>
      </c>
      <c r="H586" s="91">
        <v>0</v>
      </c>
    </row>
    <row r="587" spans="1:8">
      <c r="A587" s="7" t="s">
        <v>16</v>
      </c>
      <c r="B587" s="9" t="s">
        <v>125</v>
      </c>
      <c r="C587" s="6">
        <v>1</v>
      </c>
      <c r="D587" s="7" t="s">
        <v>163</v>
      </c>
      <c r="E587" s="51">
        <v>46233</v>
      </c>
      <c r="F587" s="51">
        <v>46242</v>
      </c>
      <c r="G587" s="22" t="s">
        <v>40</v>
      </c>
      <c r="H587" s="91">
        <v>0</v>
      </c>
    </row>
    <row r="588" spans="1:8">
      <c r="A588" s="7" t="s">
        <v>16</v>
      </c>
      <c r="B588" s="9" t="s">
        <v>126</v>
      </c>
      <c r="C588" s="6">
        <v>1</v>
      </c>
      <c r="D588" s="7" t="s">
        <v>163</v>
      </c>
      <c r="E588" s="51">
        <v>46233</v>
      </c>
      <c r="F588" s="51">
        <v>46242</v>
      </c>
      <c r="G588" s="22" t="s">
        <v>40</v>
      </c>
      <c r="H588" s="91">
        <v>0</v>
      </c>
    </row>
    <row r="589" spans="1:8">
      <c r="A589" s="7" t="s">
        <v>16</v>
      </c>
      <c r="B589" s="9" t="s">
        <v>127</v>
      </c>
      <c r="C589" s="6">
        <v>1</v>
      </c>
      <c r="D589" s="7" t="s">
        <v>163</v>
      </c>
      <c r="E589" s="51">
        <v>46233</v>
      </c>
      <c r="F589" s="51">
        <v>46242</v>
      </c>
      <c r="G589" s="22" t="s">
        <v>40</v>
      </c>
      <c r="H589" s="91">
        <v>0</v>
      </c>
    </row>
    <row r="590" spans="1:8">
      <c r="A590" s="7" t="s">
        <v>16</v>
      </c>
      <c r="B590" s="9" t="s">
        <v>128</v>
      </c>
      <c r="C590" s="6">
        <v>1</v>
      </c>
      <c r="D590" s="7" t="s">
        <v>163</v>
      </c>
      <c r="E590" s="51">
        <v>46233</v>
      </c>
      <c r="F590" s="51">
        <v>46242</v>
      </c>
      <c r="G590" s="22" t="s">
        <v>40</v>
      </c>
      <c r="H590" s="91">
        <v>0</v>
      </c>
    </row>
    <row r="591" spans="1:8">
      <c r="A591" s="7" t="s">
        <v>16</v>
      </c>
      <c r="B591" s="9" t="s">
        <v>129</v>
      </c>
      <c r="C591" s="6">
        <v>1</v>
      </c>
      <c r="D591" s="7" t="s">
        <v>163</v>
      </c>
      <c r="E591" s="51">
        <v>46233</v>
      </c>
      <c r="F591" s="51">
        <v>46242</v>
      </c>
      <c r="G591" s="22" t="s">
        <v>40</v>
      </c>
      <c r="H591" s="91">
        <v>0</v>
      </c>
    </row>
    <row r="592" spans="1:8">
      <c r="A592" s="7" t="s">
        <v>16</v>
      </c>
      <c r="B592" s="9" t="s">
        <v>130</v>
      </c>
      <c r="C592" s="6">
        <v>1</v>
      </c>
      <c r="D592" s="7" t="s">
        <v>163</v>
      </c>
      <c r="E592" s="51">
        <v>46233</v>
      </c>
      <c r="F592" s="51">
        <v>46242</v>
      </c>
      <c r="G592" s="22" t="s">
        <v>40</v>
      </c>
      <c r="H592" s="91">
        <v>0</v>
      </c>
    </row>
    <row r="593" spans="1:8">
      <c r="A593" s="7" t="s">
        <v>16</v>
      </c>
      <c r="B593" s="9" t="s">
        <v>131</v>
      </c>
      <c r="C593" s="6">
        <v>1</v>
      </c>
      <c r="D593" s="7" t="s">
        <v>163</v>
      </c>
      <c r="E593" s="51">
        <v>46233</v>
      </c>
      <c r="F593" s="51">
        <v>46242</v>
      </c>
      <c r="G593" s="22" t="s">
        <v>40</v>
      </c>
      <c r="H593" s="91">
        <v>0</v>
      </c>
    </row>
    <row r="594" spans="1:8">
      <c r="A594" s="7" t="s">
        <v>16</v>
      </c>
      <c r="B594" s="9" t="s">
        <v>132</v>
      </c>
      <c r="C594" s="6">
        <v>1</v>
      </c>
      <c r="D594" s="7" t="s">
        <v>163</v>
      </c>
      <c r="E594" s="51">
        <v>46233</v>
      </c>
      <c r="F594" s="51">
        <v>46242</v>
      </c>
      <c r="G594" s="22" t="s">
        <v>40</v>
      </c>
      <c r="H594" s="91">
        <v>0</v>
      </c>
    </row>
    <row r="595" spans="1:8">
      <c r="A595" s="7" t="s">
        <v>16</v>
      </c>
      <c r="B595" s="9" t="s">
        <v>133</v>
      </c>
      <c r="C595" s="6">
        <v>1</v>
      </c>
      <c r="D595" s="7" t="s">
        <v>163</v>
      </c>
      <c r="E595" s="51">
        <v>46233</v>
      </c>
      <c r="F595" s="51">
        <v>46242</v>
      </c>
      <c r="G595" s="22" t="s">
        <v>40</v>
      </c>
      <c r="H595" s="91">
        <v>0</v>
      </c>
    </row>
    <row r="596" spans="1:8">
      <c r="A596" s="7" t="s">
        <v>16</v>
      </c>
      <c r="B596" s="9" t="s">
        <v>134</v>
      </c>
      <c r="C596" s="6">
        <v>1</v>
      </c>
      <c r="D596" s="7" t="s">
        <v>163</v>
      </c>
      <c r="E596" s="51">
        <v>46233</v>
      </c>
      <c r="F596" s="51">
        <v>46242</v>
      </c>
      <c r="G596" s="22" t="s">
        <v>40</v>
      </c>
      <c r="H596" s="91">
        <v>0</v>
      </c>
    </row>
    <row r="597" spans="1:8">
      <c r="A597" s="7" t="s">
        <v>16</v>
      </c>
      <c r="B597" s="9" t="s">
        <v>135</v>
      </c>
      <c r="C597" s="6">
        <v>1</v>
      </c>
      <c r="D597" s="7" t="s">
        <v>163</v>
      </c>
      <c r="E597" s="51">
        <v>46233</v>
      </c>
      <c r="F597" s="51">
        <v>46242</v>
      </c>
      <c r="G597" s="22" t="s">
        <v>40</v>
      </c>
      <c r="H597" s="91">
        <v>0</v>
      </c>
    </row>
    <row r="598" spans="1:8">
      <c r="A598" s="7" t="s">
        <v>16</v>
      </c>
      <c r="B598" s="9" t="s">
        <v>136</v>
      </c>
      <c r="C598" s="6">
        <v>1</v>
      </c>
      <c r="D598" s="7" t="s">
        <v>163</v>
      </c>
      <c r="E598" s="51">
        <v>46233</v>
      </c>
      <c r="F598" s="51">
        <v>46242</v>
      </c>
      <c r="G598" s="22" t="s">
        <v>40</v>
      </c>
      <c r="H598" s="91">
        <v>0</v>
      </c>
    </row>
    <row r="599" spans="1:8">
      <c r="A599" s="7" t="s">
        <v>16</v>
      </c>
      <c r="B599" s="9" t="s">
        <v>137</v>
      </c>
      <c r="C599" s="6">
        <v>1</v>
      </c>
      <c r="D599" s="7" t="s">
        <v>163</v>
      </c>
      <c r="E599" s="51">
        <v>46233</v>
      </c>
      <c r="F599" s="51">
        <v>46242</v>
      </c>
      <c r="G599" s="22" t="s">
        <v>40</v>
      </c>
      <c r="H599" s="91">
        <v>0</v>
      </c>
    </row>
    <row r="600" spans="1:8">
      <c r="A600" s="7" t="s">
        <v>16</v>
      </c>
      <c r="B600" s="9" t="s">
        <v>138</v>
      </c>
      <c r="C600" s="6">
        <v>1</v>
      </c>
      <c r="D600" s="7" t="s">
        <v>163</v>
      </c>
      <c r="E600" s="51">
        <v>46233</v>
      </c>
      <c r="F600" s="51">
        <v>46242</v>
      </c>
      <c r="G600" s="22" t="s">
        <v>40</v>
      </c>
      <c r="H600" s="91">
        <v>0</v>
      </c>
    </row>
    <row r="601" spans="1:8">
      <c r="A601" s="7" t="s">
        <v>16</v>
      </c>
      <c r="B601" s="9" t="s">
        <v>139</v>
      </c>
      <c r="C601" s="6">
        <v>1</v>
      </c>
      <c r="D601" s="7" t="s">
        <v>163</v>
      </c>
      <c r="E601" s="51">
        <v>46233</v>
      </c>
      <c r="F601" s="51">
        <v>46242</v>
      </c>
      <c r="G601" s="22" t="s">
        <v>40</v>
      </c>
      <c r="H601" s="91">
        <v>0</v>
      </c>
    </row>
    <row r="602" spans="1:8">
      <c r="A602" s="7" t="s">
        <v>16</v>
      </c>
      <c r="B602" s="9" t="s">
        <v>140</v>
      </c>
      <c r="C602" s="6">
        <v>1</v>
      </c>
      <c r="D602" s="7" t="s">
        <v>163</v>
      </c>
      <c r="E602" s="51">
        <v>46233</v>
      </c>
      <c r="F602" s="51">
        <v>46242</v>
      </c>
      <c r="G602" s="22" t="s">
        <v>40</v>
      </c>
      <c r="H602" s="91">
        <v>0</v>
      </c>
    </row>
    <row r="603" spans="1:8">
      <c r="A603" s="7" t="s">
        <v>16</v>
      </c>
      <c r="B603" s="9" t="s">
        <v>141</v>
      </c>
      <c r="C603" s="6">
        <v>1</v>
      </c>
      <c r="D603" s="7" t="s">
        <v>163</v>
      </c>
      <c r="E603" s="51">
        <v>46233</v>
      </c>
      <c r="F603" s="51">
        <v>46242</v>
      </c>
      <c r="G603" s="22" t="s">
        <v>40</v>
      </c>
      <c r="H603" s="91">
        <v>0</v>
      </c>
    </row>
    <row r="604" spans="1:8">
      <c r="A604" s="7" t="s">
        <v>16</v>
      </c>
      <c r="B604" s="9" t="s">
        <v>142</v>
      </c>
      <c r="C604" s="6">
        <v>1</v>
      </c>
      <c r="D604" s="7" t="s">
        <v>163</v>
      </c>
      <c r="E604" s="51">
        <v>46233</v>
      </c>
      <c r="F604" s="51">
        <v>46242</v>
      </c>
      <c r="G604" s="22" t="s">
        <v>40</v>
      </c>
      <c r="H604" s="91">
        <v>0</v>
      </c>
    </row>
    <row r="605" spans="1:8">
      <c r="A605" s="7" t="s">
        <v>16</v>
      </c>
      <c r="B605" s="9" t="s">
        <v>143</v>
      </c>
      <c r="C605" s="6">
        <v>1</v>
      </c>
      <c r="D605" s="7" t="s">
        <v>163</v>
      </c>
      <c r="E605" s="51">
        <v>46233</v>
      </c>
      <c r="F605" s="51">
        <v>46242</v>
      </c>
      <c r="G605" s="22" t="s">
        <v>40</v>
      </c>
      <c r="H605" s="91">
        <v>0</v>
      </c>
    </row>
    <row r="606" spans="1:8">
      <c r="A606" s="7" t="s">
        <v>16</v>
      </c>
      <c r="B606" s="9" t="s">
        <v>144</v>
      </c>
      <c r="C606" s="6">
        <v>1</v>
      </c>
      <c r="D606" s="7" t="s">
        <v>163</v>
      </c>
      <c r="E606" s="51">
        <v>46233</v>
      </c>
      <c r="F606" s="51">
        <v>46242</v>
      </c>
      <c r="G606" s="22" t="s">
        <v>40</v>
      </c>
      <c r="H606" s="91">
        <v>0</v>
      </c>
    </row>
    <row r="607" spans="1:8">
      <c r="A607" s="7" t="s">
        <v>16</v>
      </c>
      <c r="B607" s="9" t="s">
        <v>145</v>
      </c>
      <c r="C607" s="6">
        <v>1</v>
      </c>
      <c r="D607" s="7" t="s">
        <v>163</v>
      </c>
      <c r="E607" s="51">
        <v>46233</v>
      </c>
      <c r="F607" s="51">
        <v>46242</v>
      </c>
      <c r="G607" s="22" t="s">
        <v>40</v>
      </c>
      <c r="H607" s="91">
        <v>0</v>
      </c>
    </row>
    <row r="608" spans="1:8">
      <c r="A608" s="7" t="s">
        <v>16</v>
      </c>
      <c r="B608" s="9" t="s">
        <v>146</v>
      </c>
      <c r="C608" s="6">
        <v>1</v>
      </c>
      <c r="D608" s="7" t="s">
        <v>163</v>
      </c>
      <c r="E608" s="51">
        <v>46233</v>
      </c>
      <c r="F608" s="51">
        <v>46242</v>
      </c>
      <c r="G608" s="22" t="s">
        <v>40</v>
      </c>
      <c r="H608" s="91">
        <v>0</v>
      </c>
    </row>
    <row r="609" spans="1:8">
      <c r="A609" s="7" t="s">
        <v>16</v>
      </c>
      <c r="B609" s="9" t="s">
        <v>147</v>
      </c>
      <c r="C609" s="6">
        <v>1</v>
      </c>
      <c r="D609" s="7" t="s">
        <v>163</v>
      </c>
      <c r="E609" s="51">
        <v>46233</v>
      </c>
      <c r="F609" s="51">
        <v>46242</v>
      </c>
      <c r="G609" s="22" t="s">
        <v>40</v>
      </c>
      <c r="H609" s="91">
        <v>0</v>
      </c>
    </row>
    <row r="610" spans="1:8">
      <c r="A610" s="7" t="s">
        <v>16</v>
      </c>
      <c r="B610" s="9" t="s">
        <v>148</v>
      </c>
      <c r="C610" s="6">
        <v>1</v>
      </c>
      <c r="D610" s="7" t="s">
        <v>163</v>
      </c>
      <c r="E610" s="51">
        <v>46233</v>
      </c>
      <c r="F610" s="51">
        <v>46242</v>
      </c>
      <c r="G610" s="22" t="s">
        <v>40</v>
      </c>
      <c r="H610" s="91">
        <v>0</v>
      </c>
    </row>
    <row r="611" spans="1:8">
      <c r="A611" s="7" t="s">
        <v>16</v>
      </c>
      <c r="B611" s="9" t="s">
        <v>149</v>
      </c>
      <c r="C611" s="6">
        <v>1</v>
      </c>
      <c r="D611" s="7" t="s">
        <v>163</v>
      </c>
      <c r="E611" s="51">
        <v>46233</v>
      </c>
      <c r="F611" s="51">
        <v>46242</v>
      </c>
      <c r="G611" s="22" t="s">
        <v>40</v>
      </c>
      <c r="H611" s="91">
        <v>0</v>
      </c>
    </row>
    <row r="612" spans="1:8">
      <c r="A612" s="7" t="s">
        <v>16</v>
      </c>
      <c r="B612" s="9" t="s">
        <v>150</v>
      </c>
      <c r="C612" s="6">
        <v>1</v>
      </c>
      <c r="D612" s="7" t="s">
        <v>163</v>
      </c>
      <c r="E612" s="51">
        <v>46233</v>
      </c>
      <c r="F612" s="51">
        <v>46242</v>
      </c>
      <c r="G612" s="22" t="s">
        <v>40</v>
      </c>
      <c r="H612" s="91">
        <v>0</v>
      </c>
    </row>
    <row r="613" spans="1:8">
      <c r="A613" s="7" t="s">
        <v>16</v>
      </c>
      <c r="B613" s="9" t="s">
        <v>151</v>
      </c>
      <c r="C613" s="6">
        <v>1</v>
      </c>
      <c r="D613" s="7" t="s">
        <v>163</v>
      </c>
      <c r="E613" s="51">
        <v>46233</v>
      </c>
      <c r="F613" s="51">
        <v>46242</v>
      </c>
      <c r="G613" s="22" t="s">
        <v>40</v>
      </c>
      <c r="H613" s="91">
        <v>0</v>
      </c>
    </row>
    <row r="614" spans="1:8">
      <c r="A614" s="7" t="s">
        <v>16</v>
      </c>
      <c r="B614" s="9" t="s">
        <v>152</v>
      </c>
      <c r="C614" s="6">
        <v>1</v>
      </c>
      <c r="D614" s="7" t="s">
        <v>163</v>
      </c>
      <c r="E614" s="51">
        <v>46233</v>
      </c>
      <c r="F614" s="51">
        <v>46242</v>
      </c>
      <c r="G614" s="22" t="s">
        <v>40</v>
      </c>
      <c r="H614" s="91">
        <v>0</v>
      </c>
    </row>
    <row r="615" spans="1:8">
      <c r="A615" s="7" t="s">
        <v>16</v>
      </c>
      <c r="B615" s="9" t="s">
        <v>153</v>
      </c>
      <c r="C615" s="6">
        <v>1</v>
      </c>
      <c r="D615" s="7" t="s">
        <v>163</v>
      </c>
      <c r="E615" s="51">
        <v>46233</v>
      </c>
      <c r="F615" s="51">
        <v>46242</v>
      </c>
      <c r="G615" s="22" t="s">
        <v>40</v>
      </c>
      <c r="H615" s="91">
        <v>0</v>
      </c>
    </row>
    <row r="616" spans="1:8">
      <c r="A616" s="7" t="s">
        <v>16</v>
      </c>
      <c r="B616" s="9" t="s">
        <v>154</v>
      </c>
      <c r="C616" s="6">
        <v>1</v>
      </c>
      <c r="D616" s="7" t="s">
        <v>163</v>
      </c>
      <c r="E616" s="51">
        <v>46233</v>
      </c>
      <c r="F616" s="51">
        <v>46242</v>
      </c>
      <c r="G616" s="22" t="s">
        <v>40</v>
      </c>
      <c r="H616" s="91">
        <v>0</v>
      </c>
    </row>
    <row r="617" spans="1:8">
      <c r="A617" s="7" t="s">
        <v>16</v>
      </c>
      <c r="B617" s="9" t="s">
        <v>155</v>
      </c>
      <c r="C617" s="6">
        <v>1</v>
      </c>
      <c r="D617" s="7" t="s">
        <v>163</v>
      </c>
      <c r="E617" s="51">
        <v>46233</v>
      </c>
      <c r="F617" s="51">
        <v>46242</v>
      </c>
      <c r="G617" s="22" t="s">
        <v>40</v>
      </c>
      <c r="H617" s="91">
        <v>0</v>
      </c>
    </row>
    <row r="618" spans="1:8">
      <c r="A618" s="7" t="s">
        <v>16</v>
      </c>
      <c r="B618" s="9" t="s">
        <v>156</v>
      </c>
      <c r="C618" s="6">
        <v>1</v>
      </c>
      <c r="D618" s="7" t="s">
        <v>163</v>
      </c>
      <c r="E618" s="51">
        <v>46233</v>
      </c>
      <c r="F618" s="51">
        <v>46242</v>
      </c>
      <c r="G618" s="22" t="s">
        <v>40</v>
      </c>
      <c r="H618" s="91">
        <v>0</v>
      </c>
    </row>
    <row r="619" spans="1:8">
      <c r="A619" s="7" t="s">
        <v>16</v>
      </c>
      <c r="B619" s="9" t="s">
        <v>157</v>
      </c>
      <c r="C619" s="6">
        <v>1</v>
      </c>
      <c r="D619" s="7" t="s">
        <v>163</v>
      </c>
      <c r="E619" s="51">
        <v>46233</v>
      </c>
      <c r="F619" s="51">
        <v>46242</v>
      </c>
      <c r="G619" s="22" t="s">
        <v>40</v>
      </c>
      <c r="H619" s="91">
        <v>0</v>
      </c>
    </row>
    <row r="620" spans="1:8">
      <c r="A620" s="7" t="s">
        <v>16</v>
      </c>
      <c r="B620" s="9" t="s">
        <v>158</v>
      </c>
      <c r="C620" s="6">
        <v>1</v>
      </c>
      <c r="D620" s="7" t="s">
        <v>163</v>
      </c>
      <c r="E620" s="51">
        <v>46233</v>
      </c>
      <c r="F620" s="51">
        <v>46242</v>
      </c>
      <c r="G620" s="22" t="s">
        <v>40</v>
      </c>
      <c r="H620" s="91">
        <v>0</v>
      </c>
    </row>
    <row r="621" spans="1:8">
      <c r="A621" s="7" t="s">
        <v>16</v>
      </c>
      <c r="B621" s="9" t="s">
        <v>159</v>
      </c>
      <c r="C621" s="6">
        <v>1</v>
      </c>
      <c r="D621" s="7" t="s">
        <v>163</v>
      </c>
      <c r="E621" s="51">
        <v>46233</v>
      </c>
      <c r="F621" s="51">
        <v>46242</v>
      </c>
      <c r="G621" s="22" t="s">
        <v>40</v>
      </c>
      <c r="H621" s="91">
        <v>0</v>
      </c>
    </row>
    <row r="622" spans="1:8">
      <c r="A622" s="7" t="s">
        <v>16</v>
      </c>
      <c r="B622" s="9" t="s">
        <v>32</v>
      </c>
      <c r="C622" s="6">
        <v>1</v>
      </c>
      <c r="D622" s="7" t="s">
        <v>164</v>
      </c>
      <c r="E622" s="50">
        <v>46243</v>
      </c>
      <c r="F622" s="50">
        <v>46250</v>
      </c>
      <c r="G622" s="19" t="s">
        <v>165</v>
      </c>
      <c r="H622" s="93">
        <v>0</v>
      </c>
    </row>
    <row r="623" spans="1:8">
      <c r="A623" s="7" t="s">
        <v>16</v>
      </c>
      <c r="B623" s="9" t="s">
        <v>35</v>
      </c>
      <c r="C623" s="6">
        <v>1</v>
      </c>
      <c r="D623" s="7" t="s">
        <v>164</v>
      </c>
      <c r="E623" s="50">
        <v>46243</v>
      </c>
      <c r="F623" s="50">
        <v>46250</v>
      </c>
      <c r="G623" s="19" t="s">
        <v>165</v>
      </c>
      <c r="H623" s="93">
        <v>0</v>
      </c>
    </row>
    <row r="624" spans="1:8">
      <c r="A624" s="7" t="s">
        <v>16</v>
      </c>
      <c r="B624" s="9" t="s">
        <v>36</v>
      </c>
      <c r="C624" s="6">
        <v>198</v>
      </c>
      <c r="D624" s="7" t="s">
        <v>164</v>
      </c>
      <c r="E624" s="50">
        <v>46243</v>
      </c>
      <c r="F624" s="50">
        <v>46250</v>
      </c>
      <c r="G624" s="19" t="s">
        <v>165</v>
      </c>
      <c r="H624" s="93">
        <v>0</v>
      </c>
    </row>
    <row r="625" spans="1:8">
      <c r="A625" s="7" t="s">
        <v>16</v>
      </c>
      <c r="B625" s="9" t="s">
        <v>37</v>
      </c>
      <c r="C625" s="6">
        <v>198</v>
      </c>
      <c r="D625" s="7" t="s">
        <v>164</v>
      </c>
      <c r="E625" s="50">
        <v>46243</v>
      </c>
      <c r="F625" s="50">
        <v>46250</v>
      </c>
      <c r="G625" s="19" t="s">
        <v>165</v>
      </c>
      <c r="H625" s="93">
        <v>0</v>
      </c>
    </row>
    <row r="626" spans="1:8">
      <c r="A626" s="7" t="s">
        <v>16</v>
      </c>
      <c r="B626" s="9" t="s">
        <v>38</v>
      </c>
      <c r="C626" s="6">
        <v>1</v>
      </c>
      <c r="D626" s="7" t="s">
        <v>164</v>
      </c>
      <c r="E626" s="50">
        <v>46243</v>
      </c>
      <c r="F626" s="50">
        <v>46250</v>
      </c>
      <c r="G626" s="19" t="s">
        <v>165</v>
      </c>
      <c r="H626" s="93">
        <v>0</v>
      </c>
    </row>
    <row r="627" spans="1:8">
      <c r="A627" s="7" t="s">
        <v>16</v>
      </c>
      <c r="B627" s="9" t="s">
        <v>39</v>
      </c>
      <c r="C627" s="6">
        <v>1</v>
      </c>
      <c r="D627" s="7" t="s">
        <v>164</v>
      </c>
      <c r="E627" s="50">
        <v>46243</v>
      </c>
      <c r="F627" s="50">
        <v>46250</v>
      </c>
      <c r="G627" s="19" t="s">
        <v>165</v>
      </c>
      <c r="H627" s="93">
        <v>0</v>
      </c>
    </row>
    <row r="628" spans="1:8">
      <c r="A628" s="7" t="s">
        <v>16</v>
      </c>
      <c r="B628" s="9" t="s">
        <v>41</v>
      </c>
      <c r="C628" s="6">
        <v>1</v>
      </c>
      <c r="D628" s="7" t="s">
        <v>164</v>
      </c>
      <c r="E628" s="50">
        <v>46243</v>
      </c>
      <c r="F628" s="50">
        <v>46250</v>
      </c>
      <c r="G628" s="19" t="s">
        <v>165</v>
      </c>
      <c r="H628" s="93">
        <v>0</v>
      </c>
    </row>
    <row r="629" spans="1:8">
      <c r="A629" s="7" t="s">
        <v>16</v>
      </c>
      <c r="B629" s="9" t="s">
        <v>42</v>
      </c>
      <c r="C629" s="6">
        <v>1</v>
      </c>
      <c r="D629" s="7" t="s">
        <v>164</v>
      </c>
      <c r="E629" s="50">
        <v>46243</v>
      </c>
      <c r="F629" s="50">
        <v>46250</v>
      </c>
      <c r="G629" s="19" t="s">
        <v>165</v>
      </c>
      <c r="H629" s="93">
        <v>0</v>
      </c>
    </row>
    <row r="630" spans="1:8">
      <c r="A630" s="7" t="s">
        <v>16</v>
      </c>
      <c r="B630" s="9" t="s">
        <v>43</v>
      </c>
      <c r="C630" s="6">
        <v>1</v>
      </c>
      <c r="D630" s="7" t="s">
        <v>164</v>
      </c>
      <c r="E630" s="50">
        <v>46243</v>
      </c>
      <c r="F630" s="50">
        <v>46250</v>
      </c>
      <c r="G630" s="19" t="s">
        <v>165</v>
      </c>
      <c r="H630" s="93">
        <v>0</v>
      </c>
    </row>
    <row r="631" spans="1:8">
      <c r="A631" s="7" t="s">
        <v>16</v>
      </c>
      <c r="B631" s="9" t="s">
        <v>44</v>
      </c>
      <c r="C631" s="6">
        <v>1</v>
      </c>
      <c r="D631" s="7" t="s">
        <v>164</v>
      </c>
      <c r="E631" s="50">
        <v>46243</v>
      </c>
      <c r="F631" s="50">
        <v>46250</v>
      </c>
      <c r="G631" s="19" t="s">
        <v>165</v>
      </c>
      <c r="H631" s="93">
        <v>0</v>
      </c>
    </row>
    <row r="632" spans="1:8">
      <c r="A632" s="7" t="s">
        <v>16</v>
      </c>
      <c r="B632" s="9" t="s">
        <v>45</v>
      </c>
      <c r="C632" s="6">
        <v>1</v>
      </c>
      <c r="D632" s="7" t="s">
        <v>164</v>
      </c>
      <c r="E632" s="50">
        <v>46243</v>
      </c>
      <c r="F632" s="50">
        <v>46250</v>
      </c>
      <c r="G632" s="19" t="s">
        <v>165</v>
      </c>
      <c r="H632" s="93">
        <v>0</v>
      </c>
    </row>
    <row r="633" spans="1:8">
      <c r="A633" s="7" t="s">
        <v>16</v>
      </c>
      <c r="B633" s="9" t="s">
        <v>46</v>
      </c>
      <c r="C633" s="6">
        <v>1</v>
      </c>
      <c r="D633" s="7" t="s">
        <v>164</v>
      </c>
      <c r="E633" s="50">
        <v>46243</v>
      </c>
      <c r="F633" s="50">
        <v>46250</v>
      </c>
      <c r="G633" s="19" t="s">
        <v>165</v>
      </c>
      <c r="H633" s="93">
        <v>0</v>
      </c>
    </row>
    <row r="634" spans="1:8">
      <c r="A634" s="7" t="s">
        <v>16</v>
      </c>
      <c r="B634" s="9" t="s">
        <v>47</v>
      </c>
      <c r="C634" s="6">
        <v>1</v>
      </c>
      <c r="D634" s="7" t="s">
        <v>164</v>
      </c>
      <c r="E634" s="50">
        <v>46243</v>
      </c>
      <c r="F634" s="50">
        <v>46250</v>
      </c>
      <c r="G634" s="19" t="s">
        <v>165</v>
      </c>
      <c r="H634" s="93">
        <v>0</v>
      </c>
    </row>
    <row r="635" spans="1:8">
      <c r="A635" s="7" t="s">
        <v>16</v>
      </c>
      <c r="B635" s="9" t="s">
        <v>48</v>
      </c>
      <c r="C635" s="6">
        <v>1</v>
      </c>
      <c r="D635" s="7" t="s">
        <v>164</v>
      </c>
      <c r="E635" s="50">
        <v>46243</v>
      </c>
      <c r="F635" s="50">
        <v>46250</v>
      </c>
      <c r="G635" s="19" t="s">
        <v>165</v>
      </c>
      <c r="H635" s="93">
        <v>0</v>
      </c>
    </row>
    <row r="636" spans="1:8">
      <c r="A636" s="7" t="s">
        <v>16</v>
      </c>
      <c r="B636" s="9" t="s">
        <v>49</v>
      </c>
      <c r="C636" s="6">
        <v>1</v>
      </c>
      <c r="D636" s="7" t="s">
        <v>164</v>
      </c>
      <c r="E636" s="50">
        <v>46243</v>
      </c>
      <c r="F636" s="50">
        <v>46250</v>
      </c>
      <c r="G636" s="19" t="s">
        <v>165</v>
      </c>
      <c r="H636" s="93">
        <v>0</v>
      </c>
    </row>
    <row r="637" spans="1:8">
      <c r="A637" s="7" t="s">
        <v>16</v>
      </c>
      <c r="B637" s="9" t="s">
        <v>50</v>
      </c>
      <c r="C637" s="6">
        <v>1</v>
      </c>
      <c r="D637" s="7" t="s">
        <v>164</v>
      </c>
      <c r="E637" s="50">
        <v>46243</v>
      </c>
      <c r="F637" s="50">
        <v>46250</v>
      </c>
      <c r="G637" s="19" t="s">
        <v>165</v>
      </c>
      <c r="H637" s="93">
        <v>0</v>
      </c>
    </row>
    <row r="638" spans="1:8">
      <c r="A638" s="7" t="s">
        <v>16</v>
      </c>
      <c r="B638" s="9" t="s">
        <v>51</v>
      </c>
      <c r="C638" s="6">
        <v>1</v>
      </c>
      <c r="D638" s="7" t="s">
        <v>164</v>
      </c>
      <c r="E638" s="50">
        <v>46243</v>
      </c>
      <c r="F638" s="50">
        <v>46250</v>
      </c>
      <c r="G638" s="19" t="s">
        <v>165</v>
      </c>
      <c r="H638" s="93">
        <v>0</v>
      </c>
    </row>
    <row r="639" spans="1:8">
      <c r="A639" s="7" t="s">
        <v>16</v>
      </c>
      <c r="B639" s="9" t="s">
        <v>52</v>
      </c>
      <c r="C639" s="6">
        <v>1</v>
      </c>
      <c r="D639" s="7" t="s">
        <v>164</v>
      </c>
      <c r="E639" s="50">
        <v>46243</v>
      </c>
      <c r="F639" s="50">
        <v>46250</v>
      </c>
      <c r="G639" s="19" t="s">
        <v>165</v>
      </c>
      <c r="H639" s="93">
        <v>0</v>
      </c>
    </row>
    <row r="640" spans="1:8">
      <c r="A640" s="7" t="s">
        <v>16</v>
      </c>
      <c r="B640" s="9" t="s">
        <v>53</v>
      </c>
      <c r="C640" s="6">
        <v>1</v>
      </c>
      <c r="D640" s="7" t="s">
        <v>164</v>
      </c>
      <c r="E640" s="50">
        <v>46243</v>
      </c>
      <c r="F640" s="50">
        <v>46250</v>
      </c>
      <c r="G640" s="19" t="s">
        <v>165</v>
      </c>
      <c r="H640" s="93">
        <v>0</v>
      </c>
    </row>
    <row r="641" spans="1:8">
      <c r="A641" s="7" t="s">
        <v>16</v>
      </c>
      <c r="B641" s="9" t="s">
        <v>54</v>
      </c>
      <c r="C641" s="6">
        <v>1</v>
      </c>
      <c r="D641" s="7" t="s">
        <v>164</v>
      </c>
      <c r="E641" s="50">
        <v>46243</v>
      </c>
      <c r="F641" s="50">
        <v>46250</v>
      </c>
      <c r="G641" s="19" t="s">
        <v>165</v>
      </c>
      <c r="H641" s="93">
        <v>0</v>
      </c>
    </row>
    <row r="642" spans="1:8">
      <c r="A642" s="7" t="s">
        <v>16</v>
      </c>
      <c r="B642" s="9" t="s">
        <v>55</v>
      </c>
      <c r="C642" s="6">
        <v>1</v>
      </c>
      <c r="D642" s="7" t="s">
        <v>164</v>
      </c>
      <c r="E642" s="50">
        <v>46243</v>
      </c>
      <c r="F642" s="50">
        <v>46250</v>
      </c>
      <c r="G642" s="19" t="s">
        <v>165</v>
      </c>
      <c r="H642" s="93">
        <v>0</v>
      </c>
    </row>
    <row r="643" spans="1:8">
      <c r="A643" s="7" t="s">
        <v>16</v>
      </c>
      <c r="B643" s="9" t="s">
        <v>56</v>
      </c>
      <c r="C643" s="6">
        <v>1</v>
      </c>
      <c r="D643" s="7" t="s">
        <v>164</v>
      </c>
      <c r="E643" s="50">
        <v>46243</v>
      </c>
      <c r="F643" s="50">
        <v>46250</v>
      </c>
      <c r="G643" s="19" t="s">
        <v>165</v>
      </c>
      <c r="H643" s="93">
        <v>0</v>
      </c>
    </row>
    <row r="644" spans="1:8">
      <c r="A644" s="7" t="s">
        <v>16</v>
      </c>
      <c r="B644" s="9" t="s">
        <v>57</v>
      </c>
      <c r="C644" s="6">
        <v>1</v>
      </c>
      <c r="D644" s="7" t="s">
        <v>164</v>
      </c>
      <c r="E644" s="50">
        <v>46243</v>
      </c>
      <c r="F644" s="50">
        <v>46250</v>
      </c>
      <c r="G644" s="19" t="s">
        <v>165</v>
      </c>
      <c r="H644" s="93">
        <v>0</v>
      </c>
    </row>
    <row r="645" spans="1:8">
      <c r="A645" s="7" t="s">
        <v>16</v>
      </c>
      <c r="B645" s="9" t="s">
        <v>58</v>
      </c>
      <c r="C645" s="6">
        <v>1</v>
      </c>
      <c r="D645" s="7" t="s">
        <v>164</v>
      </c>
      <c r="E645" s="50">
        <v>46243</v>
      </c>
      <c r="F645" s="50">
        <v>46250</v>
      </c>
      <c r="G645" s="19" t="s">
        <v>165</v>
      </c>
      <c r="H645" s="93">
        <v>0</v>
      </c>
    </row>
    <row r="646" spans="1:8">
      <c r="A646" s="7" t="s">
        <v>16</v>
      </c>
      <c r="B646" s="9" t="s">
        <v>59</v>
      </c>
      <c r="C646" s="6">
        <v>1</v>
      </c>
      <c r="D646" s="7" t="s">
        <v>164</v>
      </c>
      <c r="E646" s="50">
        <v>46243</v>
      </c>
      <c r="F646" s="50">
        <v>46250</v>
      </c>
      <c r="G646" s="19" t="s">
        <v>165</v>
      </c>
      <c r="H646" s="93">
        <v>0</v>
      </c>
    </row>
    <row r="647" spans="1:8">
      <c r="A647" s="7" t="s">
        <v>16</v>
      </c>
      <c r="B647" s="9" t="s">
        <v>60</v>
      </c>
      <c r="C647" s="6">
        <v>1</v>
      </c>
      <c r="D647" s="7" t="s">
        <v>164</v>
      </c>
      <c r="E647" s="50">
        <v>46243</v>
      </c>
      <c r="F647" s="50">
        <v>46250</v>
      </c>
      <c r="G647" s="19" t="s">
        <v>165</v>
      </c>
      <c r="H647" s="93">
        <v>0</v>
      </c>
    </row>
    <row r="648" spans="1:8">
      <c r="A648" s="7" t="s">
        <v>16</v>
      </c>
      <c r="B648" s="9" t="s">
        <v>61</v>
      </c>
      <c r="C648" s="6">
        <v>1</v>
      </c>
      <c r="D648" s="7" t="s">
        <v>164</v>
      </c>
      <c r="E648" s="50">
        <v>46243</v>
      </c>
      <c r="F648" s="50">
        <v>46250</v>
      </c>
      <c r="G648" s="19" t="s">
        <v>165</v>
      </c>
      <c r="H648" s="93">
        <v>0</v>
      </c>
    </row>
    <row r="649" spans="1:8">
      <c r="A649" s="7" t="s">
        <v>16</v>
      </c>
      <c r="B649" s="9" t="s">
        <v>62</v>
      </c>
      <c r="C649" s="6">
        <v>1</v>
      </c>
      <c r="D649" s="7" t="s">
        <v>164</v>
      </c>
      <c r="E649" s="50">
        <v>46243</v>
      </c>
      <c r="F649" s="50">
        <v>46250</v>
      </c>
      <c r="G649" s="19" t="s">
        <v>165</v>
      </c>
      <c r="H649" s="93">
        <v>0</v>
      </c>
    </row>
    <row r="650" spans="1:8">
      <c r="A650" s="7" t="s">
        <v>16</v>
      </c>
      <c r="B650" s="9" t="s">
        <v>63</v>
      </c>
      <c r="C650" s="6">
        <v>1</v>
      </c>
      <c r="D650" s="7" t="s">
        <v>164</v>
      </c>
      <c r="E650" s="50">
        <v>46243</v>
      </c>
      <c r="F650" s="50">
        <v>46250</v>
      </c>
      <c r="G650" s="19" t="s">
        <v>165</v>
      </c>
      <c r="H650" s="93">
        <v>0</v>
      </c>
    </row>
    <row r="651" spans="1:8">
      <c r="A651" s="7" t="s">
        <v>16</v>
      </c>
      <c r="B651" s="9" t="s">
        <v>64</v>
      </c>
      <c r="C651" s="6">
        <v>1</v>
      </c>
      <c r="D651" s="7" t="s">
        <v>164</v>
      </c>
      <c r="E651" s="50">
        <v>46243</v>
      </c>
      <c r="F651" s="50">
        <v>46250</v>
      </c>
      <c r="G651" s="19" t="s">
        <v>165</v>
      </c>
      <c r="H651" s="93">
        <v>0</v>
      </c>
    </row>
    <row r="652" spans="1:8">
      <c r="A652" s="7" t="s">
        <v>16</v>
      </c>
      <c r="B652" s="9" t="s">
        <v>65</v>
      </c>
      <c r="C652" s="6">
        <v>1</v>
      </c>
      <c r="D652" s="7" t="s">
        <v>164</v>
      </c>
      <c r="E652" s="50">
        <v>46243</v>
      </c>
      <c r="F652" s="50">
        <v>46250</v>
      </c>
      <c r="G652" s="19" t="s">
        <v>165</v>
      </c>
      <c r="H652" s="93">
        <v>0</v>
      </c>
    </row>
    <row r="653" spans="1:8">
      <c r="A653" s="7" t="s">
        <v>16</v>
      </c>
      <c r="B653" s="9" t="s">
        <v>66</v>
      </c>
      <c r="C653" s="6">
        <v>1</v>
      </c>
      <c r="D653" s="7" t="s">
        <v>164</v>
      </c>
      <c r="E653" s="50">
        <v>46243</v>
      </c>
      <c r="F653" s="50">
        <v>46250</v>
      </c>
      <c r="G653" s="19" t="s">
        <v>165</v>
      </c>
      <c r="H653" s="93">
        <v>0</v>
      </c>
    </row>
    <row r="654" spans="1:8">
      <c r="A654" s="7" t="s">
        <v>16</v>
      </c>
      <c r="B654" s="9" t="s">
        <v>67</v>
      </c>
      <c r="C654" s="6">
        <v>1</v>
      </c>
      <c r="D654" s="7" t="s">
        <v>164</v>
      </c>
      <c r="E654" s="50">
        <v>46243</v>
      </c>
      <c r="F654" s="50">
        <v>46250</v>
      </c>
      <c r="G654" s="19" t="s">
        <v>165</v>
      </c>
      <c r="H654" s="93">
        <v>0</v>
      </c>
    </row>
    <row r="655" spans="1:8">
      <c r="A655" s="7" t="s">
        <v>16</v>
      </c>
      <c r="B655" s="9" t="s">
        <v>68</v>
      </c>
      <c r="C655" s="6">
        <v>1</v>
      </c>
      <c r="D655" s="7" t="s">
        <v>164</v>
      </c>
      <c r="E655" s="50">
        <v>46243</v>
      </c>
      <c r="F655" s="50">
        <v>46250</v>
      </c>
      <c r="G655" s="19" t="s">
        <v>165</v>
      </c>
      <c r="H655" s="93">
        <v>0</v>
      </c>
    </row>
    <row r="656" spans="1:8">
      <c r="A656" s="7" t="s">
        <v>16</v>
      </c>
      <c r="B656" s="9" t="s">
        <v>69</v>
      </c>
      <c r="C656" s="6" t="s">
        <v>70</v>
      </c>
      <c r="D656" s="7" t="s">
        <v>164</v>
      </c>
      <c r="E656" s="50">
        <v>46243</v>
      </c>
      <c r="F656" s="50">
        <v>46250</v>
      </c>
      <c r="G656" s="19" t="s">
        <v>165</v>
      </c>
      <c r="H656" s="93">
        <v>0</v>
      </c>
    </row>
    <row r="657" spans="1:8">
      <c r="A657" s="7" t="s">
        <v>16</v>
      </c>
      <c r="B657" s="9" t="s">
        <v>71</v>
      </c>
      <c r="C657" s="6">
        <v>1</v>
      </c>
      <c r="D657" s="7" t="s">
        <v>164</v>
      </c>
      <c r="E657" s="50">
        <v>46243</v>
      </c>
      <c r="F657" s="50">
        <v>46250</v>
      </c>
      <c r="G657" s="19" t="s">
        <v>165</v>
      </c>
      <c r="H657" s="93">
        <v>0</v>
      </c>
    </row>
    <row r="658" spans="1:8">
      <c r="A658" s="7" t="s">
        <v>16</v>
      </c>
      <c r="B658" s="9" t="s">
        <v>72</v>
      </c>
      <c r="C658" s="6">
        <v>1</v>
      </c>
      <c r="D658" s="7" t="s">
        <v>164</v>
      </c>
      <c r="E658" s="50">
        <v>46243</v>
      </c>
      <c r="F658" s="50">
        <v>46250</v>
      </c>
      <c r="G658" s="19" t="s">
        <v>165</v>
      </c>
      <c r="H658" s="93">
        <v>0</v>
      </c>
    </row>
    <row r="659" spans="1:8">
      <c r="A659" s="7" t="s">
        <v>16</v>
      </c>
      <c r="B659" s="9" t="s">
        <v>73</v>
      </c>
      <c r="C659" s="6">
        <v>1</v>
      </c>
      <c r="D659" s="7" t="s">
        <v>164</v>
      </c>
      <c r="E659" s="50">
        <v>46243</v>
      </c>
      <c r="F659" s="50">
        <v>46250</v>
      </c>
      <c r="G659" s="19" t="s">
        <v>165</v>
      </c>
      <c r="H659" s="93">
        <v>0</v>
      </c>
    </row>
    <row r="660" spans="1:8">
      <c r="A660" s="7" t="s">
        <v>16</v>
      </c>
      <c r="B660" s="9" t="s">
        <v>74</v>
      </c>
      <c r="C660" s="6">
        <v>1</v>
      </c>
      <c r="D660" s="7" t="s">
        <v>164</v>
      </c>
      <c r="E660" s="50">
        <v>46243</v>
      </c>
      <c r="F660" s="50">
        <v>46250</v>
      </c>
      <c r="G660" s="19" t="s">
        <v>165</v>
      </c>
      <c r="H660" s="93">
        <v>0</v>
      </c>
    </row>
    <row r="661" spans="1:8">
      <c r="A661" s="7" t="s">
        <v>16</v>
      </c>
      <c r="B661" s="9" t="s">
        <v>75</v>
      </c>
      <c r="C661" s="6">
        <v>1</v>
      </c>
      <c r="D661" s="7" t="s">
        <v>164</v>
      </c>
      <c r="E661" s="50">
        <v>46243</v>
      </c>
      <c r="F661" s="50">
        <v>46250</v>
      </c>
      <c r="G661" s="19" t="s">
        <v>165</v>
      </c>
      <c r="H661" s="93">
        <v>0</v>
      </c>
    </row>
    <row r="662" spans="1:8">
      <c r="A662" s="7" t="s">
        <v>16</v>
      </c>
      <c r="B662" s="9" t="s">
        <v>76</v>
      </c>
      <c r="C662" s="6">
        <v>1</v>
      </c>
      <c r="D662" s="7" t="s">
        <v>164</v>
      </c>
      <c r="E662" s="50">
        <v>46243</v>
      </c>
      <c r="F662" s="50">
        <v>46250</v>
      </c>
      <c r="G662" s="19" t="s">
        <v>165</v>
      </c>
      <c r="H662" s="93">
        <v>0</v>
      </c>
    </row>
    <row r="663" spans="1:8">
      <c r="A663" s="7" t="s">
        <v>16</v>
      </c>
      <c r="B663" s="9" t="s">
        <v>77</v>
      </c>
      <c r="C663" s="6">
        <v>1</v>
      </c>
      <c r="D663" s="7" t="s">
        <v>164</v>
      </c>
      <c r="E663" s="50">
        <v>46243</v>
      </c>
      <c r="F663" s="50">
        <v>46250</v>
      </c>
      <c r="G663" s="19" t="s">
        <v>165</v>
      </c>
      <c r="H663" s="93">
        <v>0</v>
      </c>
    </row>
    <row r="664" spans="1:8">
      <c r="A664" s="7" t="s">
        <v>16</v>
      </c>
      <c r="B664" s="9" t="s">
        <v>78</v>
      </c>
      <c r="C664" s="6">
        <v>1</v>
      </c>
      <c r="D664" s="7" t="s">
        <v>164</v>
      </c>
      <c r="E664" s="50">
        <v>46243</v>
      </c>
      <c r="F664" s="50">
        <v>46250</v>
      </c>
      <c r="G664" s="19" t="s">
        <v>165</v>
      </c>
      <c r="H664" s="93">
        <v>0</v>
      </c>
    </row>
    <row r="665" spans="1:8">
      <c r="A665" s="7" t="s">
        <v>16</v>
      </c>
      <c r="B665" s="9" t="s">
        <v>79</v>
      </c>
      <c r="C665" s="6">
        <v>1</v>
      </c>
      <c r="D665" s="7" t="s">
        <v>164</v>
      </c>
      <c r="E665" s="50">
        <v>46243</v>
      </c>
      <c r="F665" s="50">
        <v>46250</v>
      </c>
      <c r="G665" s="19" t="s">
        <v>165</v>
      </c>
      <c r="H665" s="93">
        <v>0</v>
      </c>
    </row>
    <row r="666" spans="1:8">
      <c r="A666" s="7" t="s">
        <v>16</v>
      </c>
      <c r="B666" s="9" t="s">
        <v>80</v>
      </c>
      <c r="C666" s="6">
        <v>1</v>
      </c>
      <c r="D666" s="7" t="s">
        <v>164</v>
      </c>
      <c r="E666" s="50">
        <v>46243</v>
      </c>
      <c r="F666" s="50">
        <v>46250</v>
      </c>
      <c r="G666" s="19" t="s">
        <v>165</v>
      </c>
      <c r="H666" s="93">
        <v>0</v>
      </c>
    </row>
    <row r="667" spans="1:8">
      <c r="A667" s="7" t="s">
        <v>16</v>
      </c>
      <c r="B667" s="9" t="s">
        <v>81</v>
      </c>
      <c r="C667" s="6">
        <v>1</v>
      </c>
      <c r="D667" s="7" t="s">
        <v>164</v>
      </c>
      <c r="E667" s="50">
        <v>46243</v>
      </c>
      <c r="F667" s="50">
        <v>46250</v>
      </c>
      <c r="G667" s="19" t="s">
        <v>165</v>
      </c>
      <c r="H667" s="93">
        <v>0</v>
      </c>
    </row>
    <row r="668" spans="1:8">
      <c r="A668" s="7" t="s">
        <v>16</v>
      </c>
      <c r="B668" s="9" t="s">
        <v>82</v>
      </c>
      <c r="C668" s="6">
        <v>1</v>
      </c>
      <c r="D668" s="7" t="s">
        <v>164</v>
      </c>
      <c r="E668" s="50">
        <v>46243</v>
      </c>
      <c r="F668" s="50">
        <v>46250</v>
      </c>
      <c r="G668" s="19" t="s">
        <v>165</v>
      </c>
      <c r="H668" s="93">
        <v>0</v>
      </c>
    </row>
    <row r="669" spans="1:8">
      <c r="A669" s="7" t="s">
        <v>16</v>
      </c>
      <c r="B669" s="9" t="s">
        <v>83</v>
      </c>
      <c r="C669" s="6">
        <v>1</v>
      </c>
      <c r="D669" s="7" t="s">
        <v>164</v>
      </c>
      <c r="E669" s="50">
        <v>46243</v>
      </c>
      <c r="F669" s="50">
        <v>46250</v>
      </c>
      <c r="G669" s="19" t="s">
        <v>165</v>
      </c>
      <c r="H669" s="93">
        <v>0</v>
      </c>
    </row>
    <row r="670" spans="1:8">
      <c r="A670" s="7" t="s">
        <v>16</v>
      </c>
      <c r="B670" s="9" t="s">
        <v>84</v>
      </c>
      <c r="C670" s="6">
        <v>1</v>
      </c>
      <c r="D670" s="7" t="s">
        <v>164</v>
      </c>
      <c r="E670" s="50">
        <v>46243</v>
      </c>
      <c r="F670" s="50">
        <v>46250</v>
      </c>
      <c r="G670" s="19" t="s">
        <v>165</v>
      </c>
      <c r="H670" s="93">
        <v>0</v>
      </c>
    </row>
    <row r="671" spans="1:8">
      <c r="A671" s="7" t="s">
        <v>16</v>
      </c>
      <c r="B671" s="9" t="s">
        <v>85</v>
      </c>
      <c r="C671" s="6">
        <v>1</v>
      </c>
      <c r="D671" s="7" t="s">
        <v>164</v>
      </c>
      <c r="E671" s="50">
        <v>46243</v>
      </c>
      <c r="F671" s="50">
        <v>46250</v>
      </c>
      <c r="G671" s="19" t="s">
        <v>165</v>
      </c>
      <c r="H671" s="93">
        <v>0</v>
      </c>
    </row>
    <row r="672" spans="1:8">
      <c r="A672" s="7" t="s">
        <v>16</v>
      </c>
      <c r="B672" s="9" t="s">
        <v>86</v>
      </c>
      <c r="C672" s="6">
        <v>1</v>
      </c>
      <c r="D672" s="7" t="s">
        <v>164</v>
      </c>
      <c r="E672" s="50">
        <v>46243</v>
      </c>
      <c r="F672" s="50">
        <v>46250</v>
      </c>
      <c r="G672" s="19" t="s">
        <v>165</v>
      </c>
      <c r="H672" s="93">
        <v>0</v>
      </c>
    </row>
    <row r="673" spans="1:8">
      <c r="A673" s="7" t="s">
        <v>16</v>
      </c>
      <c r="B673" s="9" t="s">
        <v>87</v>
      </c>
      <c r="C673" s="6">
        <v>1</v>
      </c>
      <c r="D673" s="7" t="s">
        <v>164</v>
      </c>
      <c r="E673" s="50">
        <v>46243</v>
      </c>
      <c r="F673" s="50">
        <v>46250</v>
      </c>
      <c r="G673" s="19" t="s">
        <v>165</v>
      </c>
      <c r="H673" s="93">
        <v>0</v>
      </c>
    </row>
    <row r="674" spans="1:8">
      <c r="A674" s="7" t="s">
        <v>16</v>
      </c>
      <c r="B674" s="9" t="s">
        <v>88</v>
      </c>
      <c r="C674" s="6">
        <v>1</v>
      </c>
      <c r="D674" s="7" t="s">
        <v>164</v>
      </c>
      <c r="E674" s="50">
        <v>46243</v>
      </c>
      <c r="F674" s="50">
        <v>46250</v>
      </c>
      <c r="G674" s="19" t="s">
        <v>165</v>
      </c>
      <c r="H674" s="93">
        <v>0</v>
      </c>
    </row>
    <row r="675" spans="1:8">
      <c r="A675" s="7" t="s">
        <v>16</v>
      </c>
      <c r="B675" s="9" t="s">
        <v>89</v>
      </c>
      <c r="C675" s="6">
        <v>1</v>
      </c>
      <c r="D675" s="7" t="s">
        <v>164</v>
      </c>
      <c r="E675" s="50">
        <v>46243</v>
      </c>
      <c r="F675" s="50">
        <v>46250</v>
      </c>
      <c r="G675" s="19" t="s">
        <v>165</v>
      </c>
      <c r="H675" s="93">
        <v>0</v>
      </c>
    </row>
    <row r="676" spans="1:8">
      <c r="A676" s="7" t="s">
        <v>16</v>
      </c>
      <c r="B676" s="9" t="s">
        <v>90</v>
      </c>
      <c r="C676" s="6">
        <v>1</v>
      </c>
      <c r="D676" s="7" t="s">
        <v>164</v>
      </c>
      <c r="E676" s="50">
        <v>46243</v>
      </c>
      <c r="F676" s="50">
        <v>46250</v>
      </c>
      <c r="G676" s="19" t="s">
        <v>165</v>
      </c>
      <c r="H676" s="93">
        <v>0</v>
      </c>
    </row>
    <row r="677" spans="1:8">
      <c r="A677" s="7" t="s">
        <v>16</v>
      </c>
      <c r="B677" s="9" t="s">
        <v>91</v>
      </c>
      <c r="C677" s="6">
        <v>1</v>
      </c>
      <c r="D677" s="7" t="s">
        <v>164</v>
      </c>
      <c r="E677" s="50">
        <v>46243</v>
      </c>
      <c r="F677" s="50">
        <v>46250</v>
      </c>
      <c r="G677" s="19" t="s">
        <v>165</v>
      </c>
      <c r="H677" s="93">
        <v>0</v>
      </c>
    </row>
    <row r="678" spans="1:8">
      <c r="A678" s="7" t="s">
        <v>16</v>
      </c>
      <c r="B678" s="9" t="s">
        <v>92</v>
      </c>
      <c r="C678" s="6">
        <v>1</v>
      </c>
      <c r="D678" s="7" t="s">
        <v>164</v>
      </c>
      <c r="E678" s="50">
        <v>46243</v>
      </c>
      <c r="F678" s="50">
        <v>46250</v>
      </c>
      <c r="G678" s="19" t="s">
        <v>165</v>
      </c>
      <c r="H678" s="93">
        <v>0</v>
      </c>
    </row>
    <row r="679" spans="1:8">
      <c r="A679" s="7" t="s">
        <v>16</v>
      </c>
      <c r="B679" s="9" t="s">
        <v>93</v>
      </c>
      <c r="C679" s="6">
        <v>1</v>
      </c>
      <c r="D679" s="7" t="s">
        <v>164</v>
      </c>
      <c r="E679" s="50">
        <v>46243</v>
      </c>
      <c r="F679" s="50">
        <v>46250</v>
      </c>
      <c r="G679" s="19" t="s">
        <v>165</v>
      </c>
      <c r="H679" s="93">
        <v>0</v>
      </c>
    </row>
    <row r="680" spans="1:8">
      <c r="A680" s="7" t="s">
        <v>16</v>
      </c>
      <c r="B680" s="9" t="s">
        <v>94</v>
      </c>
      <c r="C680" s="6">
        <v>1</v>
      </c>
      <c r="D680" s="7" t="s">
        <v>164</v>
      </c>
      <c r="E680" s="50">
        <v>46243</v>
      </c>
      <c r="F680" s="50">
        <v>46250</v>
      </c>
      <c r="G680" s="19" t="s">
        <v>165</v>
      </c>
      <c r="H680" s="93">
        <v>0</v>
      </c>
    </row>
    <row r="681" spans="1:8">
      <c r="A681" s="7" t="s">
        <v>16</v>
      </c>
      <c r="B681" s="9" t="s">
        <v>95</v>
      </c>
      <c r="C681" s="6">
        <v>1</v>
      </c>
      <c r="D681" s="7" t="s">
        <v>164</v>
      </c>
      <c r="E681" s="50">
        <v>46243</v>
      </c>
      <c r="F681" s="50">
        <v>46250</v>
      </c>
      <c r="G681" s="19" t="s">
        <v>165</v>
      </c>
      <c r="H681" s="93">
        <v>0</v>
      </c>
    </row>
    <row r="682" spans="1:8">
      <c r="A682" s="7" t="s">
        <v>16</v>
      </c>
      <c r="B682" s="9" t="s">
        <v>96</v>
      </c>
      <c r="C682" s="6">
        <v>1</v>
      </c>
      <c r="D682" s="7" t="s">
        <v>164</v>
      </c>
      <c r="E682" s="50">
        <v>46243</v>
      </c>
      <c r="F682" s="50">
        <v>46250</v>
      </c>
      <c r="G682" s="19" t="s">
        <v>165</v>
      </c>
      <c r="H682" s="93">
        <v>0</v>
      </c>
    </row>
    <row r="683" spans="1:8">
      <c r="A683" s="7" t="s">
        <v>16</v>
      </c>
      <c r="B683" s="9" t="s">
        <v>97</v>
      </c>
      <c r="C683" s="6">
        <v>1</v>
      </c>
      <c r="D683" s="7" t="s">
        <v>164</v>
      </c>
      <c r="E683" s="50">
        <v>46243</v>
      </c>
      <c r="F683" s="50">
        <v>46250</v>
      </c>
      <c r="G683" s="19" t="s">
        <v>165</v>
      </c>
      <c r="H683" s="93">
        <v>0</v>
      </c>
    </row>
    <row r="684" spans="1:8">
      <c r="A684" s="7" t="s">
        <v>16</v>
      </c>
      <c r="B684" s="9" t="s">
        <v>98</v>
      </c>
      <c r="C684" s="6">
        <v>1</v>
      </c>
      <c r="D684" s="7" t="s">
        <v>164</v>
      </c>
      <c r="E684" s="50">
        <v>46243</v>
      </c>
      <c r="F684" s="50">
        <v>46250</v>
      </c>
      <c r="G684" s="19" t="s">
        <v>165</v>
      </c>
      <c r="H684" s="93">
        <v>0</v>
      </c>
    </row>
    <row r="685" spans="1:8">
      <c r="A685" s="7" t="s">
        <v>16</v>
      </c>
      <c r="B685" s="9" t="s">
        <v>99</v>
      </c>
      <c r="C685" s="6">
        <v>1</v>
      </c>
      <c r="D685" s="7" t="s">
        <v>164</v>
      </c>
      <c r="E685" s="50">
        <v>46243</v>
      </c>
      <c r="F685" s="50">
        <v>46250</v>
      </c>
      <c r="G685" s="19" t="s">
        <v>165</v>
      </c>
      <c r="H685" s="93">
        <v>0</v>
      </c>
    </row>
    <row r="686" spans="1:8">
      <c r="A686" s="7" t="s">
        <v>16</v>
      </c>
      <c r="B686" s="9" t="s">
        <v>100</v>
      </c>
      <c r="C686" s="6">
        <v>1</v>
      </c>
      <c r="D686" s="7" t="s">
        <v>164</v>
      </c>
      <c r="E686" s="50">
        <v>46243</v>
      </c>
      <c r="F686" s="50">
        <v>46250</v>
      </c>
      <c r="G686" s="19" t="s">
        <v>165</v>
      </c>
      <c r="H686" s="93">
        <v>0</v>
      </c>
    </row>
    <row r="687" spans="1:8">
      <c r="A687" s="7" t="s">
        <v>16</v>
      </c>
      <c r="B687" s="9" t="s">
        <v>101</v>
      </c>
      <c r="C687" s="6">
        <v>1</v>
      </c>
      <c r="D687" s="7" t="s">
        <v>164</v>
      </c>
      <c r="E687" s="50">
        <v>46243</v>
      </c>
      <c r="F687" s="50">
        <v>46250</v>
      </c>
      <c r="G687" s="19" t="s">
        <v>165</v>
      </c>
      <c r="H687" s="93">
        <v>0</v>
      </c>
    </row>
    <row r="688" spans="1:8">
      <c r="A688" s="7" t="s">
        <v>16</v>
      </c>
      <c r="B688" s="9" t="s">
        <v>102</v>
      </c>
      <c r="C688" s="6">
        <v>1</v>
      </c>
      <c r="D688" s="7" t="s">
        <v>164</v>
      </c>
      <c r="E688" s="50">
        <v>46243</v>
      </c>
      <c r="F688" s="50">
        <v>46250</v>
      </c>
      <c r="G688" s="19" t="s">
        <v>165</v>
      </c>
      <c r="H688" s="93">
        <v>0</v>
      </c>
    </row>
    <row r="689" spans="1:8">
      <c r="A689" s="7" t="s">
        <v>16</v>
      </c>
      <c r="B689" s="9" t="s">
        <v>103</v>
      </c>
      <c r="C689" s="6">
        <v>1</v>
      </c>
      <c r="D689" s="7" t="s">
        <v>164</v>
      </c>
      <c r="E689" s="50">
        <v>46243</v>
      </c>
      <c r="F689" s="50">
        <v>46250</v>
      </c>
      <c r="G689" s="19" t="s">
        <v>165</v>
      </c>
      <c r="H689" s="93">
        <v>0</v>
      </c>
    </row>
    <row r="690" spans="1:8">
      <c r="A690" s="7" t="s">
        <v>16</v>
      </c>
      <c r="B690" s="9" t="s">
        <v>104</v>
      </c>
      <c r="C690" s="6">
        <v>1</v>
      </c>
      <c r="D690" s="7" t="s">
        <v>164</v>
      </c>
      <c r="E690" s="50">
        <v>46243</v>
      </c>
      <c r="F690" s="50">
        <v>46250</v>
      </c>
      <c r="G690" s="19" t="s">
        <v>165</v>
      </c>
      <c r="H690" s="93">
        <v>0</v>
      </c>
    </row>
    <row r="691" spans="1:8">
      <c r="A691" s="7" t="s">
        <v>16</v>
      </c>
      <c r="B691" s="9" t="s">
        <v>105</v>
      </c>
      <c r="C691" s="6">
        <v>1</v>
      </c>
      <c r="D691" s="7" t="s">
        <v>164</v>
      </c>
      <c r="E691" s="50">
        <v>46243</v>
      </c>
      <c r="F691" s="50">
        <v>46250</v>
      </c>
      <c r="G691" s="19" t="s">
        <v>165</v>
      </c>
      <c r="H691" s="93">
        <v>0</v>
      </c>
    </row>
    <row r="692" spans="1:8">
      <c r="A692" s="7" t="s">
        <v>16</v>
      </c>
      <c r="B692" s="9" t="s">
        <v>106</v>
      </c>
      <c r="C692" s="6">
        <v>1</v>
      </c>
      <c r="D692" s="7" t="s">
        <v>164</v>
      </c>
      <c r="E692" s="50">
        <v>46243</v>
      </c>
      <c r="F692" s="50">
        <v>46250</v>
      </c>
      <c r="G692" s="19" t="s">
        <v>165</v>
      </c>
      <c r="H692" s="93">
        <v>0</v>
      </c>
    </row>
    <row r="693" spans="1:8">
      <c r="A693" s="7" t="s">
        <v>16</v>
      </c>
      <c r="B693" s="9" t="s">
        <v>107</v>
      </c>
      <c r="C693" s="6">
        <v>1</v>
      </c>
      <c r="D693" s="7" t="s">
        <v>164</v>
      </c>
      <c r="E693" s="50">
        <v>46243</v>
      </c>
      <c r="F693" s="50">
        <v>46250</v>
      </c>
      <c r="G693" s="19" t="s">
        <v>165</v>
      </c>
      <c r="H693" s="93">
        <v>0</v>
      </c>
    </row>
    <row r="694" spans="1:8">
      <c r="A694" s="7" t="s">
        <v>16</v>
      </c>
      <c r="B694" s="9" t="s">
        <v>108</v>
      </c>
      <c r="C694" s="6">
        <v>1</v>
      </c>
      <c r="D694" s="7" t="s">
        <v>164</v>
      </c>
      <c r="E694" s="50">
        <v>46243</v>
      </c>
      <c r="F694" s="50">
        <v>46250</v>
      </c>
      <c r="G694" s="19" t="s">
        <v>165</v>
      </c>
      <c r="H694" s="93">
        <v>0</v>
      </c>
    </row>
    <row r="695" spans="1:8">
      <c r="A695" s="7" t="s">
        <v>16</v>
      </c>
      <c r="B695" s="9" t="s">
        <v>109</v>
      </c>
      <c r="C695" s="6">
        <v>1</v>
      </c>
      <c r="D695" s="7" t="s">
        <v>164</v>
      </c>
      <c r="E695" s="50">
        <v>46243</v>
      </c>
      <c r="F695" s="50">
        <v>46250</v>
      </c>
      <c r="G695" s="19" t="s">
        <v>165</v>
      </c>
      <c r="H695" s="93">
        <v>0</v>
      </c>
    </row>
    <row r="696" spans="1:8">
      <c r="A696" s="7" t="s">
        <v>16</v>
      </c>
      <c r="B696" s="9" t="s">
        <v>110</v>
      </c>
      <c r="C696" s="6">
        <v>1</v>
      </c>
      <c r="D696" s="7" t="s">
        <v>164</v>
      </c>
      <c r="E696" s="50">
        <v>46243</v>
      </c>
      <c r="F696" s="50">
        <v>46250</v>
      </c>
      <c r="G696" s="19" t="s">
        <v>165</v>
      </c>
      <c r="H696" s="93">
        <v>0</v>
      </c>
    </row>
    <row r="697" spans="1:8">
      <c r="A697" s="7" t="s">
        <v>16</v>
      </c>
      <c r="B697" s="9" t="s">
        <v>111</v>
      </c>
      <c r="C697" s="6">
        <v>1</v>
      </c>
      <c r="D697" s="7" t="s">
        <v>164</v>
      </c>
      <c r="E697" s="50">
        <v>46243</v>
      </c>
      <c r="F697" s="50">
        <v>46250</v>
      </c>
      <c r="G697" s="19" t="s">
        <v>165</v>
      </c>
      <c r="H697" s="93">
        <v>0</v>
      </c>
    </row>
    <row r="698" spans="1:8">
      <c r="A698" s="7" t="s">
        <v>16</v>
      </c>
      <c r="B698" s="9" t="s">
        <v>112</v>
      </c>
      <c r="C698" s="6">
        <v>1</v>
      </c>
      <c r="D698" s="7" t="s">
        <v>164</v>
      </c>
      <c r="E698" s="50">
        <v>46243</v>
      </c>
      <c r="F698" s="50">
        <v>46250</v>
      </c>
      <c r="G698" s="19" t="s">
        <v>165</v>
      </c>
      <c r="H698" s="93">
        <v>0</v>
      </c>
    </row>
    <row r="699" spans="1:8">
      <c r="A699" s="7" t="s">
        <v>16</v>
      </c>
      <c r="B699" s="9" t="s">
        <v>113</v>
      </c>
      <c r="C699" s="6">
        <v>1</v>
      </c>
      <c r="D699" s="7" t="s">
        <v>164</v>
      </c>
      <c r="E699" s="50">
        <v>46243</v>
      </c>
      <c r="F699" s="50">
        <v>46250</v>
      </c>
      <c r="G699" s="19" t="s">
        <v>165</v>
      </c>
      <c r="H699" s="93">
        <v>0</v>
      </c>
    </row>
    <row r="700" spans="1:8">
      <c r="A700" s="7" t="s">
        <v>16</v>
      </c>
      <c r="B700" s="9" t="s">
        <v>114</v>
      </c>
      <c r="C700" s="6">
        <v>1</v>
      </c>
      <c r="D700" s="7" t="s">
        <v>164</v>
      </c>
      <c r="E700" s="50">
        <v>46243</v>
      </c>
      <c r="F700" s="50">
        <v>46250</v>
      </c>
      <c r="G700" s="19" t="s">
        <v>165</v>
      </c>
      <c r="H700" s="93">
        <v>0</v>
      </c>
    </row>
    <row r="701" spans="1:8">
      <c r="A701" s="7" t="s">
        <v>16</v>
      </c>
      <c r="B701" s="9" t="s">
        <v>115</v>
      </c>
      <c r="C701" s="6">
        <v>1</v>
      </c>
      <c r="D701" s="7" t="s">
        <v>164</v>
      </c>
      <c r="E701" s="50">
        <v>46243</v>
      </c>
      <c r="F701" s="50">
        <v>46250</v>
      </c>
      <c r="G701" s="19" t="s">
        <v>165</v>
      </c>
      <c r="H701" s="93">
        <v>0</v>
      </c>
    </row>
    <row r="702" spans="1:8">
      <c r="A702" s="7" t="s">
        <v>16</v>
      </c>
      <c r="B702" s="9" t="s">
        <v>116</v>
      </c>
      <c r="C702" s="6">
        <v>1</v>
      </c>
      <c r="D702" s="7" t="s">
        <v>164</v>
      </c>
      <c r="E702" s="50">
        <v>46243</v>
      </c>
      <c r="F702" s="50">
        <v>46250</v>
      </c>
      <c r="G702" s="19" t="s">
        <v>165</v>
      </c>
      <c r="H702" s="93">
        <v>0</v>
      </c>
    </row>
    <row r="703" spans="1:8">
      <c r="A703" s="7" t="s">
        <v>16</v>
      </c>
      <c r="B703" s="9" t="s">
        <v>117</v>
      </c>
      <c r="C703" s="6">
        <v>1</v>
      </c>
      <c r="D703" s="7" t="s">
        <v>164</v>
      </c>
      <c r="E703" s="50">
        <v>46243</v>
      </c>
      <c r="F703" s="50">
        <v>46250</v>
      </c>
      <c r="G703" s="19" t="s">
        <v>165</v>
      </c>
      <c r="H703" s="93">
        <v>0</v>
      </c>
    </row>
    <row r="704" spans="1:8">
      <c r="A704" s="7" t="s">
        <v>16</v>
      </c>
      <c r="B704" s="9" t="s">
        <v>118</v>
      </c>
      <c r="C704" s="6">
        <v>1</v>
      </c>
      <c r="D704" s="7" t="s">
        <v>164</v>
      </c>
      <c r="E704" s="50">
        <v>46243</v>
      </c>
      <c r="F704" s="50">
        <v>46250</v>
      </c>
      <c r="G704" s="19" t="s">
        <v>165</v>
      </c>
      <c r="H704" s="93">
        <v>0</v>
      </c>
    </row>
    <row r="705" spans="1:8">
      <c r="A705" s="7" t="s">
        <v>16</v>
      </c>
      <c r="B705" s="9" t="s">
        <v>119</v>
      </c>
      <c r="C705" s="6">
        <v>1</v>
      </c>
      <c r="D705" s="7" t="s">
        <v>164</v>
      </c>
      <c r="E705" s="50">
        <v>46243</v>
      </c>
      <c r="F705" s="50">
        <v>46250</v>
      </c>
      <c r="G705" s="19" t="s">
        <v>165</v>
      </c>
      <c r="H705" s="93">
        <v>0</v>
      </c>
    </row>
    <row r="706" spans="1:8">
      <c r="A706" s="7" t="s">
        <v>16</v>
      </c>
      <c r="B706" s="9" t="s">
        <v>120</v>
      </c>
      <c r="C706" s="6">
        <v>1</v>
      </c>
      <c r="D706" s="7" t="s">
        <v>164</v>
      </c>
      <c r="E706" s="50">
        <v>46243</v>
      </c>
      <c r="F706" s="50">
        <v>46250</v>
      </c>
      <c r="G706" s="19" t="s">
        <v>165</v>
      </c>
      <c r="H706" s="93">
        <v>0</v>
      </c>
    </row>
    <row r="707" spans="1:8">
      <c r="A707" s="7" t="s">
        <v>16</v>
      </c>
      <c r="B707" s="9" t="s">
        <v>121</v>
      </c>
      <c r="C707" s="6">
        <v>1</v>
      </c>
      <c r="D707" s="7" t="s">
        <v>164</v>
      </c>
      <c r="E707" s="50">
        <v>46243</v>
      </c>
      <c r="F707" s="50">
        <v>46250</v>
      </c>
      <c r="G707" s="19" t="s">
        <v>165</v>
      </c>
      <c r="H707" s="93">
        <v>0</v>
      </c>
    </row>
    <row r="708" spans="1:8">
      <c r="A708" s="7" t="s">
        <v>16</v>
      </c>
      <c r="B708" s="9" t="s">
        <v>122</v>
      </c>
      <c r="C708" s="6">
        <v>1</v>
      </c>
      <c r="D708" s="7" t="s">
        <v>164</v>
      </c>
      <c r="E708" s="50">
        <v>46243</v>
      </c>
      <c r="F708" s="50">
        <v>46250</v>
      </c>
      <c r="G708" s="19" t="s">
        <v>165</v>
      </c>
      <c r="H708" s="93">
        <v>0</v>
      </c>
    </row>
    <row r="709" spans="1:8">
      <c r="A709" s="7" t="s">
        <v>16</v>
      </c>
      <c r="B709" s="9" t="s">
        <v>123</v>
      </c>
      <c r="C709" s="6">
        <v>1</v>
      </c>
      <c r="D709" s="7" t="s">
        <v>164</v>
      </c>
      <c r="E709" s="50">
        <v>46243</v>
      </c>
      <c r="F709" s="50">
        <v>46250</v>
      </c>
      <c r="G709" s="19" t="s">
        <v>165</v>
      </c>
      <c r="H709" s="93">
        <v>0</v>
      </c>
    </row>
    <row r="710" spans="1:8">
      <c r="A710" s="7" t="s">
        <v>16</v>
      </c>
      <c r="B710" s="9" t="s">
        <v>124</v>
      </c>
      <c r="C710" s="6">
        <v>1</v>
      </c>
      <c r="D710" s="7" t="s">
        <v>164</v>
      </c>
      <c r="E710" s="50">
        <v>46243</v>
      </c>
      <c r="F710" s="50">
        <v>46250</v>
      </c>
      <c r="G710" s="19" t="s">
        <v>165</v>
      </c>
      <c r="H710" s="93">
        <v>0</v>
      </c>
    </row>
    <row r="711" spans="1:8">
      <c r="A711" s="7" t="s">
        <v>16</v>
      </c>
      <c r="B711" s="9" t="s">
        <v>125</v>
      </c>
      <c r="C711" s="6">
        <v>1</v>
      </c>
      <c r="D711" s="7" t="s">
        <v>164</v>
      </c>
      <c r="E711" s="50">
        <v>46243</v>
      </c>
      <c r="F711" s="50">
        <v>46250</v>
      </c>
      <c r="G711" s="19" t="s">
        <v>165</v>
      </c>
      <c r="H711" s="93">
        <v>0</v>
      </c>
    </row>
    <row r="712" spans="1:8">
      <c r="A712" s="7" t="s">
        <v>16</v>
      </c>
      <c r="B712" s="9" t="s">
        <v>126</v>
      </c>
      <c r="C712" s="6">
        <v>1</v>
      </c>
      <c r="D712" s="7" t="s">
        <v>164</v>
      </c>
      <c r="E712" s="50">
        <v>46243</v>
      </c>
      <c r="F712" s="50">
        <v>46250</v>
      </c>
      <c r="G712" s="19" t="s">
        <v>165</v>
      </c>
      <c r="H712" s="93">
        <v>0</v>
      </c>
    </row>
    <row r="713" spans="1:8">
      <c r="A713" s="7" t="s">
        <v>16</v>
      </c>
      <c r="B713" s="9" t="s">
        <v>127</v>
      </c>
      <c r="C713" s="6">
        <v>1</v>
      </c>
      <c r="D713" s="7" t="s">
        <v>164</v>
      </c>
      <c r="E713" s="50">
        <v>46243</v>
      </c>
      <c r="F713" s="50">
        <v>46250</v>
      </c>
      <c r="G713" s="19" t="s">
        <v>165</v>
      </c>
      <c r="H713" s="93">
        <v>0</v>
      </c>
    </row>
    <row r="714" spans="1:8">
      <c r="A714" s="7" t="s">
        <v>16</v>
      </c>
      <c r="B714" s="9" t="s">
        <v>128</v>
      </c>
      <c r="C714" s="6">
        <v>1</v>
      </c>
      <c r="D714" s="7" t="s">
        <v>164</v>
      </c>
      <c r="E714" s="50">
        <v>46243</v>
      </c>
      <c r="F714" s="50">
        <v>46250</v>
      </c>
      <c r="G714" s="19" t="s">
        <v>165</v>
      </c>
      <c r="H714" s="93">
        <v>0</v>
      </c>
    </row>
    <row r="715" spans="1:8">
      <c r="A715" s="7" t="s">
        <v>16</v>
      </c>
      <c r="B715" s="9" t="s">
        <v>129</v>
      </c>
      <c r="C715" s="6">
        <v>1</v>
      </c>
      <c r="D715" s="7" t="s">
        <v>164</v>
      </c>
      <c r="E715" s="50">
        <v>46243</v>
      </c>
      <c r="F715" s="50">
        <v>46250</v>
      </c>
      <c r="G715" s="19" t="s">
        <v>165</v>
      </c>
      <c r="H715" s="93">
        <v>0</v>
      </c>
    </row>
    <row r="716" spans="1:8">
      <c r="A716" s="7" t="s">
        <v>16</v>
      </c>
      <c r="B716" s="9" t="s">
        <v>130</v>
      </c>
      <c r="C716" s="6">
        <v>1</v>
      </c>
      <c r="D716" s="7" t="s">
        <v>164</v>
      </c>
      <c r="E716" s="50">
        <v>46243</v>
      </c>
      <c r="F716" s="50">
        <v>46250</v>
      </c>
      <c r="G716" s="19" t="s">
        <v>165</v>
      </c>
      <c r="H716" s="93">
        <v>0</v>
      </c>
    </row>
    <row r="717" spans="1:8">
      <c r="A717" s="7" t="s">
        <v>16</v>
      </c>
      <c r="B717" s="9" t="s">
        <v>131</v>
      </c>
      <c r="C717" s="6">
        <v>1</v>
      </c>
      <c r="D717" s="7" t="s">
        <v>164</v>
      </c>
      <c r="E717" s="50">
        <v>46243</v>
      </c>
      <c r="F717" s="50">
        <v>46250</v>
      </c>
      <c r="G717" s="19" t="s">
        <v>165</v>
      </c>
      <c r="H717" s="93">
        <v>0</v>
      </c>
    </row>
    <row r="718" spans="1:8">
      <c r="A718" s="7" t="s">
        <v>16</v>
      </c>
      <c r="B718" s="9" t="s">
        <v>132</v>
      </c>
      <c r="C718" s="6">
        <v>1</v>
      </c>
      <c r="D718" s="7" t="s">
        <v>164</v>
      </c>
      <c r="E718" s="50">
        <v>46243</v>
      </c>
      <c r="F718" s="50">
        <v>46250</v>
      </c>
      <c r="G718" s="19" t="s">
        <v>165</v>
      </c>
      <c r="H718" s="93">
        <v>0</v>
      </c>
    </row>
    <row r="719" spans="1:8">
      <c r="A719" s="7" t="s">
        <v>16</v>
      </c>
      <c r="B719" s="9" t="s">
        <v>133</v>
      </c>
      <c r="C719" s="6">
        <v>1</v>
      </c>
      <c r="D719" s="7" t="s">
        <v>164</v>
      </c>
      <c r="E719" s="50">
        <v>46243</v>
      </c>
      <c r="F719" s="50">
        <v>46250</v>
      </c>
      <c r="G719" s="19" t="s">
        <v>165</v>
      </c>
      <c r="H719" s="93">
        <v>0</v>
      </c>
    </row>
    <row r="720" spans="1:8">
      <c r="A720" s="7" t="s">
        <v>16</v>
      </c>
      <c r="B720" s="9" t="s">
        <v>134</v>
      </c>
      <c r="C720" s="6">
        <v>1</v>
      </c>
      <c r="D720" s="7" t="s">
        <v>164</v>
      </c>
      <c r="E720" s="50">
        <v>46243</v>
      </c>
      <c r="F720" s="50">
        <v>46250</v>
      </c>
      <c r="G720" s="19" t="s">
        <v>165</v>
      </c>
      <c r="H720" s="93">
        <v>0</v>
      </c>
    </row>
    <row r="721" spans="1:8">
      <c r="A721" s="7" t="s">
        <v>16</v>
      </c>
      <c r="B721" s="9" t="s">
        <v>135</v>
      </c>
      <c r="C721" s="6">
        <v>1</v>
      </c>
      <c r="D721" s="7" t="s">
        <v>164</v>
      </c>
      <c r="E721" s="50">
        <v>46243</v>
      </c>
      <c r="F721" s="50">
        <v>46250</v>
      </c>
      <c r="G721" s="19" t="s">
        <v>165</v>
      </c>
      <c r="H721" s="93">
        <v>0</v>
      </c>
    </row>
    <row r="722" spans="1:8">
      <c r="A722" s="7" t="s">
        <v>16</v>
      </c>
      <c r="B722" s="9" t="s">
        <v>136</v>
      </c>
      <c r="C722" s="6">
        <v>1</v>
      </c>
      <c r="D722" s="7" t="s">
        <v>164</v>
      </c>
      <c r="E722" s="50">
        <v>46243</v>
      </c>
      <c r="F722" s="50">
        <v>46250</v>
      </c>
      <c r="G722" s="19" t="s">
        <v>165</v>
      </c>
      <c r="H722" s="93">
        <v>0</v>
      </c>
    </row>
    <row r="723" spans="1:8">
      <c r="A723" s="7" t="s">
        <v>16</v>
      </c>
      <c r="B723" s="9" t="s">
        <v>137</v>
      </c>
      <c r="C723" s="6">
        <v>1</v>
      </c>
      <c r="D723" s="7" t="s">
        <v>164</v>
      </c>
      <c r="E723" s="50">
        <v>46243</v>
      </c>
      <c r="F723" s="50">
        <v>46250</v>
      </c>
      <c r="G723" s="19" t="s">
        <v>165</v>
      </c>
      <c r="H723" s="93">
        <v>0</v>
      </c>
    </row>
    <row r="724" spans="1:8">
      <c r="A724" s="7" t="s">
        <v>16</v>
      </c>
      <c r="B724" s="9" t="s">
        <v>138</v>
      </c>
      <c r="C724" s="6">
        <v>1</v>
      </c>
      <c r="D724" s="7" t="s">
        <v>164</v>
      </c>
      <c r="E724" s="50">
        <v>46243</v>
      </c>
      <c r="F724" s="50">
        <v>46250</v>
      </c>
      <c r="G724" s="19" t="s">
        <v>165</v>
      </c>
      <c r="H724" s="93">
        <v>0</v>
      </c>
    </row>
    <row r="725" spans="1:8">
      <c r="A725" s="7" t="s">
        <v>16</v>
      </c>
      <c r="B725" s="9" t="s">
        <v>139</v>
      </c>
      <c r="C725" s="6">
        <v>1</v>
      </c>
      <c r="D725" s="7" t="s">
        <v>164</v>
      </c>
      <c r="E725" s="50">
        <v>46243</v>
      </c>
      <c r="F725" s="50">
        <v>46250</v>
      </c>
      <c r="G725" s="19" t="s">
        <v>165</v>
      </c>
      <c r="H725" s="93">
        <v>0</v>
      </c>
    </row>
    <row r="726" spans="1:8">
      <c r="A726" s="7" t="s">
        <v>16</v>
      </c>
      <c r="B726" s="9" t="s">
        <v>140</v>
      </c>
      <c r="C726" s="6">
        <v>1</v>
      </c>
      <c r="D726" s="7" t="s">
        <v>164</v>
      </c>
      <c r="E726" s="50">
        <v>46243</v>
      </c>
      <c r="F726" s="50">
        <v>46250</v>
      </c>
      <c r="G726" s="19" t="s">
        <v>165</v>
      </c>
      <c r="H726" s="93">
        <v>0</v>
      </c>
    </row>
    <row r="727" spans="1:8">
      <c r="A727" s="7" t="s">
        <v>16</v>
      </c>
      <c r="B727" s="9" t="s">
        <v>141</v>
      </c>
      <c r="C727" s="6">
        <v>1</v>
      </c>
      <c r="D727" s="7" t="s">
        <v>164</v>
      </c>
      <c r="E727" s="50">
        <v>46243</v>
      </c>
      <c r="F727" s="50">
        <v>46250</v>
      </c>
      <c r="G727" s="19" t="s">
        <v>165</v>
      </c>
      <c r="H727" s="93">
        <v>0</v>
      </c>
    </row>
    <row r="728" spans="1:8">
      <c r="A728" s="7" t="s">
        <v>16</v>
      </c>
      <c r="B728" s="9" t="s">
        <v>142</v>
      </c>
      <c r="C728" s="6">
        <v>1</v>
      </c>
      <c r="D728" s="7" t="s">
        <v>164</v>
      </c>
      <c r="E728" s="50">
        <v>46243</v>
      </c>
      <c r="F728" s="50">
        <v>46250</v>
      </c>
      <c r="G728" s="19" t="s">
        <v>165</v>
      </c>
      <c r="H728" s="93">
        <v>0</v>
      </c>
    </row>
    <row r="729" spans="1:8">
      <c r="A729" s="7" t="s">
        <v>16</v>
      </c>
      <c r="B729" s="9" t="s">
        <v>143</v>
      </c>
      <c r="C729" s="6">
        <v>1</v>
      </c>
      <c r="D729" s="7" t="s">
        <v>164</v>
      </c>
      <c r="E729" s="50">
        <v>46243</v>
      </c>
      <c r="F729" s="50">
        <v>46250</v>
      </c>
      <c r="G729" s="19" t="s">
        <v>165</v>
      </c>
      <c r="H729" s="93">
        <v>0</v>
      </c>
    </row>
    <row r="730" spans="1:8">
      <c r="A730" s="7" t="s">
        <v>16</v>
      </c>
      <c r="B730" s="9" t="s">
        <v>144</v>
      </c>
      <c r="C730" s="6">
        <v>1</v>
      </c>
      <c r="D730" s="7" t="s">
        <v>164</v>
      </c>
      <c r="E730" s="50">
        <v>46243</v>
      </c>
      <c r="F730" s="50">
        <v>46250</v>
      </c>
      <c r="G730" s="19" t="s">
        <v>165</v>
      </c>
      <c r="H730" s="93">
        <v>0</v>
      </c>
    </row>
    <row r="731" spans="1:8">
      <c r="A731" s="7" t="s">
        <v>16</v>
      </c>
      <c r="B731" s="9" t="s">
        <v>145</v>
      </c>
      <c r="C731" s="6">
        <v>1</v>
      </c>
      <c r="D731" s="7" t="s">
        <v>164</v>
      </c>
      <c r="E731" s="50">
        <v>46243</v>
      </c>
      <c r="F731" s="50">
        <v>46250</v>
      </c>
      <c r="G731" s="19" t="s">
        <v>165</v>
      </c>
      <c r="H731" s="93">
        <v>0</v>
      </c>
    </row>
    <row r="732" spans="1:8">
      <c r="A732" s="7" t="s">
        <v>16</v>
      </c>
      <c r="B732" s="9" t="s">
        <v>146</v>
      </c>
      <c r="C732" s="6">
        <v>1</v>
      </c>
      <c r="D732" s="7" t="s">
        <v>164</v>
      </c>
      <c r="E732" s="50">
        <v>46243</v>
      </c>
      <c r="F732" s="50">
        <v>46250</v>
      </c>
      <c r="G732" s="19" t="s">
        <v>165</v>
      </c>
      <c r="H732" s="93">
        <v>0</v>
      </c>
    </row>
    <row r="733" spans="1:8">
      <c r="A733" s="7" t="s">
        <v>16</v>
      </c>
      <c r="B733" s="9" t="s">
        <v>147</v>
      </c>
      <c r="C733" s="6">
        <v>1</v>
      </c>
      <c r="D733" s="7" t="s">
        <v>164</v>
      </c>
      <c r="E733" s="50">
        <v>46243</v>
      </c>
      <c r="F733" s="50">
        <v>46250</v>
      </c>
      <c r="G733" s="19" t="s">
        <v>165</v>
      </c>
      <c r="H733" s="93">
        <v>0</v>
      </c>
    </row>
    <row r="734" spans="1:8">
      <c r="A734" s="7" t="s">
        <v>16</v>
      </c>
      <c r="B734" s="9" t="s">
        <v>148</v>
      </c>
      <c r="C734" s="6">
        <v>1</v>
      </c>
      <c r="D734" s="7" t="s">
        <v>164</v>
      </c>
      <c r="E734" s="50">
        <v>46243</v>
      </c>
      <c r="F734" s="50">
        <v>46250</v>
      </c>
      <c r="G734" s="19" t="s">
        <v>165</v>
      </c>
      <c r="H734" s="93">
        <v>0</v>
      </c>
    </row>
    <row r="735" spans="1:8">
      <c r="A735" s="7" t="s">
        <v>16</v>
      </c>
      <c r="B735" s="9" t="s">
        <v>149</v>
      </c>
      <c r="C735" s="6">
        <v>1</v>
      </c>
      <c r="D735" s="7" t="s">
        <v>164</v>
      </c>
      <c r="E735" s="50">
        <v>46243</v>
      </c>
      <c r="F735" s="50">
        <v>46250</v>
      </c>
      <c r="G735" s="19" t="s">
        <v>165</v>
      </c>
      <c r="H735" s="93">
        <v>0</v>
      </c>
    </row>
    <row r="736" spans="1:8">
      <c r="A736" s="7" t="s">
        <v>16</v>
      </c>
      <c r="B736" s="9" t="s">
        <v>150</v>
      </c>
      <c r="C736" s="6">
        <v>1</v>
      </c>
      <c r="D736" s="7" t="s">
        <v>164</v>
      </c>
      <c r="E736" s="50">
        <v>46243</v>
      </c>
      <c r="F736" s="50">
        <v>46250</v>
      </c>
      <c r="G736" s="19" t="s">
        <v>165</v>
      </c>
      <c r="H736" s="93">
        <v>0</v>
      </c>
    </row>
    <row r="737" spans="1:8">
      <c r="A737" s="7" t="s">
        <v>16</v>
      </c>
      <c r="B737" s="9" t="s">
        <v>151</v>
      </c>
      <c r="C737" s="6">
        <v>1</v>
      </c>
      <c r="D737" s="7" t="s">
        <v>164</v>
      </c>
      <c r="E737" s="50">
        <v>46243</v>
      </c>
      <c r="F737" s="50">
        <v>46250</v>
      </c>
      <c r="G737" s="19" t="s">
        <v>165</v>
      </c>
      <c r="H737" s="93">
        <v>0</v>
      </c>
    </row>
    <row r="738" spans="1:8">
      <c r="A738" s="7" t="s">
        <v>16</v>
      </c>
      <c r="B738" s="9" t="s">
        <v>152</v>
      </c>
      <c r="C738" s="6">
        <v>1</v>
      </c>
      <c r="D738" s="7" t="s">
        <v>164</v>
      </c>
      <c r="E738" s="50">
        <v>46243</v>
      </c>
      <c r="F738" s="50">
        <v>46250</v>
      </c>
      <c r="G738" s="19" t="s">
        <v>165</v>
      </c>
      <c r="H738" s="93">
        <v>0</v>
      </c>
    </row>
    <row r="739" spans="1:8">
      <c r="A739" s="7" t="s">
        <v>16</v>
      </c>
      <c r="B739" s="9" t="s">
        <v>153</v>
      </c>
      <c r="C739" s="6">
        <v>1</v>
      </c>
      <c r="D739" s="7" t="s">
        <v>164</v>
      </c>
      <c r="E739" s="50">
        <v>46243</v>
      </c>
      <c r="F739" s="50">
        <v>46250</v>
      </c>
      <c r="G739" s="19" t="s">
        <v>165</v>
      </c>
      <c r="H739" s="93">
        <v>0</v>
      </c>
    </row>
    <row r="740" spans="1:8">
      <c r="A740" s="7" t="s">
        <v>16</v>
      </c>
      <c r="B740" s="9" t="s">
        <v>154</v>
      </c>
      <c r="C740" s="6">
        <v>1</v>
      </c>
      <c r="D740" s="7" t="s">
        <v>164</v>
      </c>
      <c r="E740" s="50">
        <v>46243</v>
      </c>
      <c r="F740" s="50">
        <v>46250</v>
      </c>
      <c r="G740" s="19" t="s">
        <v>165</v>
      </c>
      <c r="H740" s="93">
        <v>0</v>
      </c>
    </row>
    <row r="741" spans="1:8">
      <c r="A741" s="7" t="s">
        <v>16</v>
      </c>
      <c r="B741" s="9" t="s">
        <v>155</v>
      </c>
      <c r="C741" s="6">
        <v>1</v>
      </c>
      <c r="D741" s="7" t="s">
        <v>164</v>
      </c>
      <c r="E741" s="50">
        <v>46243</v>
      </c>
      <c r="F741" s="50">
        <v>46250</v>
      </c>
      <c r="G741" s="19" t="s">
        <v>165</v>
      </c>
      <c r="H741" s="93">
        <v>0</v>
      </c>
    </row>
    <row r="742" spans="1:8">
      <c r="A742" s="7" t="s">
        <v>16</v>
      </c>
      <c r="B742" s="9" t="s">
        <v>156</v>
      </c>
      <c r="C742" s="6">
        <v>1</v>
      </c>
      <c r="D742" s="7" t="s">
        <v>164</v>
      </c>
      <c r="E742" s="50">
        <v>46243</v>
      </c>
      <c r="F742" s="50">
        <v>46250</v>
      </c>
      <c r="G742" s="19" t="s">
        <v>165</v>
      </c>
      <c r="H742" s="93">
        <v>0</v>
      </c>
    </row>
    <row r="743" spans="1:8">
      <c r="A743" s="7" t="s">
        <v>16</v>
      </c>
      <c r="B743" s="9" t="s">
        <v>157</v>
      </c>
      <c r="C743" s="6">
        <v>1</v>
      </c>
      <c r="D743" s="7" t="s">
        <v>164</v>
      </c>
      <c r="E743" s="50">
        <v>46243</v>
      </c>
      <c r="F743" s="50">
        <v>46250</v>
      </c>
      <c r="G743" s="19" t="s">
        <v>165</v>
      </c>
      <c r="H743" s="93">
        <v>0</v>
      </c>
    </row>
    <row r="744" spans="1:8">
      <c r="A744" s="7" t="s">
        <v>16</v>
      </c>
      <c r="B744" s="9" t="s">
        <v>158</v>
      </c>
      <c r="C744" s="6">
        <v>1</v>
      </c>
      <c r="D744" s="7" t="s">
        <v>164</v>
      </c>
      <c r="E744" s="50">
        <v>46243</v>
      </c>
      <c r="F744" s="50">
        <v>46250</v>
      </c>
      <c r="G744" s="19" t="s">
        <v>165</v>
      </c>
      <c r="H744" s="93">
        <v>0</v>
      </c>
    </row>
    <row r="745" spans="1:8">
      <c r="A745" s="7" t="s">
        <v>16</v>
      </c>
      <c r="B745" s="9" t="s">
        <v>159</v>
      </c>
      <c r="C745" s="6">
        <v>1</v>
      </c>
      <c r="D745" s="7" t="s">
        <v>164</v>
      </c>
      <c r="E745" s="50">
        <v>46243</v>
      </c>
      <c r="F745" s="50">
        <v>46250</v>
      </c>
      <c r="G745" s="19" t="s">
        <v>165</v>
      </c>
      <c r="H745" s="93">
        <v>0</v>
      </c>
    </row>
    <row r="746" spans="1:8">
      <c r="A746" s="7" t="s">
        <v>16</v>
      </c>
      <c r="B746" s="9" t="s">
        <v>32</v>
      </c>
      <c r="C746" s="6">
        <v>1</v>
      </c>
      <c r="D746" s="7" t="s">
        <v>166</v>
      </c>
      <c r="E746" s="49">
        <v>46337</v>
      </c>
      <c r="F746" s="49">
        <v>46343</v>
      </c>
      <c r="G746" s="24" t="s">
        <v>40</v>
      </c>
      <c r="H746" s="94">
        <v>0</v>
      </c>
    </row>
    <row r="747" spans="1:8">
      <c r="A747" s="7" t="s">
        <v>16</v>
      </c>
      <c r="B747" s="9" t="s">
        <v>35</v>
      </c>
      <c r="C747" s="6">
        <v>1</v>
      </c>
      <c r="D747" s="7" t="s">
        <v>166</v>
      </c>
      <c r="E747" s="49">
        <v>46337</v>
      </c>
      <c r="F747" s="49">
        <v>46343</v>
      </c>
      <c r="G747" s="24" t="s">
        <v>40</v>
      </c>
      <c r="H747" s="94">
        <v>0</v>
      </c>
    </row>
    <row r="748" spans="1:8">
      <c r="A748" s="7" t="s">
        <v>16</v>
      </c>
      <c r="B748" s="9" t="s">
        <v>36</v>
      </c>
      <c r="C748" s="6">
        <v>198</v>
      </c>
      <c r="D748" s="7" t="s">
        <v>166</v>
      </c>
      <c r="E748" s="49">
        <v>46337</v>
      </c>
      <c r="F748" s="49">
        <v>46343</v>
      </c>
      <c r="G748" s="24" t="s">
        <v>40</v>
      </c>
      <c r="H748" s="94">
        <v>0</v>
      </c>
    </row>
    <row r="749" spans="1:8">
      <c r="A749" s="7" t="s">
        <v>16</v>
      </c>
      <c r="B749" s="9" t="s">
        <v>37</v>
      </c>
      <c r="C749" s="6">
        <v>198</v>
      </c>
      <c r="D749" s="7" t="s">
        <v>166</v>
      </c>
      <c r="E749" s="49">
        <v>46337</v>
      </c>
      <c r="F749" s="49">
        <v>46343</v>
      </c>
      <c r="G749" s="24" t="s">
        <v>40</v>
      </c>
      <c r="H749" s="94">
        <v>0</v>
      </c>
    </row>
    <row r="750" spans="1:8">
      <c r="A750" s="7" t="s">
        <v>16</v>
      </c>
      <c r="B750" s="9" t="s">
        <v>38</v>
      </c>
      <c r="C750" s="6">
        <v>1</v>
      </c>
      <c r="D750" s="7" t="s">
        <v>166</v>
      </c>
      <c r="E750" s="49">
        <v>46337</v>
      </c>
      <c r="F750" s="49">
        <v>46343</v>
      </c>
      <c r="G750" s="24" t="s">
        <v>40</v>
      </c>
      <c r="H750" s="94">
        <v>0</v>
      </c>
    </row>
    <row r="751" spans="1:8">
      <c r="A751" s="7" t="s">
        <v>16</v>
      </c>
      <c r="B751" s="9" t="s">
        <v>39</v>
      </c>
      <c r="C751" s="6">
        <v>1</v>
      </c>
      <c r="D751" s="7" t="s">
        <v>166</v>
      </c>
      <c r="E751" s="49">
        <v>46337</v>
      </c>
      <c r="F751" s="49">
        <v>46343</v>
      </c>
      <c r="G751" s="24" t="s">
        <v>40</v>
      </c>
      <c r="H751" s="94">
        <v>0</v>
      </c>
    </row>
    <row r="752" spans="1:8">
      <c r="A752" s="7" t="s">
        <v>16</v>
      </c>
      <c r="B752" s="9" t="s">
        <v>41</v>
      </c>
      <c r="C752" s="6">
        <v>1</v>
      </c>
      <c r="D752" s="7" t="s">
        <v>166</v>
      </c>
      <c r="E752" s="49">
        <v>46337</v>
      </c>
      <c r="F752" s="49">
        <v>46343</v>
      </c>
      <c r="G752" s="24" t="s">
        <v>40</v>
      </c>
      <c r="H752" s="94">
        <v>0</v>
      </c>
    </row>
    <row r="753" spans="1:8">
      <c r="A753" s="7" t="s">
        <v>16</v>
      </c>
      <c r="B753" s="9" t="s">
        <v>42</v>
      </c>
      <c r="C753" s="6">
        <v>1</v>
      </c>
      <c r="D753" s="7" t="s">
        <v>166</v>
      </c>
      <c r="E753" s="49">
        <v>46337</v>
      </c>
      <c r="F753" s="49">
        <v>46343</v>
      </c>
      <c r="G753" s="24" t="s">
        <v>40</v>
      </c>
      <c r="H753" s="94">
        <v>0</v>
      </c>
    </row>
    <row r="754" spans="1:8">
      <c r="A754" s="7" t="s">
        <v>16</v>
      </c>
      <c r="B754" s="9" t="s">
        <v>43</v>
      </c>
      <c r="C754" s="6">
        <v>1</v>
      </c>
      <c r="D754" s="7" t="s">
        <v>166</v>
      </c>
      <c r="E754" s="49">
        <v>46337</v>
      </c>
      <c r="F754" s="49">
        <v>46343</v>
      </c>
      <c r="G754" s="24" t="s">
        <v>40</v>
      </c>
      <c r="H754" s="94">
        <v>0</v>
      </c>
    </row>
    <row r="755" spans="1:8">
      <c r="A755" s="7" t="s">
        <v>16</v>
      </c>
      <c r="B755" s="9" t="s">
        <v>44</v>
      </c>
      <c r="C755" s="6">
        <v>1</v>
      </c>
      <c r="D755" s="7" t="s">
        <v>166</v>
      </c>
      <c r="E755" s="49">
        <v>46337</v>
      </c>
      <c r="F755" s="49">
        <v>46343</v>
      </c>
      <c r="G755" s="24" t="s">
        <v>40</v>
      </c>
      <c r="H755" s="94">
        <v>0</v>
      </c>
    </row>
    <row r="756" spans="1:8">
      <c r="A756" s="7" t="s">
        <v>16</v>
      </c>
      <c r="B756" s="9" t="s">
        <v>45</v>
      </c>
      <c r="C756" s="6">
        <v>1</v>
      </c>
      <c r="D756" s="7" t="s">
        <v>166</v>
      </c>
      <c r="E756" s="49">
        <v>46337</v>
      </c>
      <c r="F756" s="49">
        <v>46343</v>
      </c>
      <c r="G756" s="24" t="s">
        <v>40</v>
      </c>
      <c r="H756" s="94">
        <v>0</v>
      </c>
    </row>
    <row r="757" spans="1:8">
      <c r="A757" s="7" t="s">
        <v>16</v>
      </c>
      <c r="B757" s="9" t="s">
        <v>46</v>
      </c>
      <c r="C757" s="6">
        <v>1</v>
      </c>
      <c r="D757" s="7" t="s">
        <v>166</v>
      </c>
      <c r="E757" s="49">
        <v>46337</v>
      </c>
      <c r="F757" s="49">
        <v>46343</v>
      </c>
      <c r="G757" s="24" t="s">
        <v>40</v>
      </c>
      <c r="H757" s="94">
        <v>0</v>
      </c>
    </row>
    <row r="758" spans="1:8">
      <c r="A758" s="7" t="s">
        <v>16</v>
      </c>
      <c r="B758" s="9" t="s">
        <v>47</v>
      </c>
      <c r="C758" s="6">
        <v>1</v>
      </c>
      <c r="D758" s="7" t="s">
        <v>166</v>
      </c>
      <c r="E758" s="49">
        <v>46337</v>
      </c>
      <c r="F758" s="49">
        <v>46343</v>
      </c>
      <c r="G758" s="24" t="s">
        <v>40</v>
      </c>
      <c r="H758" s="94">
        <v>0</v>
      </c>
    </row>
    <row r="759" spans="1:8">
      <c r="A759" s="7" t="s">
        <v>16</v>
      </c>
      <c r="B759" s="9" t="s">
        <v>48</v>
      </c>
      <c r="C759" s="6">
        <v>1</v>
      </c>
      <c r="D759" s="7" t="s">
        <v>166</v>
      </c>
      <c r="E759" s="49">
        <v>46337</v>
      </c>
      <c r="F759" s="49">
        <v>46343</v>
      </c>
      <c r="G759" s="24" t="s">
        <v>40</v>
      </c>
      <c r="H759" s="94">
        <v>0</v>
      </c>
    </row>
    <row r="760" spans="1:8">
      <c r="A760" s="7" t="s">
        <v>16</v>
      </c>
      <c r="B760" s="9" t="s">
        <v>49</v>
      </c>
      <c r="C760" s="6">
        <v>1</v>
      </c>
      <c r="D760" s="7" t="s">
        <v>166</v>
      </c>
      <c r="E760" s="49">
        <v>46337</v>
      </c>
      <c r="F760" s="49">
        <v>46343</v>
      </c>
      <c r="G760" s="24" t="s">
        <v>40</v>
      </c>
      <c r="H760" s="94">
        <v>0</v>
      </c>
    </row>
    <row r="761" spans="1:8">
      <c r="A761" s="7" t="s">
        <v>16</v>
      </c>
      <c r="B761" s="9" t="s">
        <v>50</v>
      </c>
      <c r="C761" s="6">
        <v>1</v>
      </c>
      <c r="D761" s="7" t="s">
        <v>166</v>
      </c>
      <c r="E761" s="49">
        <v>46337</v>
      </c>
      <c r="F761" s="49">
        <v>46343</v>
      </c>
      <c r="G761" s="24" t="s">
        <v>40</v>
      </c>
      <c r="H761" s="94">
        <v>0</v>
      </c>
    </row>
    <row r="762" spans="1:8">
      <c r="A762" s="7" t="s">
        <v>16</v>
      </c>
      <c r="B762" s="9" t="s">
        <v>51</v>
      </c>
      <c r="C762" s="6">
        <v>1</v>
      </c>
      <c r="D762" s="7" t="s">
        <v>166</v>
      </c>
      <c r="E762" s="49">
        <v>46337</v>
      </c>
      <c r="F762" s="49">
        <v>46343</v>
      </c>
      <c r="G762" s="24" t="s">
        <v>40</v>
      </c>
      <c r="H762" s="94">
        <v>0</v>
      </c>
    </row>
    <row r="763" spans="1:8">
      <c r="A763" s="7" t="s">
        <v>16</v>
      </c>
      <c r="B763" s="9" t="s">
        <v>52</v>
      </c>
      <c r="C763" s="6">
        <v>1</v>
      </c>
      <c r="D763" s="7" t="s">
        <v>166</v>
      </c>
      <c r="E763" s="49">
        <v>46337</v>
      </c>
      <c r="F763" s="49">
        <v>46343</v>
      </c>
      <c r="G763" s="24" t="s">
        <v>40</v>
      </c>
      <c r="H763" s="94">
        <v>0</v>
      </c>
    </row>
    <row r="764" spans="1:8">
      <c r="A764" s="7" t="s">
        <v>16</v>
      </c>
      <c r="B764" s="9" t="s">
        <v>53</v>
      </c>
      <c r="C764" s="6">
        <v>1</v>
      </c>
      <c r="D764" s="7" t="s">
        <v>166</v>
      </c>
      <c r="E764" s="49">
        <v>46337</v>
      </c>
      <c r="F764" s="49">
        <v>46343</v>
      </c>
      <c r="G764" s="24" t="s">
        <v>40</v>
      </c>
      <c r="H764" s="94">
        <v>0</v>
      </c>
    </row>
    <row r="765" spans="1:8">
      <c r="A765" s="7" t="s">
        <v>16</v>
      </c>
      <c r="B765" s="9" t="s">
        <v>54</v>
      </c>
      <c r="C765" s="6">
        <v>1</v>
      </c>
      <c r="D765" s="7" t="s">
        <v>166</v>
      </c>
      <c r="E765" s="49">
        <v>46337</v>
      </c>
      <c r="F765" s="49">
        <v>46343</v>
      </c>
      <c r="G765" s="24" t="s">
        <v>40</v>
      </c>
      <c r="H765" s="94">
        <v>0</v>
      </c>
    </row>
    <row r="766" spans="1:8">
      <c r="A766" s="7" t="s">
        <v>16</v>
      </c>
      <c r="B766" s="9" t="s">
        <v>55</v>
      </c>
      <c r="C766" s="6">
        <v>1</v>
      </c>
      <c r="D766" s="7" t="s">
        <v>166</v>
      </c>
      <c r="E766" s="49">
        <v>46337</v>
      </c>
      <c r="F766" s="49">
        <v>46343</v>
      </c>
      <c r="G766" s="24" t="s">
        <v>40</v>
      </c>
      <c r="H766" s="94">
        <v>0</v>
      </c>
    </row>
    <row r="767" spans="1:8">
      <c r="A767" s="7" t="s">
        <v>16</v>
      </c>
      <c r="B767" s="9" t="s">
        <v>56</v>
      </c>
      <c r="C767" s="6">
        <v>1</v>
      </c>
      <c r="D767" s="7" t="s">
        <v>166</v>
      </c>
      <c r="E767" s="49">
        <v>46337</v>
      </c>
      <c r="F767" s="49">
        <v>46343</v>
      </c>
      <c r="G767" s="24" t="s">
        <v>40</v>
      </c>
      <c r="H767" s="94">
        <v>0</v>
      </c>
    </row>
    <row r="768" spans="1:8">
      <c r="A768" s="7" t="s">
        <v>16</v>
      </c>
      <c r="B768" s="9" t="s">
        <v>57</v>
      </c>
      <c r="C768" s="6">
        <v>1</v>
      </c>
      <c r="D768" s="7" t="s">
        <v>166</v>
      </c>
      <c r="E768" s="49">
        <v>46337</v>
      </c>
      <c r="F768" s="49">
        <v>46343</v>
      </c>
      <c r="G768" s="24" t="s">
        <v>40</v>
      </c>
      <c r="H768" s="94">
        <v>0</v>
      </c>
    </row>
    <row r="769" spans="1:8">
      <c r="A769" s="7" t="s">
        <v>16</v>
      </c>
      <c r="B769" s="9" t="s">
        <v>58</v>
      </c>
      <c r="C769" s="6">
        <v>1</v>
      </c>
      <c r="D769" s="7" t="s">
        <v>166</v>
      </c>
      <c r="E769" s="49">
        <v>46337</v>
      </c>
      <c r="F769" s="49">
        <v>46343</v>
      </c>
      <c r="G769" s="24" t="s">
        <v>40</v>
      </c>
      <c r="H769" s="94">
        <v>0</v>
      </c>
    </row>
    <row r="770" spans="1:8">
      <c r="A770" s="7" t="s">
        <v>16</v>
      </c>
      <c r="B770" s="9" t="s">
        <v>59</v>
      </c>
      <c r="C770" s="6">
        <v>1</v>
      </c>
      <c r="D770" s="7" t="s">
        <v>166</v>
      </c>
      <c r="E770" s="49">
        <v>46337</v>
      </c>
      <c r="F770" s="49">
        <v>46343</v>
      </c>
      <c r="G770" s="24" t="s">
        <v>40</v>
      </c>
      <c r="H770" s="94">
        <v>0</v>
      </c>
    </row>
    <row r="771" spans="1:8">
      <c r="A771" s="7" t="s">
        <v>16</v>
      </c>
      <c r="B771" s="9" t="s">
        <v>60</v>
      </c>
      <c r="C771" s="6">
        <v>1</v>
      </c>
      <c r="D771" s="7" t="s">
        <v>166</v>
      </c>
      <c r="E771" s="49">
        <v>46337</v>
      </c>
      <c r="F771" s="49">
        <v>46343</v>
      </c>
      <c r="G771" s="24" t="s">
        <v>40</v>
      </c>
      <c r="H771" s="94">
        <v>0</v>
      </c>
    </row>
    <row r="772" spans="1:8">
      <c r="A772" s="7" t="s">
        <v>16</v>
      </c>
      <c r="B772" s="9" t="s">
        <v>61</v>
      </c>
      <c r="C772" s="6">
        <v>1</v>
      </c>
      <c r="D772" s="7" t="s">
        <v>166</v>
      </c>
      <c r="E772" s="49">
        <v>46337</v>
      </c>
      <c r="F772" s="49">
        <v>46343</v>
      </c>
      <c r="G772" s="24" t="s">
        <v>40</v>
      </c>
      <c r="H772" s="94">
        <v>0</v>
      </c>
    </row>
    <row r="773" spans="1:8">
      <c r="A773" s="7" t="s">
        <v>16</v>
      </c>
      <c r="B773" s="9" t="s">
        <v>62</v>
      </c>
      <c r="C773" s="6">
        <v>1</v>
      </c>
      <c r="D773" s="7" t="s">
        <v>166</v>
      </c>
      <c r="E773" s="49">
        <v>46337</v>
      </c>
      <c r="F773" s="49">
        <v>46343</v>
      </c>
      <c r="G773" s="24" t="s">
        <v>40</v>
      </c>
      <c r="H773" s="94">
        <v>0</v>
      </c>
    </row>
    <row r="774" spans="1:8">
      <c r="A774" s="7" t="s">
        <v>16</v>
      </c>
      <c r="B774" s="9" t="s">
        <v>63</v>
      </c>
      <c r="C774" s="6">
        <v>1</v>
      </c>
      <c r="D774" s="7" t="s">
        <v>166</v>
      </c>
      <c r="E774" s="49">
        <v>46337</v>
      </c>
      <c r="F774" s="49">
        <v>46343</v>
      </c>
      <c r="G774" s="24" t="s">
        <v>40</v>
      </c>
      <c r="H774" s="94">
        <v>0</v>
      </c>
    </row>
    <row r="775" spans="1:8">
      <c r="A775" s="7" t="s">
        <v>16</v>
      </c>
      <c r="B775" s="9" t="s">
        <v>64</v>
      </c>
      <c r="C775" s="6">
        <v>1</v>
      </c>
      <c r="D775" s="7" t="s">
        <v>166</v>
      </c>
      <c r="E775" s="49">
        <v>46337</v>
      </c>
      <c r="F775" s="49">
        <v>46343</v>
      </c>
      <c r="G775" s="24" t="s">
        <v>40</v>
      </c>
      <c r="H775" s="94">
        <v>0</v>
      </c>
    </row>
    <row r="776" spans="1:8">
      <c r="A776" s="7" t="s">
        <v>16</v>
      </c>
      <c r="B776" s="9" t="s">
        <v>65</v>
      </c>
      <c r="C776" s="6">
        <v>1</v>
      </c>
      <c r="D776" s="7" t="s">
        <v>166</v>
      </c>
      <c r="E776" s="49">
        <v>46337</v>
      </c>
      <c r="F776" s="49">
        <v>46343</v>
      </c>
      <c r="G776" s="24" t="s">
        <v>40</v>
      </c>
      <c r="H776" s="94">
        <v>0</v>
      </c>
    </row>
    <row r="777" spans="1:8">
      <c r="A777" s="7" t="s">
        <v>16</v>
      </c>
      <c r="B777" s="9" t="s">
        <v>66</v>
      </c>
      <c r="C777" s="6">
        <v>1</v>
      </c>
      <c r="D777" s="7" t="s">
        <v>166</v>
      </c>
      <c r="E777" s="49">
        <v>46337</v>
      </c>
      <c r="F777" s="49">
        <v>46343</v>
      </c>
      <c r="G777" s="24" t="s">
        <v>40</v>
      </c>
      <c r="H777" s="94">
        <v>0</v>
      </c>
    </row>
    <row r="778" spans="1:8">
      <c r="A778" s="7" t="s">
        <v>16</v>
      </c>
      <c r="B778" s="9" t="s">
        <v>67</v>
      </c>
      <c r="C778" s="6">
        <v>1</v>
      </c>
      <c r="D778" s="7" t="s">
        <v>166</v>
      </c>
      <c r="E778" s="49">
        <v>46337</v>
      </c>
      <c r="F778" s="49">
        <v>46343</v>
      </c>
      <c r="G778" s="24" t="s">
        <v>40</v>
      </c>
      <c r="H778" s="94">
        <v>0</v>
      </c>
    </row>
    <row r="779" spans="1:8">
      <c r="A779" s="7" t="s">
        <v>16</v>
      </c>
      <c r="B779" s="9" t="s">
        <v>68</v>
      </c>
      <c r="C779" s="6">
        <v>1</v>
      </c>
      <c r="D779" s="7" t="s">
        <v>166</v>
      </c>
      <c r="E779" s="49">
        <v>46337</v>
      </c>
      <c r="F779" s="49">
        <v>46343</v>
      </c>
      <c r="G779" s="24" t="s">
        <v>40</v>
      </c>
      <c r="H779" s="94">
        <v>0</v>
      </c>
    </row>
    <row r="780" spans="1:8">
      <c r="A780" s="7" t="s">
        <v>16</v>
      </c>
      <c r="B780" s="9" t="s">
        <v>69</v>
      </c>
      <c r="C780" s="6" t="s">
        <v>70</v>
      </c>
      <c r="D780" s="7" t="s">
        <v>166</v>
      </c>
      <c r="E780" s="49">
        <v>46337</v>
      </c>
      <c r="F780" s="49">
        <v>46343</v>
      </c>
      <c r="G780" s="24" t="s">
        <v>40</v>
      </c>
      <c r="H780" s="94">
        <v>0</v>
      </c>
    </row>
    <row r="781" spans="1:8">
      <c r="A781" s="7" t="s">
        <v>16</v>
      </c>
      <c r="B781" s="9" t="s">
        <v>71</v>
      </c>
      <c r="C781" s="6">
        <v>1</v>
      </c>
      <c r="D781" s="7" t="s">
        <v>166</v>
      </c>
      <c r="E781" s="49">
        <v>46337</v>
      </c>
      <c r="F781" s="49">
        <v>46343</v>
      </c>
      <c r="G781" s="24" t="s">
        <v>40</v>
      </c>
      <c r="H781" s="94">
        <v>0</v>
      </c>
    </row>
    <row r="782" spans="1:8">
      <c r="A782" s="7" t="s">
        <v>16</v>
      </c>
      <c r="B782" s="9" t="s">
        <v>72</v>
      </c>
      <c r="C782" s="6">
        <v>1</v>
      </c>
      <c r="D782" s="7" t="s">
        <v>166</v>
      </c>
      <c r="E782" s="49">
        <v>46337</v>
      </c>
      <c r="F782" s="49">
        <v>46343</v>
      </c>
      <c r="G782" s="24" t="s">
        <v>40</v>
      </c>
      <c r="H782" s="94">
        <v>0</v>
      </c>
    </row>
    <row r="783" spans="1:8">
      <c r="A783" s="7" t="s">
        <v>16</v>
      </c>
      <c r="B783" s="9" t="s">
        <v>73</v>
      </c>
      <c r="C783" s="6">
        <v>1</v>
      </c>
      <c r="D783" s="7" t="s">
        <v>166</v>
      </c>
      <c r="E783" s="49">
        <v>46337</v>
      </c>
      <c r="F783" s="49">
        <v>46343</v>
      </c>
      <c r="G783" s="24" t="s">
        <v>40</v>
      </c>
      <c r="H783" s="94">
        <v>0</v>
      </c>
    </row>
    <row r="784" spans="1:8">
      <c r="A784" s="7" t="s">
        <v>16</v>
      </c>
      <c r="B784" s="9" t="s">
        <v>74</v>
      </c>
      <c r="C784" s="6">
        <v>1</v>
      </c>
      <c r="D784" s="7" t="s">
        <v>166</v>
      </c>
      <c r="E784" s="49">
        <v>46337</v>
      </c>
      <c r="F784" s="49">
        <v>46343</v>
      </c>
      <c r="G784" s="24" t="s">
        <v>40</v>
      </c>
      <c r="H784" s="94">
        <v>0</v>
      </c>
    </row>
    <row r="785" spans="1:8">
      <c r="A785" s="7" t="s">
        <v>16</v>
      </c>
      <c r="B785" s="9" t="s">
        <v>75</v>
      </c>
      <c r="C785" s="6">
        <v>1</v>
      </c>
      <c r="D785" s="7" t="s">
        <v>166</v>
      </c>
      <c r="E785" s="49">
        <v>46337</v>
      </c>
      <c r="F785" s="49">
        <v>46343</v>
      </c>
      <c r="G785" s="24" t="s">
        <v>40</v>
      </c>
      <c r="H785" s="94">
        <v>0</v>
      </c>
    </row>
    <row r="786" spans="1:8">
      <c r="A786" s="7" t="s">
        <v>16</v>
      </c>
      <c r="B786" s="9" t="s">
        <v>76</v>
      </c>
      <c r="C786" s="6">
        <v>1</v>
      </c>
      <c r="D786" s="7" t="s">
        <v>166</v>
      </c>
      <c r="E786" s="49">
        <v>46337</v>
      </c>
      <c r="F786" s="49">
        <v>46343</v>
      </c>
      <c r="G786" s="24" t="s">
        <v>40</v>
      </c>
      <c r="H786" s="94">
        <v>0</v>
      </c>
    </row>
    <row r="787" spans="1:8">
      <c r="A787" s="7" t="s">
        <v>16</v>
      </c>
      <c r="B787" s="9" t="s">
        <v>77</v>
      </c>
      <c r="C787" s="6">
        <v>1</v>
      </c>
      <c r="D787" s="7" t="s">
        <v>166</v>
      </c>
      <c r="E787" s="49">
        <v>46337</v>
      </c>
      <c r="F787" s="49">
        <v>46343</v>
      </c>
      <c r="G787" s="24" t="s">
        <v>40</v>
      </c>
      <c r="H787" s="94">
        <v>0</v>
      </c>
    </row>
    <row r="788" spans="1:8">
      <c r="A788" s="7" t="s">
        <v>16</v>
      </c>
      <c r="B788" s="9" t="s">
        <v>78</v>
      </c>
      <c r="C788" s="6">
        <v>1</v>
      </c>
      <c r="D788" s="7" t="s">
        <v>166</v>
      </c>
      <c r="E788" s="49">
        <v>46337</v>
      </c>
      <c r="F788" s="49">
        <v>46343</v>
      </c>
      <c r="G788" s="24" t="s">
        <v>40</v>
      </c>
      <c r="H788" s="94">
        <v>0</v>
      </c>
    </row>
    <row r="789" spans="1:8">
      <c r="A789" s="7" t="s">
        <v>16</v>
      </c>
      <c r="B789" s="9" t="s">
        <v>79</v>
      </c>
      <c r="C789" s="6">
        <v>1</v>
      </c>
      <c r="D789" s="7" t="s">
        <v>166</v>
      </c>
      <c r="E789" s="49">
        <v>46337</v>
      </c>
      <c r="F789" s="49">
        <v>46343</v>
      </c>
      <c r="G789" s="24" t="s">
        <v>40</v>
      </c>
      <c r="H789" s="94">
        <v>0</v>
      </c>
    </row>
    <row r="790" spans="1:8">
      <c r="A790" s="7" t="s">
        <v>16</v>
      </c>
      <c r="B790" s="9" t="s">
        <v>80</v>
      </c>
      <c r="C790" s="6">
        <v>1</v>
      </c>
      <c r="D790" s="7" t="s">
        <v>166</v>
      </c>
      <c r="E790" s="49">
        <v>46337</v>
      </c>
      <c r="F790" s="49">
        <v>46343</v>
      </c>
      <c r="G790" s="24" t="s">
        <v>40</v>
      </c>
      <c r="H790" s="94">
        <v>0</v>
      </c>
    </row>
    <row r="791" spans="1:8">
      <c r="A791" s="7" t="s">
        <v>16</v>
      </c>
      <c r="B791" s="9" t="s">
        <v>81</v>
      </c>
      <c r="C791" s="6">
        <v>1</v>
      </c>
      <c r="D791" s="7" t="s">
        <v>166</v>
      </c>
      <c r="E791" s="49">
        <v>46337</v>
      </c>
      <c r="F791" s="49">
        <v>46343</v>
      </c>
      <c r="G791" s="24" t="s">
        <v>40</v>
      </c>
      <c r="H791" s="94">
        <v>0</v>
      </c>
    </row>
    <row r="792" spans="1:8">
      <c r="A792" s="7" t="s">
        <v>16</v>
      </c>
      <c r="B792" s="9" t="s">
        <v>82</v>
      </c>
      <c r="C792" s="6">
        <v>1</v>
      </c>
      <c r="D792" s="7" t="s">
        <v>166</v>
      </c>
      <c r="E792" s="49">
        <v>46337</v>
      </c>
      <c r="F792" s="49">
        <v>46343</v>
      </c>
      <c r="G792" s="24" t="s">
        <v>40</v>
      </c>
      <c r="H792" s="94">
        <v>0</v>
      </c>
    </row>
    <row r="793" spans="1:8">
      <c r="A793" s="7" t="s">
        <v>16</v>
      </c>
      <c r="B793" s="9" t="s">
        <v>83</v>
      </c>
      <c r="C793" s="6">
        <v>1</v>
      </c>
      <c r="D793" s="7" t="s">
        <v>166</v>
      </c>
      <c r="E793" s="49">
        <v>46337</v>
      </c>
      <c r="F793" s="49">
        <v>46343</v>
      </c>
      <c r="G793" s="24" t="s">
        <v>40</v>
      </c>
      <c r="H793" s="94">
        <v>0</v>
      </c>
    </row>
    <row r="794" spans="1:8">
      <c r="A794" s="7" t="s">
        <v>16</v>
      </c>
      <c r="B794" s="9" t="s">
        <v>84</v>
      </c>
      <c r="C794" s="6">
        <v>1</v>
      </c>
      <c r="D794" s="7" t="s">
        <v>166</v>
      </c>
      <c r="E794" s="49">
        <v>46337</v>
      </c>
      <c r="F794" s="49">
        <v>46343</v>
      </c>
      <c r="G794" s="24" t="s">
        <v>40</v>
      </c>
      <c r="H794" s="94">
        <v>0</v>
      </c>
    </row>
    <row r="795" spans="1:8">
      <c r="A795" s="7" t="s">
        <v>16</v>
      </c>
      <c r="B795" s="9" t="s">
        <v>85</v>
      </c>
      <c r="C795" s="6">
        <v>1</v>
      </c>
      <c r="D795" s="7" t="s">
        <v>166</v>
      </c>
      <c r="E795" s="49">
        <v>46337</v>
      </c>
      <c r="F795" s="49">
        <v>46343</v>
      </c>
      <c r="G795" s="24" t="s">
        <v>40</v>
      </c>
      <c r="H795" s="94">
        <v>0</v>
      </c>
    </row>
    <row r="796" spans="1:8">
      <c r="A796" s="7" t="s">
        <v>16</v>
      </c>
      <c r="B796" s="9" t="s">
        <v>86</v>
      </c>
      <c r="C796" s="6">
        <v>1</v>
      </c>
      <c r="D796" s="7" t="s">
        <v>166</v>
      </c>
      <c r="E796" s="49">
        <v>46337</v>
      </c>
      <c r="F796" s="49">
        <v>46343</v>
      </c>
      <c r="G796" s="24" t="s">
        <v>40</v>
      </c>
      <c r="H796" s="94">
        <v>0</v>
      </c>
    </row>
    <row r="797" spans="1:8">
      <c r="A797" s="7" t="s">
        <v>16</v>
      </c>
      <c r="B797" s="9" t="s">
        <v>87</v>
      </c>
      <c r="C797" s="6">
        <v>1</v>
      </c>
      <c r="D797" s="7" t="s">
        <v>166</v>
      </c>
      <c r="E797" s="49">
        <v>46337</v>
      </c>
      <c r="F797" s="49">
        <v>46343</v>
      </c>
      <c r="G797" s="24" t="s">
        <v>40</v>
      </c>
      <c r="H797" s="94">
        <v>0</v>
      </c>
    </row>
    <row r="798" spans="1:8">
      <c r="A798" s="7" t="s">
        <v>16</v>
      </c>
      <c r="B798" s="9" t="s">
        <v>88</v>
      </c>
      <c r="C798" s="6">
        <v>1</v>
      </c>
      <c r="D798" s="7" t="s">
        <v>166</v>
      </c>
      <c r="E798" s="49">
        <v>46337</v>
      </c>
      <c r="F798" s="49">
        <v>46343</v>
      </c>
      <c r="G798" s="24" t="s">
        <v>40</v>
      </c>
      <c r="H798" s="94">
        <v>0</v>
      </c>
    </row>
    <row r="799" spans="1:8">
      <c r="A799" s="7" t="s">
        <v>16</v>
      </c>
      <c r="B799" s="9" t="s">
        <v>89</v>
      </c>
      <c r="C799" s="6">
        <v>1</v>
      </c>
      <c r="D799" s="7" t="s">
        <v>166</v>
      </c>
      <c r="E799" s="49">
        <v>46337</v>
      </c>
      <c r="F799" s="49">
        <v>46343</v>
      </c>
      <c r="G799" s="24" t="s">
        <v>40</v>
      </c>
      <c r="H799" s="94">
        <v>0</v>
      </c>
    </row>
    <row r="800" spans="1:8">
      <c r="A800" s="7" t="s">
        <v>16</v>
      </c>
      <c r="B800" s="9" t="s">
        <v>90</v>
      </c>
      <c r="C800" s="6">
        <v>1</v>
      </c>
      <c r="D800" s="7" t="s">
        <v>166</v>
      </c>
      <c r="E800" s="49">
        <v>46337</v>
      </c>
      <c r="F800" s="49">
        <v>46343</v>
      </c>
      <c r="G800" s="24" t="s">
        <v>40</v>
      </c>
      <c r="H800" s="94">
        <v>0</v>
      </c>
    </row>
    <row r="801" spans="1:8">
      <c r="A801" s="7" t="s">
        <v>16</v>
      </c>
      <c r="B801" s="9" t="s">
        <v>91</v>
      </c>
      <c r="C801" s="6">
        <v>1</v>
      </c>
      <c r="D801" s="7" t="s">
        <v>166</v>
      </c>
      <c r="E801" s="49">
        <v>46337</v>
      </c>
      <c r="F801" s="49">
        <v>46343</v>
      </c>
      <c r="G801" s="24" t="s">
        <v>40</v>
      </c>
      <c r="H801" s="94">
        <v>0</v>
      </c>
    </row>
    <row r="802" spans="1:8">
      <c r="A802" s="7" t="s">
        <v>16</v>
      </c>
      <c r="B802" s="9" t="s">
        <v>92</v>
      </c>
      <c r="C802" s="6">
        <v>1</v>
      </c>
      <c r="D802" s="7" t="s">
        <v>166</v>
      </c>
      <c r="E802" s="49">
        <v>46337</v>
      </c>
      <c r="F802" s="49">
        <v>46343</v>
      </c>
      <c r="G802" s="24" t="s">
        <v>40</v>
      </c>
      <c r="H802" s="94">
        <v>0</v>
      </c>
    </row>
    <row r="803" spans="1:8">
      <c r="A803" s="7" t="s">
        <v>16</v>
      </c>
      <c r="B803" s="9" t="s">
        <v>93</v>
      </c>
      <c r="C803" s="6">
        <v>1</v>
      </c>
      <c r="D803" s="7" t="s">
        <v>166</v>
      </c>
      <c r="E803" s="49">
        <v>46337</v>
      </c>
      <c r="F803" s="49">
        <v>46343</v>
      </c>
      <c r="G803" s="24" t="s">
        <v>40</v>
      </c>
      <c r="H803" s="94">
        <v>0</v>
      </c>
    </row>
    <row r="804" spans="1:8">
      <c r="A804" s="7" t="s">
        <v>16</v>
      </c>
      <c r="B804" s="9" t="s">
        <v>94</v>
      </c>
      <c r="C804" s="6">
        <v>1</v>
      </c>
      <c r="D804" s="7" t="s">
        <v>166</v>
      </c>
      <c r="E804" s="49">
        <v>46337</v>
      </c>
      <c r="F804" s="49">
        <v>46343</v>
      </c>
      <c r="G804" s="24" t="s">
        <v>40</v>
      </c>
      <c r="H804" s="94">
        <v>0</v>
      </c>
    </row>
    <row r="805" spans="1:8">
      <c r="A805" s="7" t="s">
        <v>16</v>
      </c>
      <c r="B805" s="9" t="s">
        <v>95</v>
      </c>
      <c r="C805" s="6">
        <v>1</v>
      </c>
      <c r="D805" s="7" t="s">
        <v>166</v>
      </c>
      <c r="E805" s="49">
        <v>46337</v>
      </c>
      <c r="F805" s="49">
        <v>46343</v>
      </c>
      <c r="G805" s="24" t="s">
        <v>40</v>
      </c>
      <c r="H805" s="94">
        <v>0</v>
      </c>
    </row>
    <row r="806" spans="1:8">
      <c r="A806" s="7" t="s">
        <v>16</v>
      </c>
      <c r="B806" s="9" t="s">
        <v>96</v>
      </c>
      <c r="C806" s="6">
        <v>1</v>
      </c>
      <c r="D806" s="7" t="s">
        <v>166</v>
      </c>
      <c r="E806" s="49">
        <v>46337</v>
      </c>
      <c r="F806" s="49">
        <v>46343</v>
      </c>
      <c r="G806" s="24" t="s">
        <v>40</v>
      </c>
      <c r="H806" s="94">
        <v>0</v>
      </c>
    </row>
    <row r="807" spans="1:8">
      <c r="A807" s="7" t="s">
        <v>16</v>
      </c>
      <c r="B807" s="9" t="s">
        <v>97</v>
      </c>
      <c r="C807" s="6">
        <v>1</v>
      </c>
      <c r="D807" s="7" t="s">
        <v>166</v>
      </c>
      <c r="E807" s="49">
        <v>46337</v>
      </c>
      <c r="F807" s="49">
        <v>46343</v>
      </c>
      <c r="G807" s="24" t="s">
        <v>40</v>
      </c>
      <c r="H807" s="94">
        <v>0</v>
      </c>
    </row>
    <row r="808" spans="1:8">
      <c r="A808" s="7" t="s">
        <v>16</v>
      </c>
      <c r="B808" s="9" t="s">
        <v>98</v>
      </c>
      <c r="C808" s="6">
        <v>1</v>
      </c>
      <c r="D808" s="7" t="s">
        <v>166</v>
      </c>
      <c r="E808" s="49">
        <v>46337</v>
      </c>
      <c r="F808" s="49">
        <v>46343</v>
      </c>
      <c r="G808" s="24" t="s">
        <v>40</v>
      </c>
      <c r="H808" s="94">
        <v>0</v>
      </c>
    </row>
    <row r="809" spans="1:8">
      <c r="A809" s="7" t="s">
        <v>16</v>
      </c>
      <c r="B809" s="9" t="s">
        <v>99</v>
      </c>
      <c r="C809" s="6">
        <v>1</v>
      </c>
      <c r="D809" s="7" t="s">
        <v>166</v>
      </c>
      <c r="E809" s="49">
        <v>46337</v>
      </c>
      <c r="F809" s="49">
        <v>46343</v>
      </c>
      <c r="G809" s="24" t="s">
        <v>40</v>
      </c>
      <c r="H809" s="94">
        <v>0</v>
      </c>
    </row>
    <row r="810" spans="1:8">
      <c r="A810" s="7" t="s">
        <v>16</v>
      </c>
      <c r="B810" s="9" t="s">
        <v>100</v>
      </c>
      <c r="C810" s="6">
        <v>1</v>
      </c>
      <c r="D810" s="7" t="s">
        <v>166</v>
      </c>
      <c r="E810" s="49">
        <v>46337</v>
      </c>
      <c r="F810" s="49">
        <v>46343</v>
      </c>
      <c r="G810" s="24" t="s">
        <v>40</v>
      </c>
      <c r="H810" s="94">
        <v>0</v>
      </c>
    </row>
    <row r="811" spans="1:8">
      <c r="A811" s="7" t="s">
        <v>16</v>
      </c>
      <c r="B811" s="9" t="s">
        <v>101</v>
      </c>
      <c r="C811" s="6">
        <v>1</v>
      </c>
      <c r="D811" s="7" t="s">
        <v>166</v>
      </c>
      <c r="E811" s="49">
        <v>46337</v>
      </c>
      <c r="F811" s="49">
        <v>46343</v>
      </c>
      <c r="G811" s="24" t="s">
        <v>40</v>
      </c>
      <c r="H811" s="94">
        <v>0</v>
      </c>
    </row>
    <row r="812" spans="1:8">
      <c r="A812" s="7" t="s">
        <v>16</v>
      </c>
      <c r="B812" s="9" t="s">
        <v>102</v>
      </c>
      <c r="C812" s="6">
        <v>1</v>
      </c>
      <c r="D812" s="7" t="s">
        <v>166</v>
      </c>
      <c r="E812" s="49">
        <v>46337</v>
      </c>
      <c r="F812" s="49">
        <v>46343</v>
      </c>
      <c r="G812" s="24" t="s">
        <v>40</v>
      </c>
      <c r="H812" s="94">
        <v>0</v>
      </c>
    </row>
    <row r="813" spans="1:8">
      <c r="A813" s="7" t="s">
        <v>16</v>
      </c>
      <c r="B813" s="9" t="s">
        <v>103</v>
      </c>
      <c r="C813" s="6">
        <v>1</v>
      </c>
      <c r="D813" s="7" t="s">
        <v>166</v>
      </c>
      <c r="E813" s="49">
        <v>46337</v>
      </c>
      <c r="F813" s="49">
        <v>46343</v>
      </c>
      <c r="G813" s="24" t="s">
        <v>40</v>
      </c>
      <c r="H813" s="94">
        <v>0</v>
      </c>
    </row>
    <row r="814" spans="1:8">
      <c r="A814" s="7" t="s">
        <v>16</v>
      </c>
      <c r="B814" s="9" t="s">
        <v>104</v>
      </c>
      <c r="C814" s="6">
        <v>1</v>
      </c>
      <c r="D814" s="7" t="s">
        <v>166</v>
      </c>
      <c r="E814" s="49">
        <v>46337</v>
      </c>
      <c r="F814" s="49">
        <v>46343</v>
      </c>
      <c r="G814" s="24" t="s">
        <v>40</v>
      </c>
      <c r="H814" s="94">
        <v>0</v>
      </c>
    </row>
    <row r="815" spans="1:8">
      <c r="A815" s="7" t="s">
        <v>16</v>
      </c>
      <c r="B815" s="9" t="s">
        <v>105</v>
      </c>
      <c r="C815" s="6">
        <v>1</v>
      </c>
      <c r="D815" s="7" t="s">
        <v>166</v>
      </c>
      <c r="E815" s="49">
        <v>46337</v>
      </c>
      <c r="F815" s="49">
        <v>46343</v>
      </c>
      <c r="G815" s="24" t="s">
        <v>40</v>
      </c>
      <c r="H815" s="94">
        <v>0</v>
      </c>
    </row>
    <row r="816" spans="1:8">
      <c r="A816" s="7" t="s">
        <v>16</v>
      </c>
      <c r="B816" s="9" t="s">
        <v>106</v>
      </c>
      <c r="C816" s="6">
        <v>1</v>
      </c>
      <c r="D816" s="7" t="s">
        <v>166</v>
      </c>
      <c r="E816" s="49">
        <v>46337</v>
      </c>
      <c r="F816" s="49">
        <v>46343</v>
      </c>
      <c r="G816" s="24" t="s">
        <v>40</v>
      </c>
      <c r="H816" s="94">
        <v>0</v>
      </c>
    </row>
    <row r="817" spans="1:8">
      <c r="A817" s="7" t="s">
        <v>16</v>
      </c>
      <c r="B817" s="9" t="s">
        <v>107</v>
      </c>
      <c r="C817" s="6">
        <v>1</v>
      </c>
      <c r="D817" s="7" t="s">
        <v>166</v>
      </c>
      <c r="E817" s="49">
        <v>46337</v>
      </c>
      <c r="F817" s="49">
        <v>46343</v>
      </c>
      <c r="G817" s="24" t="s">
        <v>40</v>
      </c>
      <c r="H817" s="94">
        <v>0</v>
      </c>
    </row>
    <row r="818" spans="1:8">
      <c r="A818" s="7" t="s">
        <v>16</v>
      </c>
      <c r="B818" s="9" t="s">
        <v>108</v>
      </c>
      <c r="C818" s="6">
        <v>1</v>
      </c>
      <c r="D818" s="7" t="s">
        <v>166</v>
      </c>
      <c r="E818" s="49">
        <v>46337</v>
      </c>
      <c r="F818" s="49">
        <v>46343</v>
      </c>
      <c r="G818" s="24" t="s">
        <v>40</v>
      </c>
      <c r="H818" s="94">
        <v>0</v>
      </c>
    </row>
    <row r="819" spans="1:8">
      <c r="A819" s="7" t="s">
        <v>16</v>
      </c>
      <c r="B819" s="9" t="s">
        <v>109</v>
      </c>
      <c r="C819" s="6">
        <v>1</v>
      </c>
      <c r="D819" s="7" t="s">
        <v>166</v>
      </c>
      <c r="E819" s="49">
        <v>46337</v>
      </c>
      <c r="F819" s="49">
        <v>46343</v>
      </c>
      <c r="G819" s="24" t="s">
        <v>40</v>
      </c>
      <c r="H819" s="94">
        <v>0</v>
      </c>
    </row>
    <row r="820" spans="1:8">
      <c r="A820" s="7" t="s">
        <v>16</v>
      </c>
      <c r="B820" s="9" t="s">
        <v>110</v>
      </c>
      <c r="C820" s="6">
        <v>1</v>
      </c>
      <c r="D820" s="7" t="s">
        <v>166</v>
      </c>
      <c r="E820" s="49">
        <v>46337</v>
      </c>
      <c r="F820" s="49">
        <v>46343</v>
      </c>
      <c r="G820" s="24" t="s">
        <v>40</v>
      </c>
      <c r="H820" s="94">
        <v>0</v>
      </c>
    </row>
    <row r="821" spans="1:8">
      <c r="A821" s="7" t="s">
        <v>16</v>
      </c>
      <c r="B821" s="9" t="s">
        <v>111</v>
      </c>
      <c r="C821" s="6">
        <v>1</v>
      </c>
      <c r="D821" s="7" t="s">
        <v>166</v>
      </c>
      <c r="E821" s="49">
        <v>46337</v>
      </c>
      <c r="F821" s="49">
        <v>46343</v>
      </c>
      <c r="G821" s="24" t="s">
        <v>40</v>
      </c>
      <c r="H821" s="94">
        <v>0</v>
      </c>
    </row>
    <row r="822" spans="1:8">
      <c r="A822" s="7" t="s">
        <v>16</v>
      </c>
      <c r="B822" s="9" t="s">
        <v>112</v>
      </c>
      <c r="C822" s="6">
        <v>1</v>
      </c>
      <c r="D822" s="7" t="s">
        <v>166</v>
      </c>
      <c r="E822" s="49">
        <v>46337</v>
      </c>
      <c r="F822" s="49">
        <v>46343</v>
      </c>
      <c r="G822" s="24" t="s">
        <v>40</v>
      </c>
      <c r="H822" s="94">
        <v>0</v>
      </c>
    </row>
    <row r="823" spans="1:8">
      <c r="A823" s="7" t="s">
        <v>16</v>
      </c>
      <c r="B823" s="9" t="s">
        <v>113</v>
      </c>
      <c r="C823" s="6">
        <v>1</v>
      </c>
      <c r="D823" s="7" t="s">
        <v>166</v>
      </c>
      <c r="E823" s="49">
        <v>46337</v>
      </c>
      <c r="F823" s="49">
        <v>46343</v>
      </c>
      <c r="G823" s="24" t="s">
        <v>40</v>
      </c>
      <c r="H823" s="94">
        <v>0</v>
      </c>
    </row>
    <row r="824" spans="1:8">
      <c r="A824" s="7" t="s">
        <v>16</v>
      </c>
      <c r="B824" s="9" t="s">
        <v>114</v>
      </c>
      <c r="C824" s="6">
        <v>1</v>
      </c>
      <c r="D824" s="7" t="s">
        <v>166</v>
      </c>
      <c r="E824" s="49">
        <v>46337</v>
      </c>
      <c r="F824" s="49">
        <v>46343</v>
      </c>
      <c r="G824" s="24" t="s">
        <v>40</v>
      </c>
      <c r="H824" s="94">
        <v>0</v>
      </c>
    </row>
    <row r="825" spans="1:8">
      <c r="A825" s="7" t="s">
        <v>16</v>
      </c>
      <c r="B825" s="9" t="s">
        <v>115</v>
      </c>
      <c r="C825" s="6">
        <v>1</v>
      </c>
      <c r="D825" s="7" t="s">
        <v>166</v>
      </c>
      <c r="E825" s="49">
        <v>46337</v>
      </c>
      <c r="F825" s="49">
        <v>46343</v>
      </c>
      <c r="G825" s="24" t="s">
        <v>40</v>
      </c>
      <c r="H825" s="94">
        <v>0</v>
      </c>
    </row>
    <row r="826" spans="1:8">
      <c r="A826" s="7" t="s">
        <v>16</v>
      </c>
      <c r="B826" s="9" t="s">
        <v>116</v>
      </c>
      <c r="C826" s="6">
        <v>1</v>
      </c>
      <c r="D826" s="7" t="s">
        <v>166</v>
      </c>
      <c r="E826" s="49">
        <v>46337</v>
      </c>
      <c r="F826" s="49">
        <v>46343</v>
      </c>
      <c r="G826" s="24" t="s">
        <v>40</v>
      </c>
      <c r="H826" s="94">
        <v>0</v>
      </c>
    </row>
    <row r="827" spans="1:8">
      <c r="A827" s="7" t="s">
        <v>16</v>
      </c>
      <c r="B827" s="9" t="s">
        <v>117</v>
      </c>
      <c r="C827" s="6">
        <v>1</v>
      </c>
      <c r="D827" s="7" t="s">
        <v>166</v>
      </c>
      <c r="E827" s="49">
        <v>46337</v>
      </c>
      <c r="F827" s="49">
        <v>46343</v>
      </c>
      <c r="G827" s="24" t="s">
        <v>40</v>
      </c>
      <c r="H827" s="94">
        <v>0</v>
      </c>
    </row>
    <row r="828" spans="1:8">
      <c r="A828" s="7" t="s">
        <v>16</v>
      </c>
      <c r="B828" s="9" t="s">
        <v>118</v>
      </c>
      <c r="C828" s="6">
        <v>1</v>
      </c>
      <c r="D828" s="7" t="s">
        <v>166</v>
      </c>
      <c r="E828" s="49">
        <v>46337</v>
      </c>
      <c r="F828" s="49">
        <v>46343</v>
      </c>
      <c r="G828" s="24" t="s">
        <v>40</v>
      </c>
      <c r="H828" s="94">
        <v>0</v>
      </c>
    </row>
    <row r="829" spans="1:8">
      <c r="A829" s="7" t="s">
        <v>16</v>
      </c>
      <c r="B829" s="9" t="s">
        <v>119</v>
      </c>
      <c r="C829" s="6">
        <v>1</v>
      </c>
      <c r="D829" s="7" t="s">
        <v>166</v>
      </c>
      <c r="E829" s="49">
        <v>46337</v>
      </c>
      <c r="F829" s="49">
        <v>46343</v>
      </c>
      <c r="G829" s="24" t="s">
        <v>40</v>
      </c>
      <c r="H829" s="94">
        <v>0</v>
      </c>
    </row>
    <row r="830" spans="1:8">
      <c r="A830" s="7" t="s">
        <v>16</v>
      </c>
      <c r="B830" s="9" t="s">
        <v>120</v>
      </c>
      <c r="C830" s="6">
        <v>1</v>
      </c>
      <c r="D830" s="7" t="s">
        <v>166</v>
      </c>
      <c r="E830" s="49">
        <v>46337</v>
      </c>
      <c r="F830" s="49">
        <v>46343</v>
      </c>
      <c r="G830" s="24" t="s">
        <v>40</v>
      </c>
      <c r="H830" s="94">
        <v>0</v>
      </c>
    </row>
    <row r="831" spans="1:8">
      <c r="A831" s="7" t="s">
        <v>16</v>
      </c>
      <c r="B831" s="9" t="s">
        <v>121</v>
      </c>
      <c r="C831" s="6">
        <v>1</v>
      </c>
      <c r="D831" s="7" t="s">
        <v>166</v>
      </c>
      <c r="E831" s="49">
        <v>46337</v>
      </c>
      <c r="F831" s="49">
        <v>46343</v>
      </c>
      <c r="G831" s="24" t="s">
        <v>40</v>
      </c>
      <c r="H831" s="94">
        <v>0</v>
      </c>
    </row>
    <row r="832" spans="1:8">
      <c r="A832" s="7" t="s">
        <v>16</v>
      </c>
      <c r="B832" s="9" t="s">
        <v>122</v>
      </c>
      <c r="C832" s="6">
        <v>1</v>
      </c>
      <c r="D832" s="7" t="s">
        <v>166</v>
      </c>
      <c r="E832" s="49">
        <v>46337</v>
      </c>
      <c r="F832" s="49">
        <v>46343</v>
      </c>
      <c r="G832" s="24" t="s">
        <v>40</v>
      </c>
      <c r="H832" s="94">
        <v>0</v>
      </c>
    </row>
    <row r="833" spans="1:8">
      <c r="A833" s="7" t="s">
        <v>16</v>
      </c>
      <c r="B833" s="9" t="s">
        <v>123</v>
      </c>
      <c r="C833" s="6">
        <v>1</v>
      </c>
      <c r="D833" s="7" t="s">
        <v>166</v>
      </c>
      <c r="E833" s="49">
        <v>46337</v>
      </c>
      <c r="F833" s="49">
        <v>46343</v>
      </c>
      <c r="G833" s="24" t="s">
        <v>40</v>
      </c>
      <c r="H833" s="94">
        <v>0</v>
      </c>
    </row>
    <row r="834" spans="1:8">
      <c r="A834" s="7" t="s">
        <v>16</v>
      </c>
      <c r="B834" s="9" t="s">
        <v>124</v>
      </c>
      <c r="C834" s="6">
        <v>1</v>
      </c>
      <c r="D834" s="7" t="s">
        <v>166</v>
      </c>
      <c r="E834" s="49">
        <v>46337</v>
      </c>
      <c r="F834" s="49">
        <v>46343</v>
      </c>
      <c r="G834" s="24" t="s">
        <v>40</v>
      </c>
      <c r="H834" s="94">
        <v>0</v>
      </c>
    </row>
    <row r="835" spans="1:8">
      <c r="A835" s="7" t="s">
        <v>16</v>
      </c>
      <c r="B835" s="9" t="s">
        <v>125</v>
      </c>
      <c r="C835" s="6">
        <v>1</v>
      </c>
      <c r="D835" s="7" t="s">
        <v>166</v>
      </c>
      <c r="E835" s="49">
        <v>46337</v>
      </c>
      <c r="F835" s="49">
        <v>46343</v>
      </c>
      <c r="G835" s="24" t="s">
        <v>40</v>
      </c>
      <c r="H835" s="94">
        <v>0</v>
      </c>
    </row>
    <row r="836" spans="1:8">
      <c r="A836" s="7" t="s">
        <v>16</v>
      </c>
      <c r="B836" s="9" t="s">
        <v>126</v>
      </c>
      <c r="C836" s="6">
        <v>1</v>
      </c>
      <c r="D836" s="7" t="s">
        <v>166</v>
      </c>
      <c r="E836" s="49">
        <v>46337</v>
      </c>
      <c r="F836" s="49">
        <v>46343</v>
      </c>
      <c r="G836" s="24" t="s">
        <v>40</v>
      </c>
      <c r="H836" s="94">
        <v>0</v>
      </c>
    </row>
    <row r="837" spans="1:8">
      <c r="A837" s="7" t="s">
        <v>16</v>
      </c>
      <c r="B837" s="9" t="s">
        <v>127</v>
      </c>
      <c r="C837" s="6">
        <v>1</v>
      </c>
      <c r="D837" s="7" t="s">
        <v>166</v>
      </c>
      <c r="E837" s="49">
        <v>46337</v>
      </c>
      <c r="F837" s="49">
        <v>46343</v>
      </c>
      <c r="G837" s="24" t="s">
        <v>40</v>
      </c>
      <c r="H837" s="94">
        <v>0</v>
      </c>
    </row>
    <row r="838" spans="1:8">
      <c r="A838" s="7" t="s">
        <v>16</v>
      </c>
      <c r="B838" s="9" t="s">
        <v>128</v>
      </c>
      <c r="C838" s="6">
        <v>1</v>
      </c>
      <c r="D838" s="7" t="s">
        <v>166</v>
      </c>
      <c r="E838" s="49">
        <v>46337</v>
      </c>
      <c r="F838" s="49">
        <v>46343</v>
      </c>
      <c r="G838" s="24" t="s">
        <v>40</v>
      </c>
      <c r="H838" s="94">
        <v>0</v>
      </c>
    </row>
    <row r="839" spans="1:8">
      <c r="A839" s="7" t="s">
        <v>16</v>
      </c>
      <c r="B839" s="9" t="s">
        <v>129</v>
      </c>
      <c r="C839" s="6">
        <v>1</v>
      </c>
      <c r="D839" s="7" t="s">
        <v>166</v>
      </c>
      <c r="E839" s="49">
        <v>46337</v>
      </c>
      <c r="F839" s="49">
        <v>46343</v>
      </c>
      <c r="G839" s="24" t="s">
        <v>40</v>
      </c>
      <c r="H839" s="94">
        <v>0</v>
      </c>
    </row>
    <row r="840" spans="1:8">
      <c r="A840" s="7" t="s">
        <v>16</v>
      </c>
      <c r="B840" s="9" t="s">
        <v>130</v>
      </c>
      <c r="C840" s="6">
        <v>1</v>
      </c>
      <c r="D840" s="7" t="s">
        <v>166</v>
      </c>
      <c r="E840" s="49">
        <v>46337</v>
      </c>
      <c r="F840" s="49">
        <v>46343</v>
      </c>
      <c r="G840" s="24" t="s">
        <v>40</v>
      </c>
      <c r="H840" s="94">
        <v>0</v>
      </c>
    </row>
    <row r="841" spans="1:8">
      <c r="A841" s="7" t="s">
        <v>16</v>
      </c>
      <c r="B841" s="9" t="s">
        <v>131</v>
      </c>
      <c r="C841" s="6">
        <v>1</v>
      </c>
      <c r="D841" s="7" t="s">
        <v>166</v>
      </c>
      <c r="E841" s="49">
        <v>46337</v>
      </c>
      <c r="F841" s="49">
        <v>46343</v>
      </c>
      <c r="G841" s="24" t="s">
        <v>40</v>
      </c>
      <c r="H841" s="94">
        <v>0</v>
      </c>
    </row>
    <row r="842" spans="1:8">
      <c r="A842" s="7" t="s">
        <v>16</v>
      </c>
      <c r="B842" s="9" t="s">
        <v>132</v>
      </c>
      <c r="C842" s="6">
        <v>1</v>
      </c>
      <c r="D842" s="7" t="s">
        <v>166</v>
      </c>
      <c r="E842" s="49">
        <v>46337</v>
      </c>
      <c r="F842" s="49">
        <v>46343</v>
      </c>
      <c r="G842" s="24" t="s">
        <v>40</v>
      </c>
      <c r="H842" s="94">
        <v>0</v>
      </c>
    </row>
    <row r="843" spans="1:8">
      <c r="A843" s="7" t="s">
        <v>16</v>
      </c>
      <c r="B843" s="9" t="s">
        <v>133</v>
      </c>
      <c r="C843" s="6">
        <v>1</v>
      </c>
      <c r="D843" s="7" t="s">
        <v>166</v>
      </c>
      <c r="E843" s="49">
        <v>46337</v>
      </c>
      <c r="F843" s="49">
        <v>46343</v>
      </c>
      <c r="G843" s="24" t="s">
        <v>40</v>
      </c>
      <c r="H843" s="94">
        <v>0</v>
      </c>
    </row>
    <row r="844" spans="1:8">
      <c r="A844" s="7" t="s">
        <v>16</v>
      </c>
      <c r="B844" s="9" t="s">
        <v>134</v>
      </c>
      <c r="C844" s="6">
        <v>1</v>
      </c>
      <c r="D844" s="7" t="s">
        <v>166</v>
      </c>
      <c r="E844" s="49">
        <v>46337</v>
      </c>
      <c r="F844" s="49">
        <v>46343</v>
      </c>
      <c r="G844" s="24" t="s">
        <v>40</v>
      </c>
      <c r="H844" s="94">
        <v>0</v>
      </c>
    </row>
    <row r="845" spans="1:8">
      <c r="A845" s="7" t="s">
        <v>16</v>
      </c>
      <c r="B845" s="9" t="s">
        <v>135</v>
      </c>
      <c r="C845" s="6">
        <v>1</v>
      </c>
      <c r="D845" s="7" t="s">
        <v>166</v>
      </c>
      <c r="E845" s="49">
        <v>46337</v>
      </c>
      <c r="F845" s="49">
        <v>46343</v>
      </c>
      <c r="G845" s="24" t="s">
        <v>40</v>
      </c>
      <c r="H845" s="94">
        <v>0</v>
      </c>
    </row>
    <row r="846" spans="1:8">
      <c r="A846" s="7" t="s">
        <v>16</v>
      </c>
      <c r="B846" s="9" t="s">
        <v>136</v>
      </c>
      <c r="C846" s="6">
        <v>1</v>
      </c>
      <c r="D846" s="7" t="s">
        <v>166</v>
      </c>
      <c r="E846" s="49">
        <v>46337</v>
      </c>
      <c r="F846" s="49">
        <v>46343</v>
      </c>
      <c r="G846" s="24" t="s">
        <v>40</v>
      </c>
      <c r="H846" s="94">
        <v>0</v>
      </c>
    </row>
    <row r="847" spans="1:8">
      <c r="A847" s="7" t="s">
        <v>16</v>
      </c>
      <c r="B847" s="9" t="s">
        <v>137</v>
      </c>
      <c r="C847" s="6">
        <v>1</v>
      </c>
      <c r="D847" s="7" t="s">
        <v>166</v>
      </c>
      <c r="E847" s="49">
        <v>46337</v>
      </c>
      <c r="F847" s="49">
        <v>46343</v>
      </c>
      <c r="G847" s="24" t="s">
        <v>40</v>
      </c>
      <c r="H847" s="94">
        <v>0</v>
      </c>
    </row>
    <row r="848" spans="1:8">
      <c r="A848" s="7" t="s">
        <v>16</v>
      </c>
      <c r="B848" s="9" t="s">
        <v>138</v>
      </c>
      <c r="C848" s="6">
        <v>1</v>
      </c>
      <c r="D848" s="7" t="s">
        <v>166</v>
      </c>
      <c r="E848" s="49">
        <v>46337</v>
      </c>
      <c r="F848" s="49">
        <v>46343</v>
      </c>
      <c r="G848" s="24" t="s">
        <v>40</v>
      </c>
      <c r="H848" s="94">
        <v>0</v>
      </c>
    </row>
    <row r="849" spans="1:8">
      <c r="A849" s="7" t="s">
        <v>16</v>
      </c>
      <c r="B849" s="9" t="s">
        <v>139</v>
      </c>
      <c r="C849" s="6">
        <v>1</v>
      </c>
      <c r="D849" s="7" t="s">
        <v>166</v>
      </c>
      <c r="E849" s="49">
        <v>46337</v>
      </c>
      <c r="F849" s="49">
        <v>46343</v>
      </c>
      <c r="G849" s="24" t="s">
        <v>40</v>
      </c>
      <c r="H849" s="94">
        <v>0</v>
      </c>
    </row>
    <row r="850" spans="1:8">
      <c r="A850" s="7" t="s">
        <v>16</v>
      </c>
      <c r="B850" s="9" t="s">
        <v>140</v>
      </c>
      <c r="C850" s="6">
        <v>1</v>
      </c>
      <c r="D850" s="7" t="s">
        <v>166</v>
      </c>
      <c r="E850" s="49">
        <v>46337</v>
      </c>
      <c r="F850" s="49">
        <v>46343</v>
      </c>
      <c r="G850" s="24" t="s">
        <v>40</v>
      </c>
      <c r="H850" s="94">
        <v>0</v>
      </c>
    </row>
    <row r="851" spans="1:8">
      <c r="A851" s="7" t="s">
        <v>16</v>
      </c>
      <c r="B851" s="9" t="s">
        <v>141</v>
      </c>
      <c r="C851" s="6">
        <v>1</v>
      </c>
      <c r="D851" s="7" t="s">
        <v>166</v>
      </c>
      <c r="E851" s="49">
        <v>46337</v>
      </c>
      <c r="F851" s="49">
        <v>46343</v>
      </c>
      <c r="G851" s="24" t="s">
        <v>40</v>
      </c>
      <c r="H851" s="94">
        <v>0</v>
      </c>
    </row>
    <row r="852" spans="1:8">
      <c r="A852" s="7" t="s">
        <v>16</v>
      </c>
      <c r="B852" s="9" t="s">
        <v>142</v>
      </c>
      <c r="C852" s="6">
        <v>1</v>
      </c>
      <c r="D852" s="7" t="s">
        <v>166</v>
      </c>
      <c r="E852" s="49">
        <v>46337</v>
      </c>
      <c r="F852" s="49">
        <v>46343</v>
      </c>
      <c r="G852" s="24" t="s">
        <v>40</v>
      </c>
      <c r="H852" s="94">
        <v>0</v>
      </c>
    </row>
    <row r="853" spans="1:8">
      <c r="A853" s="7" t="s">
        <v>16</v>
      </c>
      <c r="B853" s="9" t="s">
        <v>143</v>
      </c>
      <c r="C853" s="6">
        <v>1</v>
      </c>
      <c r="D853" s="7" t="s">
        <v>166</v>
      </c>
      <c r="E853" s="49">
        <v>46337</v>
      </c>
      <c r="F853" s="49">
        <v>46343</v>
      </c>
      <c r="G853" s="24" t="s">
        <v>40</v>
      </c>
      <c r="H853" s="94">
        <v>0</v>
      </c>
    </row>
    <row r="854" spans="1:8">
      <c r="A854" s="7" t="s">
        <v>16</v>
      </c>
      <c r="B854" s="9" t="s">
        <v>144</v>
      </c>
      <c r="C854" s="6">
        <v>1</v>
      </c>
      <c r="D854" s="7" t="s">
        <v>166</v>
      </c>
      <c r="E854" s="49">
        <v>46337</v>
      </c>
      <c r="F854" s="49">
        <v>46343</v>
      </c>
      <c r="G854" s="24" t="s">
        <v>40</v>
      </c>
      <c r="H854" s="94">
        <v>0</v>
      </c>
    </row>
    <row r="855" spans="1:8">
      <c r="A855" s="7" t="s">
        <v>16</v>
      </c>
      <c r="B855" s="9" t="s">
        <v>145</v>
      </c>
      <c r="C855" s="6">
        <v>1</v>
      </c>
      <c r="D855" s="7" t="s">
        <v>166</v>
      </c>
      <c r="E855" s="49">
        <v>46337</v>
      </c>
      <c r="F855" s="49">
        <v>46343</v>
      </c>
      <c r="G855" s="24" t="s">
        <v>40</v>
      </c>
      <c r="H855" s="94">
        <v>0</v>
      </c>
    </row>
    <row r="856" spans="1:8">
      <c r="A856" s="7" t="s">
        <v>16</v>
      </c>
      <c r="B856" s="9" t="s">
        <v>146</v>
      </c>
      <c r="C856" s="6">
        <v>1</v>
      </c>
      <c r="D856" s="7" t="s">
        <v>166</v>
      </c>
      <c r="E856" s="49">
        <v>46337</v>
      </c>
      <c r="F856" s="49">
        <v>46343</v>
      </c>
      <c r="G856" s="24" t="s">
        <v>40</v>
      </c>
      <c r="H856" s="94">
        <v>0</v>
      </c>
    </row>
    <row r="857" spans="1:8">
      <c r="A857" s="7" t="s">
        <v>16</v>
      </c>
      <c r="B857" s="9" t="s">
        <v>147</v>
      </c>
      <c r="C857" s="6">
        <v>1</v>
      </c>
      <c r="D857" s="7" t="s">
        <v>166</v>
      </c>
      <c r="E857" s="49">
        <v>46337</v>
      </c>
      <c r="F857" s="49">
        <v>46343</v>
      </c>
      <c r="G857" s="24" t="s">
        <v>40</v>
      </c>
      <c r="H857" s="94">
        <v>0</v>
      </c>
    </row>
    <row r="858" spans="1:8">
      <c r="A858" s="7" t="s">
        <v>16</v>
      </c>
      <c r="B858" s="9" t="s">
        <v>148</v>
      </c>
      <c r="C858" s="6">
        <v>1</v>
      </c>
      <c r="D858" s="7" t="s">
        <v>166</v>
      </c>
      <c r="E858" s="49">
        <v>46337</v>
      </c>
      <c r="F858" s="49">
        <v>46343</v>
      </c>
      <c r="G858" s="24" t="s">
        <v>40</v>
      </c>
      <c r="H858" s="94">
        <v>0</v>
      </c>
    </row>
    <row r="859" spans="1:8">
      <c r="A859" s="7" t="s">
        <v>16</v>
      </c>
      <c r="B859" s="9" t="s">
        <v>149</v>
      </c>
      <c r="C859" s="6">
        <v>1</v>
      </c>
      <c r="D859" s="7" t="s">
        <v>166</v>
      </c>
      <c r="E859" s="49">
        <v>46337</v>
      </c>
      <c r="F859" s="49">
        <v>46343</v>
      </c>
      <c r="G859" s="24" t="s">
        <v>40</v>
      </c>
      <c r="H859" s="94">
        <v>0</v>
      </c>
    </row>
    <row r="860" spans="1:8">
      <c r="A860" s="7" t="s">
        <v>16</v>
      </c>
      <c r="B860" s="9" t="s">
        <v>150</v>
      </c>
      <c r="C860" s="6">
        <v>1</v>
      </c>
      <c r="D860" s="7" t="s">
        <v>166</v>
      </c>
      <c r="E860" s="49">
        <v>46337</v>
      </c>
      <c r="F860" s="49">
        <v>46343</v>
      </c>
      <c r="G860" s="24" t="s">
        <v>40</v>
      </c>
      <c r="H860" s="94">
        <v>0</v>
      </c>
    </row>
    <row r="861" spans="1:8">
      <c r="A861" s="7" t="s">
        <v>16</v>
      </c>
      <c r="B861" s="9" t="s">
        <v>151</v>
      </c>
      <c r="C861" s="6">
        <v>1</v>
      </c>
      <c r="D861" s="7" t="s">
        <v>166</v>
      </c>
      <c r="E861" s="49">
        <v>46337</v>
      </c>
      <c r="F861" s="49">
        <v>46343</v>
      </c>
      <c r="G861" s="24" t="s">
        <v>40</v>
      </c>
      <c r="H861" s="94">
        <v>0</v>
      </c>
    </row>
    <row r="862" spans="1:8">
      <c r="A862" s="7" t="s">
        <v>16</v>
      </c>
      <c r="B862" s="9" t="s">
        <v>152</v>
      </c>
      <c r="C862" s="6">
        <v>1</v>
      </c>
      <c r="D862" s="7" t="s">
        <v>166</v>
      </c>
      <c r="E862" s="49">
        <v>46337</v>
      </c>
      <c r="F862" s="49">
        <v>46343</v>
      </c>
      <c r="G862" s="24" t="s">
        <v>40</v>
      </c>
      <c r="H862" s="94">
        <v>0</v>
      </c>
    </row>
    <row r="863" spans="1:8">
      <c r="A863" s="7" t="s">
        <v>16</v>
      </c>
      <c r="B863" s="9" t="s">
        <v>153</v>
      </c>
      <c r="C863" s="6">
        <v>1</v>
      </c>
      <c r="D863" s="7" t="s">
        <v>166</v>
      </c>
      <c r="E863" s="49">
        <v>46337</v>
      </c>
      <c r="F863" s="49">
        <v>46343</v>
      </c>
      <c r="G863" s="24" t="s">
        <v>40</v>
      </c>
      <c r="H863" s="94">
        <v>0</v>
      </c>
    </row>
    <row r="864" spans="1:8">
      <c r="A864" s="7" t="s">
        <v>16</v>
      </c>
      <c r="B864" s="9" t="s">
        <v>154</v>
      </c>
      <c r="C864" s="6">
        <v>1</v>
      </c>
      <c r="D864" s="7" t="s">
        <v>166</v>
      </c>
      <c r="E864" s="49">
        <v>46337</v>
      </c>
      <c r="F864" s="49">
        <v>46343</v>
      </c>
      <c r="G864" s="24" t="s">
        <v>40</v>
      </c>
      <c r="H864" s="94">
        <v>0</v>
      </c>
    </row>
    <row r="865" spans="1:8">
      <c r="A865" s="7" t="s">
        <v>16</v>
      </c>
      <c r="B865" s="9" t="s">
        <v>155</v>
      </c>
      <c r="C865" s="6">
        <v>1</v>
      </c>
      <c r="D865" s="7" t="s">
        <v>166</v>
      </c>
      <c r="E865" s="49">
        <v>46337</v>
      </c>
      <c r="F865" s="49">
        <v>46343</v>
      </c>
      <c r="G865" s="24" t="s">
        <v>40</v>
      </c>
      <c r="H865" s="94">
        <v>0</v>
      </c>
    </row>
    <row r="866" spans="1:8">
      <c r="A866" s="7" t="s">
        <v>16</v>
      </c>
      <c r="B866" s="9" t="s">
        <v>156</v>
      </c>
      <c r="C866" s="6">
        <v>1</v>
      </c>
      <c r="D866" s="7" t="s">
        <v>166</v>
      </c>
      <c r="E866" s="49">
        <v>46337</v>
      </c>
      <c r="F866" s="49">
        <v>46343</v>
      </c>
      <c r="G866" s="24" t="s">
        <v>40</v>
      </c>
      <c r="H866" s="94">
        <v>0</v>
      </c>
    </row>
    <row r="867" spans="1:8">
      <c r="A867" s="7" t="s">
        <v>16</v>
      </c>
      <c r="B867" s="9" t="s">
        <v>157</v>
      </c>
      <c r="C867" s="6">
        <v>1</v>
      </c>
      <c r="D867" s="7" t="s">
        <v>166</v>
      </c>
      <c r="E867" s="49">
        <v>46337</v>
      </c>
      <c r="F867" s="49">
        <v>46343</v>
      </c>
      <c r="G867" s="24" t="s">
        <v>40</v>
      </c>
      <c r="H867" s="94">
        <v>0</v>
      </c>
    </row>
    <row r="868" spans="1:8">
      <c r="A868" s="7" t="s">
        <v>16</v>
      </c>
      <c r="B868" s="9" t="s">
        <v>158</v>
      </c>
      <c r="C868" s="6">
        <v>1</v>
      </c>
      <c r="D868" s="7" t="s">
        <v>166</v>
      </c>
      <c r="E868" s="49">
        <v>46337</v>
      </c>
      <c r="F868" s="49">
        <v>46343</v>
      </c>
      <c r="G868" s="24" t="s">
        <v>40</v>
      </c>
      <c r="H868" s="94">
        <v>0</v>
      </c>
    </row>
    <row r="869" spans="1:8">
      <c r="A869" s="7" t="s">
        <v>16</v>
      </c>
      <c r="B869" s="9" t="s">
        <v>159</v>
      </c>
      <c r="C869" s="6">
        <v>1</v>
      </c>
      <c r="D869" s="7" t="s">
        <v>166</v>
      </c>
      <c r="E869" s="49">
        <v>46337</v>
      </c>
      <c r="F869" s="49">
        <v>46343</v>
      </c>
      <c r="G869" s="24" t="s">
        <v>40</v>
      </c>
      <c r="H869" s="9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48D3-EDE2-4C07-B03E-62535B4E632E}">
  <dimension ref="A3:E12"/>
  <sheetViews>
    <sheetView workbookViewId="0">
      <selection activeCell="B9" sqref="B9"/>
    </sheetView>
  </sheetViews>
  <sheetFormatPr defaultRowHeight="14.45"/>
  <cols>
    <col min="1" max="1" width="16.7109375" bestFit="1" customWidth="1"/>
    <col min="2" max="2" width="15.5703125" bestFit="1" customWidth="1"/>
    <col min="3" max="3" width="9" bestFit="1" customWidth="1"/>
    <col min="4" max="4" width="10.140625" bestFit="1" customWidth="1"/>
    <col min="5" max="5" width="10.42578125" bestFit="1" customWidth="1"/>
    <col min="6" max="6" width="11.85546875" bestFit="1" customWidth="1"/>
    <col min="7" max="7" width="1.85546875" bestFit="1" customWidth="1"/>
    <col min="8" max="8" width="14.7109375" bestFit="1" customWidth="1"/>
    <col min="9" max="9" width="10.42578125" bestFit="1" customWidth="1"/>
    <col min="10" max="10" width="9.28515625" bestFit="1" customWidth="1"/>
    <col min="11" max="11" width="8.28515625" bestFit="1" customWidth="1"/>
    <col min="12" max="12" width="10.28515625" bestFit="1" customWidth="1"/>
    <col min="13" max="13" width="10.42578125" bestFit="1" customWidth="1"/>
    <col min="14" max="15" width="9.28515625" bestFit="1" customWidth="1"/>
    <col min="16" max="16" width="10.28515625" bestFit="1" customWidth="1"/>
    <col min="17" max="17" width="14.7109375" bestFit="1" customWidth="1"/>
    <col min="18" max="18" width="10.42578125" bestFit="1" customWidth="1"/>
    <col min="19" max="19" width="11" bestFit="1" customWidth="1"/>
    <col min="20" max="20" width="13.85546875" bestFit="1" customWidth="1"/>
    <col min="21" max="21" width="10" bestFit="1" customWidth="1"/>
    <col min="22" max="22" width="12.7109375" bestFit="1" customWidth="1"/>
    <col min="23" max="23" width="12" bestFit="1" customWidth="1"/>
    <col min="24" max="24" width="14.85546875" bestFit="1" customWidth="1"/>
    <col min="25" max="25" width="10.42578125" bestFit="1" customWidth="1"/>
    <col min="26" max="26" width="11.28515625" bestFit="1" customWidth="1"/>
    <col min="27" max="27" width="10.42578125" bestFit="1" customWidth="1"/>
  </cols>
  <sheetData>
    <row r="3" spans="1:5">
      <c r="A3" s="55" t="s">
        <v>167</v>
      </c>
      <c r="B3" s="55" t="s">
        <v>168</v>
      </c>
    </row>
    <row r="4" spans="1:5">
      <c r="A4" s="55" t="s">
        <v>169</v>
      </c>
      <c r="B4" t="s">
        <v>165</v>
      </c>
      <c r="C4" t="s">
        <v>34</v>
      </c>
      <c r="D4" t="s">
        <v>40</v>
      </c>
      <c r="E4" t="s">
        <v>170</v>
      </c>
    </row>
    <row r="5" spans="1:5">
      <c r="A5" s="56" t="s">
        <v>160</v>
      </c>
      <c r="C5">
        <v>5</v>
      </c>
      <c r="D5">
        <v>119</v>
      </c>
      <c r="E5">
        <v>124</v>
      </c>
    </row>
    <row r="6" spans="1:5">
      <c r="A6" s="56" t="s">
        <v>161</v>
      </c>
      <c r="D6">
        <v>124</v>
      </c>
      <c r="E6">
        <v>124</v>
      </c>
    </row>
    <row r="7" spans="1:5">
      <c r="A7" s="56" t="s">
        <v>162</v>
      </c>
      <c r="D7">
        <v>124</v>
      </c>
      <c r="E7">
        <v>124</v>
      </c>
    </row>
    <row r="8" spans="1:5">
      <c r="A8" s="56" t="s">
        <v>164</v>
      </c>
      <c r="B8">
        <v>124</v>
      </c>
      <c r="E8">
        <v>124</v>
      </c>
    </row>
    <row r="9" spans="1:5">
      <c r="A9" s="56" t="s">
        <v>166</v>
      </c>
      <c r="D9">
        <v>124</v>
      </c>
      <c r="E9">
        <v>124</v>
      </c>
    </row>
    <row r="10" spans="1:5">
      <c r="A10" s="56" t="s">
        <v>163</v>
      </c>
      <c r="D10">
        <v>124</v>
      </c>
      <c r="E10">
        <v>124</v>
      </c>
    </row>
    <row r="11" spans="1:5">
      <c r="A11" s="56" t="s">
        <v>33</v>
      </c>
      <c r="C11">
        <v>5</v>
      </c>
      <c r="D11">
        <v>119</v>
      </c>
      <c r="E11">
        <v>124</v>
      </c>
    </row>
    <row r="12" spans="1:5">
      <c r="A12" s="56" t="s">
        <v>170</v>
      </c>
      <c r="B12">
        <v>124</v>
      </c>
      <c r="C12">
        <v>10</v>
      </c>
      <c r="D12">
        <v>734</v>
      </c>
      <c r="E12">
        <v>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04F0-319A-4F89-9E9C-012D946E920A}">
  <dimension ref="B2:F11"/>
  <sheetViews>
    <sheetView workbookViewId="0">
      <selection activeCell="F10" sqref="F10"/>
    </sheetView>
  </sheetViews>
  <sheetFormatPr defaultRowHeight="14.45"/>
  <cols>
    <col min="2" max="2" width="16.7109375" bestFit="1" customWidth="1"/>
    <col min="3" max="3" width="13" customWidth="1"/>
    <col min="4" max="4" width="16.42578125" customWidth="1"/>
    <col min="5" max="5" width="14.42578125" customWidth="1"/>
    <col min="6" max="6" width="15.5703125" customWidth="1"/>
  </cols>
  <sheetData>
    <row r="2" spans="2:6" ht="18.95" thickBot="1">
      <c r="B2" s="64" t="s">
        <v>171</v>
      </c>
      <c r="C2" s="70"/>
      <c r="D2" s="71"/>
      <c r="E2" s="71"/>
      <c r="F2" s="71"/>
    </row>
    <row r="3" spans="2:6" ht="15" thickBot="1">
      <c r="B3" s="76" t="s">
        <v>172</v>
      </c>
      <c r="C3" s="77" t="s">
        <v>173</v>
      </c>
      <c r="D3" s="77" t="s">
        <v>174</v>
      </c>
      <c r="E3" s="77" t="s">
        <v>34</v>
      </c>
      <c r="F3" s="77" t="s">
        <v>175</v>
      </c>
    </row>
    <row r="4" spans="2:6" ht="15" thickBot="1">
      <c r="B4" s="81" t="s">
        <v>176</v>
      </c>
      <c r="C4" s="74">
        <v>0.1</v>
      </c>
      <c r="D4" s="73">
        <f>'CP40'!C138+'CP41'!C125+'CP42'!C46+'CP50'!C125+'CP51'!C222</f>
        <v>59.800000000000011</v>
      </c>
      <c r="E4" s="73">
        <f>'CP40'!D138+'CP41'!D125+'CP42'!D46+'CP50'!D125+'CP51'!D222</f>
        <v>23.094999999999999</v>
      </c>
      <c r="F4" s="75">
        <f t="shared" ref="F4:F11" si="0">E4/D4</f>
        <v>0.38620401337792631</v>
      </c>
    </row>
    <row r="5" spans="2:6" ht="15" thickBot="1">
      <c r="B5" s="287" t="s">
        <v>177</v>
      </c>
      <c r="C5" s="74">
        <v>0.3</v>
      </c>
      <c r="D5" s="73">
        <f>'CP40'!C139+'CP41'!C126+'CP42'!C47+'CP50'!C126+'CP51'!C223</f>
        <v>179.39999999999998</v>
      </c>
      <c r="E5" s="73">
        <f>'CP40'!D139+'CP41'!D126+'CP42'!D47+'CP50'!D126+'CP51'!D223</f>
        <v>41.069999999999993</v>
      </c>
      <c r="F5" s="75">
        <f t="shared" si="0"/>
        <v>0.22892976588628761</v>
      </c>
    </row>
    <row r="6" spans="2:6" ht="15" thickBot="1">
      <c r="B6" s="81" t="s">
        <v>178</v>
      </c>
      <c r="C6" s="74">
        <v>0.1</v>
      </c>
      <c r="D6" s="73">
        <f>'CP40'!C140+'CP41'!C127+'CP42'!C48+'CP50'!C127+'CP51'!C224</f>
        <v>59.800000000000011</v>
      </c>
      <c r="E6" s="73">
        <f>'CP40'!D140+'CP41'!D127+'CP42'!D48+'CP50'!D127+'CP51'!D224</f>
        <v>10.170000000000002</v>
      </c>
      <c r="F6" s="75">
        <f t="shared" si="0"/>
        <v>0.17006688963210703</v>
      </c>
    </row>
    <row r="7" spans="2:6" ht="15" thickBot="1">
      <c r="B7" s="81" t="s">
        <v>161</v>
      </c>
      <c r="C7" s="74">
        <v>0.2</v>
      </c>
      <c r="D7" s="73">
        <f>'CP40'!C141+'CP41'!C128+'CP42'!C49+'CP50'!C128+'CP51'!C225</f>
        <v>119.60000000000002</v>
      </c>
      <c r="E7" s="73">
        <f>'CP40'!D141+'CP41'!D128+'CP42'!D49+'CP50'!D128+'CP51'!D225</f>
        <v>20.14</v>
      </c>
      <c r="F7" s="75">
        <f t="shared" si="0"/>
        <v>0.16839464882943142</v>
      </c>
    </row>
    <row r="8" spans="2:6" ht="15" thickBot="1">
      <c r="B8" s="81" t="s">
        <v>162</v>
      </c>
      <c r="C8" s="74">
        <v>0.05</v>
      </c>
      <c r="D8" s="73">
        <f>'CP40'!C142+'CP41'!C129+'CP42'!C50+'CP50'!C129+'CP51'!C226</f>
        <v>29.900000000000006</v>
      </c>
      <c r="E8" s="73">
        <f>'CP40'!D142+'CP41'!D129+'CP42'!D50+'CP50'!D129+'CP51'!D226</f>
        <v>3.6700000000000008</v>
      </c>
      <c r="F8" s="75">
        <f t="shared" si="0"/>
        <v>0.12274247491638797</v>
      </c>
    </row>
    <row r="9" spans="2:6" ht="15" thickBot="1">
      <c r="B9" s="81" t="s">
        <v>163</v>
      </c>
      <c r="C9" s="74">
        <v>0.2</v>
      </c>
      <c r="D9" s="73">
        <f>'CP40'!C143+'CP41'!C130+'CP42'!C51+'CP50'!C130+'CP51'!C227</f>
        <v>119.60000000000002</v>
      </c>
      <c r="E9" s="73">
        <f>'CP40'!D143+'CP41'!D130+'CP42'!D51+'CP50'!D130+'CP51'!D227</f>
        <v>17.662500000000001</v>
      </c>
      <c r="F9" s="75">
        <f t="shared" si="0"/>
        <v>0.14767976588628762</v>
      </c>
    </row>
    <row r="10" spans="2:6" ht="15" thickBot="1">
      <c r="B10" s="81" t="s">
        <v>164</v>
      </c>
      <c r="C10" s="74">
        <v>0.05</v>
      </c>
      <c r="D10" s="73">
        <f>'CP40'!C144+'CP41'!C131+'CP42'!C52+'CP50'!C131+'CP51'!C228</f>
        <v>29.900000000000006</v>
      </c>
      <c r="E10" s="73">
        <f>'CP40'!D144+'CP41'!D131+'CP42'!D52+'CP50'!D131+'CP51'!D228</f>
        <v>6.7</v>
      </c>
      <c r="F10" s="75">
        <f t="shared" si="0"/>
        <v>0.22408026755852839</v>
      </c>
    </row>
    <row r="11" spans="2:6" ht="15" thickBot="1">
      <c r="B11" s="78" t="s">
        <v>179</v>
      </c>
      <c r="C11" s="79">
        <f>SUM(C4:C10)</f>
        <v>1</v>
      </c>
      <c r="D11" s="78">
        <f>SUM(D4:D10)</f>
        <v>598</v>
      </c>
      <c r="E11" s="78">
        <f>SUM(E4:E10)</f>
        <v>122.50750000000001</v>
      </c>
      <c r="F11" s="80">
        <f t="shared" si="0"/>
        <v>0.20486204013377929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1C6D-9FEC-4747-8349-292C41BA9C6E}">
  <dimension ref="A1:AQ169"/>
  <sheetViews>
    <sheetView zoomScale="120" zoomScaleNormal="120" workbookViewId="0">
      <pane xSplit="3" ySplit="2" topLeftCell="Q121" activePane="bottomRight" state="frozen"/>
      <selection pane="bottomRight" activeCell="Z133" sqref="Z133"/>
      <selection pane="bottomLeft" activeCell="A3" sqref="A3"/>
      <selection pane="topRight" activeCell="D1" sqref="D1"/>
    </sheetView>
  </sheetViews>
  <sheetFormatPr defaultColWidth="8.7109375" defaultRowHeight="14.45"/>
  <cols>
    <col min="1" max="1" width="15.28515625" style="2" bestFit="1" customWidth="1"/>
    <col min="2" max="2" width="16.42578125" style="41" bestFit="1" customWidth="1"/>
    <col min="3" max="3" width="14.140625" style="2" bestFit="1" customWidth="1"/>
    <col min="4" max="5" width="15.5703125" style="2" customWidth="1"/>
    <col min="6" max="6" width="15.5703125" style="11" customWidth="1"/>
    <col min="7" max="7" width="46" style="127" bestFit="1" customWidth="1"/>
    <col min="8" max="11" width="15.5703125" style="2" customWidth="1"/>
    <col min="12" max="12" width="46.28515625" style="2" bestFit="1" customWidth="1"/>
    <col min="13" max="15" width="15.5703125" style="2" customWidth="1"/>
    <col min="16" max="16" width="19.5703125" style="2" customWidth="1"/>
    <col min="17" max="17" width="49.28515625" style="127" customWidth="1"/>
    <col min="18" max="21" width="15.5703125" style="2" customWidth="1"/>
    <col min="22" max="22" width="46.28515625" style="2" customWidth="1"/>
    <col min="23" max="26" width="15.5703125" style="2" customWidth="1"/>
    <col min="27" max="27" width="43.7109375" style="127" bestFit="1" customWidth="1"/>
    <col min="28" max="31" width="15.5703125" style="2" customWidth="1"/>
    <col min="32" max="32" width="39.5703125" style="2" bestFit="1" customWidth="1"/>
    <col min="33" max="36" width="15.5703125" style="2" customWidth="1"/>
    <col min="37" max="37" width="39.5703125" style="134" bestFit="1" customWidth="1"/>
    <col min="38" max="38" width="15.5703125" style="2" customWidth="1"/>
    <col min="39" max="42" width="15.5703125" style="2" hidden="1" customWidth="1"/>
    <col min="43" max="16384" width="8.7109375" style="2"/>
  </cols>
  <sheetData>
    <row r="1" spans="1:43" ht="18.600000000000001">
      <c r="A1" s="25" t="s">
        <v>1</v>
      </c>
      <c r="B1" s="26" t="s">
        <v>25</v>
      </c>
      <c r="C1" s="26" t="s">
        <v>26</v>
      </c>
      <c r="D1" s="505" t="s">
        <v>180</v>
      </c>
      <c r="E1" s="506"/>
      <c r="F1" s="506"/>
      <c r="G1" s="506"/>
      <c r="H1" s="507"/>
      <c r="I1" s="520" t="s">
        <v>181</v>
      </c>
      <c r="J1" s="521"/>
      <c r="K1" s="521"/>
      <c r="L1" s="521"/>
      <c r="M1" s="522"/>
      <c r="N1" s="502" t="s">
        <v>182</v>
      </c>
      <c r="O1" s="503"/>
      <c r="P1" s="503"/>
      <c r="Q1" s="503"/>
      <c r="R1" s="504"/>
      <c r="S1" s="508" t="s">
        <v>183</v>
      </c>
      <c r="T1" s="509"/>
      <c r="U1" s="509"/>
      <c r="V1" s="509"/>
      <c r="W1" s="510"/>
      <c r="X1" s="511" t="s">
        <v>184</v>
      </c>
      <c r="Y1" s="512"/>
      <c r="Z1" s="512"/>
      <c r="AA1" s="512"/>
      <c r="AB1" s="513"/>
      <c r="AC1" s="517" t="s">
        <v>185</v>
      </c>
      <c r="AD1" s="518"/>
      <c r="AE1" s="518"/>
      <c r="AF1" s="518"/>
      <c r="AG1" s="519"/>
      <c r="AH1" s="514" t="s">
        <v>186</v>
      </c>
      <c r="AI1" s="515"/>
      <c r="AJ1" s="515"/>
      <c r="AK1" s="515"/>
      <c r="AL1" s="516"/>
      <c r="AM1" s="502" t="s">
        <v>166</v>
      </c>
      <c r="AN1" s="503"/>
      <c r="AO1" s="503"/>
      <c r="AP1" s="504"/>
      <c r="AQ1" s="8"/>
    </row>
    <row r="2" spans="1:43" ht="15.95">
      <c r="A2" s="3"/>
      <c r="B2" s="3"/>
      <c r="C2" s="3"/>
      <c r="D2" s="33" t="s">
        <v>28</v>
      </c>
      <c r="E2" s="33" t="s">
        <v>29</v>
      </c>
      <c r="F2" s="33" t="s">
        <v>30</v>
      </c>
      <c r="G2" s="110" t="s">
        <v>187</v>
      </c>
      <c r="H2" s="33" t="s">
        <v>31</v>
      </c>
      <c r="I2" s="27" t="s">
        <v>28</v>
      </c>
      <c r="J2" s="27" t="s">
        <v>29</v>
      </c>
      <c r="K2" s="27" t="s">
        <v>30</v>
      </c>
      <c r="L2" s="129" t="s">
        <v>187</v>
      </c>
      <c r="M2" s="27" t="s">
        <v>31</v>
      </c>
      <c r="N2" s="32" t="s">
        <v>28</v>
      </c>
      <c r="O2" s="32" t="s">
        <v>29</v>
      </c>
      <c r="P2" s="32" t="s">
        <v>30</v>
      </c>
      <c r="Q2" s="269" t="s">
        <v>187</v>
      </c>
      <c r="R2" s="32" t="s">
        <v>31</v>
      </c>
      <c r="S2" s="28" t="s">
        <v>28</v>
      </c>
      <c r="T2" s="28" t="s">
        <v>29</v>
      </c>
      <c r="U2" s="28" t="s">
        <v>30</v>
      </c>
      <c r="V2" s="28" t="s">
        <v>187</v>
      </c>
      <c r="W2" s="28" t="s">
        <v>31</v>
      </c>
      <c r="X2" s="29" t="s">
        <v>28</v>
      </c>
      <c r="Y2" s="29" t="s">
        <v>29</v>
      </c>
      <c r="Z2" s="29" t="s">
        <v>30</v>
      </c>
      <c r="AA2" s="131" t="s">
        <v>187</v>
      </c>
      <c r="AB2" s="29" t="s">
        <v>31</v>
      </c>
      <c r="AC2" s="30" t="s">
        <v>28</v>
      </c>
      <c r="AD2" s="30" t="s">
        <v>29</v>
      </c>
      <c r="AE2" s="30" t="s">
        <v>30</v>
      </c>
      <c r="AF2" s="30" t="s">
        <v>187</v>
      </c>
      <c r="AG2" s="30" t="s">
        <v>31</v>
      </c>
      <c r="AH2" s="31" t="s">
        <v>28</v>
      </c>
      <c r="AI2" s="31" t="s">
        <v>29</v>
      </c>
      <c r="AJ2" s="31" t="s">
        <v>30</v>
      </c>
      <c r="AK2" s="31" t="s">
        <v>187</v>
      </c>
      <c r="AL2" s="53" t="s">
        <v>31</v>
      </c>
      <c r="AM2" s="32" t="s">
        <v>28</v>
      </c>
      <c r="AN2" s="32" t="s">
        <v>29</v>
      </c>
      <c r="AO2" s="32" t="s">
        <v>30</v>
      </c>
      <c r="AP2" s="32" t="s">
        <v>31</v>
      </c>
      <c r="AQ2" s="8"/>
    </row>
    <row r="3" spans="1:43" s="436" customFormat="1" ht="15">
      <c r="A3" s="423" t="s">
        <v>16</v>
      </c>
      <c r="B3" s="424" t="s">
        <v>32</v>
      </c>
      <c r="C3" s="425">
        <v>1</v>
      </c>
      <c r="D3" s="426">
        <v>46146</v>
      </c>
      <c r="E3" s="426">
        <v>46157</v>
      </c>
      <c r="F3" s="435" t="s">
        <v>34</v>
      </c>
      <c r="G3" s="428" t="s">
        <v>188</v>
      </c>
      <c r="H3" s="429">
        <v>1</v>
      </c>
      <c r="I3" s="426">
        <v>46160</v>
      </c>
      <c r="J3" s="426">
        <v>46169</v>
      </c>
      <c r="K3" s="435" t="s">
        <v>40</v>
      </c>
      <c r="L3" s="430" t="s">
        <v>189</v>
      </c>
      <c r="M3" s="429">
        <v>0</v>
      </c>
      <c r="N3" s="426">
        <v>46160</v>
      </c>
      <c r="O3" s="426">
        <v>46169</v>
      </c>
      <c r="P3" s="435" t="s">
        <v>40</v>
      </c>
      <c r="Q3" s="430" t="s">
        <v>189</v>
      </c>
      <c r="R3" s="431">
        <v>1</v>
      </c>
      <c r="S3" s="432">
        <v>46198</v>
      </c>
      <c r="T3" s="432">
        <v>46207</v>
      </c>
      <c r="U3" s="427" t="s">
        <v>40</v>
      </c>
      <c r="V3" s="435" t="s">
        <v>189</v>
      </c>
      <c r="W3" s="429">
        <v>0</v>
      </c>
      <c r="X3" s="432">
        <v>46218</v>
      </c>
      <c r="Y3" s="432">
        <v>46222</v>
      </c>
      <c r="Z3" s="427" t="s">
        <v>40</v>
      </c>
      <c r="AA3" s="430" t="s">
        <v>189</v>
      </c>
      <c r="AB3" s="429">
        <v>0</v>
      </c>
      <c r="AC3" s="432">
        <v>46223</v>
      </c>
      <c r="AD3" s="432">
        <v>46232</v>
      </c>
      <c r="AE3" s="427" t="s">
        <v>40</v>
      </c>
      <c r="AF3" s="437" t="s">
        <v>189</v>
      </c>
      <c r="AG3" s="429">
        <v>0</v>
      </c>
      <c r="AH3" s="432">
        <v>46243</v>
      </c>
      <c r="AI3" s="432">
        <v>46250</v>
      </c>
      <c r="AJ3" s="434" t="s">
        <v>165</v>
      </c>
      <c r="AK3" s="435" t="s">
        <v>190</v>
      </c>
      <c r="AL3" s="429">
        <v>0</v>
      </c>
      <c r="AM3" s="432">
        <v>46337</v>
      </c>
      <c r="AN3" s="432">
        <v>46343</v>
      </c>
      <c r="AO3" s="427" t="s">
        <v>40</v>
      </c>
      <c r="AP3" s="429">
        <v>0</v>
      </c>
    </row>
    <row r="4" spans="1:43" s="436" customFormat="1" ht="15">
      <c r="A4" s="423" t="s">
        <v>16</v>
      </c>
      <c r="B4" s="424" t="s">
        <v>35</v>
      </c>
      <c r="C4" s="425">
        <v>1</v>
      </c>
      <c r="D4" s="426">
        <v>46146</v>
      </c>
      <c r="E4" s="426">
        <v>46157</v>
      </c>
      <c r="F4" s="427" t="s">
        <v>34</v>
      </c>
      <c r="G4" s="428" t="s">
        <v>188</v>
      </c>
      <c r="H4" s="429">
        <v>1</v>
      </c>
      <c r="I4" s="426">
        <v>46160</v>
      </c>
      <c r="J4" s="426">
        <v>46169</v>
      </c>
      <c r="K4" s="435" t="s">
        <v>40</v>
      </c>
      <c r="L4" s="430" t="s">
        <v>189</v>
      </c>
      <c r="M4" s="429">
        <v>0</v>
      </c>
      <c r="N4" s="426">
        <v>46160</v>
      </c>
      <c r="O4" s="426">
        <v>46169</v>
      </c>
      <c r="P4" s="435" t="s">
        <v>40</v>
      </c>
      <c r="Q4" s="430" t="s">
        <v>189</v>
      </c>
      <c r="R4" s="431">
        <v>1</v>
      </c>
      <c r="S4" s="432">
        <v>46198</v>
      </c>
      <c r="T4" s="432">
        <v>46207</v>
      </c>
      <c r="U4" s="427" t="s">
        <v>40</v>
      </c>
      <c r="V4" s="435" t="s">
        <v>189</v>
      </c>
      <c r="W4" s="429">
        <v>0</v>
      </c>
      <c r="X4" s="432">
        <v>46218</v>
      </c>
      <c r="Y4" s="432">
        <v>46222</v>
      </c>
      <c r="Z4" s="427" t="s">
        <v>40</v>
      </c>
      <c r="AA4" s="430" t="s">
        <v>189</v>
      </c>
      <c r="AB4" s="429">
        <v>0</v>
      </c>
      <c r="AC4" s="432">
        <v>46223</v>
      </c>
      <c r="AD4" s="432">
        <v>46232</v>
      </c>
      <c r="AE4" s="427" t="s">
        <v>40</v>
      </c>
      <c r="AF4" s="437" t="s">
        <v>189</v>
      </c>
      <c r="AG4" s="429">
        <v>0</v>
      </c>
      <c r="AH4" s="432">
        <v>46243</v>
      </c>
      <c r="AI4" s="432">
        <v>46250</v>
      </c>
      <c r="AJ4" s="434" t="s">
        <v>165</v>
      </c>
      <c r="AK4" s="435" t="s">
        <v>190</v>
      </c>
      <c r="AL4" s="429">
        <v>0</v>
      </c>
      <c r="AM4" s="432">
        <v>46337</v>
      </c>
      <c r="AN4" s="432">
        <v>46343</v>
      </c>
      <c r="AO4" s="427" t="s">
        <v>40</v>
      </c>
      <c r="AP4" s="429">
        <v>0</v>
      </c>
    </row>
    <row r="5" spans="1:43" ht="15">
      <c r="A5" s="7" t="s">
        <v>16</v>
      </c>
      <c r="B5" s="9" t="s">
        <v>36</v>
      </c>
      <c r="C5" s="6">
        <v>1</v>
      </c>
      <c r="D5" s="46">
        <v>46146</v>
      </c>
      <c r="E5" s="46">
        <v>46157</v>
      </c>
      <c r="F5" s="34" t="s">
        <v>34</v>
      </c>
      <c r="G5" s="382"/>
      <c r="H5" s="82">
        <v>1</v>
      </c>
      <c r="I5" s="47">
        <v>46160</v>
      </c>
      <c r="J5" s="47">
        <v>46169</v>
      </c>
      <c r="K5" s="13" t="s">
        <v>34</v>
      </c>
      <c r="L5" s="128" t="s">
        <v>191</v>
      </c>
      <c r="M5" s="84">
        <v>0.9</v>
      </c>
      <c r="N5" s="229">
        <v>46160</v>
      </c>
      <c r="O5" s="229">
        <v>46169</v>
      </c>
      <c r="P5" s="24" t="s">
        <v>34</v>
      </c>
      <c r="Q5" s="271" t="s">
        <v>191</v>
      </c>
      <c r="R5" s="385">
        <v>1</v>
      </c>
      <c r="S5" s="48">
        <v>46198</v>
      </c>
      <c r="T5" s="48">
        <v>46207</v>
      </c>
      <c r="U5" s="16" t="s">
        <v>40</v>
      </c>
      <c r="V5" s="65" t="s">
        <v>192</v>
      </c>
      <c r="W5" s="86">
        <v>0</v>
      </c>
      <c r="X5" s="52">
        <v>46218</v>
      </c>
      <c r="Y5" s="52">
        <v>46222</v>
      </c>
      <c r="Z5" s="87" t="s">
        <v>34</v>
      </c>
      <c r="AA5" s="132" t="s">
        <v>34</v>
      </c>
      <c r="AB5" s="89">
        <v>1</v>
      </c>
      <c r="AC5" s="51">
        <v>46223</v>
      </c>
      <c r="AD5" s="51">
        <v>46232</v>
      </c>
      <c r="AE5" s="22" t="s">
        <v>34</v>
      </c>
      <c r="AF5" s="101" t="s">
        <v>34</v>
      </c>
      <c r="AG5" s="91">
        <v>1</v>
      </c>
      <c r="AH5" s="50">
        <v>46243</v>
      </c>
      <c r="AI5" s="50">
        <v>46250</v>
      </c>
      <c r="AJ5" s="19" t="s">
        <v>34</v>
      </c>
      <c r="AK5" s="102" t="s">
        <v>190</v>
      </c>
      <c r="AL5" s="93">
        <v>1</v>
      </c>
      <c r="AM5" s="49">
        <v>46337</v>
      </c>
      <c r="AN5" s="49">
        <v>46343</v>
      </c>
      <c r="AO5" s="24" t="s">
        <v>40</v>
      </c>
      <c r="AP5" s="94">
        <v>0</v>
      </c>
    </row>
    <row r="6" spans="1:43" ht="15">
      <c r="A6" s="7" t="s">
        <v>16</v>
      </c>
      <c r="B6" s="9" t="s">
        <v>37</v>
      </c>
      <c r="C6" s="6">
        <v>1</v>
      </c>
      <c r="D6" s="46">
        <v>46146</v>
      </c>
      <c r="E6" s="46">
        <v>46157</v>
      </c>
      <c r="F6" s="34" t="s">
        <v>34</v>
      </c>
      <c r="G6" s="438" t="s">
        <v>193</v>
      </c>
      <c r="H6" s="82">
        <v>1</v>
      </c>
      <c r="I6" s="47">
        <v>46160</v>
      </c>
      <c r="J6" s="47">
        <v>46169</v>
      </c>
      <c r="K6" s="13" t="s">
        <v>34</v>
      </c>
      <c r="L6" s="128" t="s">
        <v>191</v>
      </c>
      <c r="M6" s="84">
        <v>0.9</v>
      </c>
      <c r="N6" s="229">
        <v>46160</v>
      </c>
      <c r="O6" s="229">
        <v>46169</v>
      </c>
      <c r="P6" s="24" t="s">
        <v>34</v>
      </c>
      <c r="Q6" s="271" t="s">
        <v>191</v>
      </c>
      <c r="R6" s="385">
        <v>1</v>
      </c>
      <c r="S6" s="48">
        <v>46198</v>
      </c>
      <c r="T6" s="48">
        <v>46207</v>
      </c>
      <c r="U6" s="16" t="s">
        <v>40</v>
      </c>
      <c r="V6" s="65" t="s">
        <v>192</v>
      </c>
      <c r="W6" s="86">
        <v>0</v>
      </c>
      <c r="X6" s="52">
        <v>46218</v>
      </c>
      <c r="Y6" s="52">
        <v>46222</v>
      </c>
      <c r="Z6" s="18" t="s">
        <v>34</v>
      </c>
      <c r="AA6" s="132" t="s">
        <v>34</v>
      </c>
      <c r="AB6" s="89">
        <v>1</v>
      </c>
      <c r="AC6" s="51">
        <v>46223</v>
      </c>
      <c r="AD6" s="51">
        <v>46232</v>
      </c>
      <c r="AE6" s="22" t="s">
        <v>34</v>
      </c>
      <c r="AF6" s="101" t="s">
        <v>34</v>
      </c>
      <c r="AG6" s="91">
        <v>1</v>
      </c>
      <c r="AH6" s="50">
        <v>46243</v>
      </c>
      <c r="AI6" s="50">
        <v>46250</v>
      </c>
      <c r="AJ6" s="19" t="s">
        <v>34</v>
      </c>
      <c r="AK6" s="102" t="s">
        <v>190</v>
      </c>
      <c r="AL6" s="93">
        <v>1</v>
      </c>
      <c r="AM6" s="49">
        <v>46337</v>
      </c>
      <c r="AN6" s="49">
        <v>46343</v>
      </c>
      <c r="AO6" s="24" t="s">
        <v>40</v>
      </c>
      <c r="AP6" s="94">
        <v>0</v>
      </c>
    </row>
    <row r="7" spans="1:43" ht="15">
      <c r="A7" s="7" t="s">
        <v>16</v>
      </c>
      <c r="B7" s="9" t="s">
        <v>38</v>
      </c>
      <c r="C7" s="6">
        <v>1</v>
      </c>
      <c r="D7" s="46">
        <v>46146</v>
      </c>
      <c r="E7" s="46">
        <v>46157</v>
      </c>
      <c r="F7" s="100" t="s">
        <v>34</v>
      </c>
      <c r="G7" s="382"/>
      <c r="H7" s="82">
        <v>1</v>
      </c>
      <c r="I7" s="47">
        <v>46160</v>
      </c>
      <c r="J7" s="47">
        <v>46169</v>
      </c>
      <c r="K7" s="118" t="s">
        <v>34</v>
      </c>
      <c r="L7" s="128" t="s">
        <v>34</v>
      </c>
      <c r="M7" s="84">
        <v>1</v>
      </c>
      <c r="N7" s="229">
        <v>46160</v>
      </c>
      <c r="O7" s="229">
        <v>46169</v>
      </c>
      <c r="P7" s="270" t="s">
        <v>34</v>
      </c>
      <c r="Q7" s="271" t="s">
        <v>34</v>
      </c>
      <c r="R7" s="385">
        <v>1</v>
      </c>
      <c r="S7" s="48">
        <v>46198</v>
      </c>
      <c r="T7" s="48">
        <v>46207</v>
      </c>
      <c r="U7" s="65" t="s">
        <v>34</v>
      </c>
      <c r="V7" s="65" t="s">
        <v>34</v>
      </c>
      <c r="W7" s="86">
        <v>1</v>
      </c>
      <c r="X7" s="52">
        <v>46218</v>
      </c>
      <c r="Y7" s="52">
        <v>46222</v>
      </c>
      <c r="Z7" s="18" t="s">
        <v>34</v>
      </c>
      <c r="AA7" s="132" t="s">
        <v>34</v>
      </c>
      <c r="AB7" s="89">
        <v>1</v>
      </c>
      <c r="AC7" s="51">
        <v>46223</v>
      </c>
      <c r="AD7" s="51">
        <v>46232</v>
      </c>
      <c r="AE7" s="22" t="s">
        <v>34</v>
      </c>
      <c r="AF7" s="101" t="s">
        <v>34</v>
      </c>
      <c r="AG7" s="91">
        <v>1</v>
      </c>
      <c r="AH7" s="50">
        <v>46243</v>
      </c>
      <c r="AI7" s="50">
        <v>46250</v>
      </c>
      <c r="AJ7" s="19" t="s">
        <v>34</v>
      </c>
      <c r="AK7" s="102" t="s">
        <v>190</v>
      </c>
      <c r="AL7" s="93">
        <v>1</v>
      </c>
      <c r="AM7" s="49">
        <v>46337</v>
      </c>
      <c r="AN7" s="49">
        <v>46343</v>
      </c>
      <c r="AO7" s="24" t="s">
        <v>40</v>
      </c>
      <c r="AP7" s="94">
        <v>0</v>
      </c>
    </row>
    <row r="8" spans="1:43" ht="15">
      <c r="A8" s="7" t="s">
        <v>16</v>
      </c>
      <c r="B8" s="9" t="s">
        <v>39</v>
      </c>
      <c r="C8" s="6">
        <v>1</v>
      </c>
      <c r="D8" s="46">
        <v>46146</v>
      </c>
      <c r="E8" s="46">
        <v>46157</v>
      </c>
      <c r="F8" s="389" t="s">
        <v>34</v>
      </c>
      <c r="G8" s="382"/>
      <c r="H8" s="82">
        <v>1</v>
      </c>
      <c r="I8" s="47">
        <v>46160</v>
      </c>
      <c r="J8" s="47">
        <v>46169</v>
      </c>
      <c r="K8" s="13" t="s">
        <v>34</v>
      </c>
      <c r="L8" s="128" t="s">
        <v>34</v>
      </c>
      <c r="M8" s="84">
        <v>1</v>
      </c>
      <c r="N8" s="229">
        <v>46160</v>
      </c>
      <c r="O8" s="229">
        <v>46169</v>
      </c>
      <c r="P8" s="24" t="s">
        <v>34</v>
      </c>
      <c r="Q8" s="271" t="s">
        <v>34</v>
      </c>
      <c r="R8" s="385">
        <v>1</v>
      </c>
      <c r="S8" s="48">
        <v>46198</v>
      </c>
      <c r="T8" s="48">
        <v>46207</v>
      </c>
      <c r="U8" s="16" t="s">
        <v>34</v>
      </c>
      <c r="V8" s="65" t="s">
        <v>34</v>
      </c>
      <c r="W8" s="86">
        <v>1</v>
      </c>
      <c r="X8" s="52">
        <v>46218</v>
      </c>
      <c r="Y8" s="52">
        <v>46222</v>
      </c>
      <c r="Z8" s="18" t="s">
        <v>34</v>
      </c>
      <c r="AA8" s="132" t="s">
        <v>34</v>
      </c>
      <c r="AB8" s="89">
        <v>1</v>
      </c>
      <c r="AC8" s="51">
        <v>46223</v>
      </c>
      <c r="AD8" s="51">
        <v>46232</v>
      </c>
      <c r="AE8" s="22" t="s">
        <v>34</v>
      </c>
      <c r="AF8" s="101" t="s">
        <v>34</v>
      </c>
      <c r="AG8" s="91">
        <v>1</v>
      </c>
      <c r="AH8" s="50">
        <v>46243</v>
      </c>
      <c r="AI8" s="50">
        <v>46250</v>
      </c>
      <c r="AJ8" s="19" t="s">
        <v>34</v>
      </c>
      <c r="AK8" s="102" t="s">
        <v>190</v>
      </c>
      <c r="AL8" s="93">
        <v>1</v>
      </c>
      <c r="AM8" s="49">
        <v>46337</v>
      </c>
      <c r="AN8" s="49">
        <v>46343</v>
      </c>
      <c r="AO8" s="24" t="s">
        <v>40</v>
      </c>
      <c r="AP8" s="94">
        <v>0</v>
      </c>
    </row>
    <row r="9" spans="1:43" ht="15">
      <c r="A9" s="7" t="s">
        <v>16</v>
      </c>
      <c r="B9" s="9" t="s">
        <v>41</v>
      </c>
      <c r="C9" s="6">
        <v>1</v>
      </c>
      <c r="D9" s="46">
        <v>46146</v>
      </c>
      <c r="E9" s="46">
        <v>46157</v>
      </c>
      <c r="F9" s="389" t="s">
        <v>34</v>
      </c>
      <c r="G9" s="382"/>
      <c r="H9" s="82">
        <v>1</v>
      </c>
      <c r="I9" s="47">
        <v>46160</v>
      </c>
      <c r="J9" s="47">
        <v>46169</v>
      </c>
      <c r="K9" s="13" t="s">
        <v>40</v>
      </c>
      <c r="L9" s="128" t="s">
        <v>194</v>
      </c>
      <c r="M9" s="84">
        <v>0</v>
      </c>
      <c r="N9" s="229">
        <v>46160</v>
      </c>
      <c r="O9" s="229">
        <v>46169</v>
      </c>
      <c r="P9" s="24" t="s">
        <v>40</v>
      </c>
      <c r="Q9" s="271" t="s">
        <v>194</v>
      </c>
      <c r="R9" s="385">
        <v>0</v>
      </c>
      <c r="S9" s="48">
        <v>46198</v>
      </c>
      <c r="T9" s="48">
        <v>46207</v>
      </c>
      <c r="U9" s="16" t="s">
        <v>40</v>
      </c>
      <c r="V9" s="65" t="s">
        <v>194</v>
      </c>
      <c r="W9" s="86">
        <v>0</v>
      </c>
      <c r="X9" s="52">
        <v>46218</v>
      </c>
      <c r="Y9" s="52">
        <v>46222</v>
      </c>
      <c r="Z9" s="18" t="s">
        <v>40</v>
      </c>
      <c r="AA9" s="132" t="s">
        <v>194</v>
      </c>
      <c r="AB9" s="89">
        <v>0</v>
      </c>
      <c r="AC9" s="51">
        <v>46223</v>
      </c>
      <c r="AD9" s="51">
        <v>46232</v>
      </c>
      <c r="AE9" s="22" t="s">
        <v>40</v>
      </c>
      <c r="AF9" s="119" t="s">
        <v>194</v>
      </c>
      <c r="AG9" s="91">
        <v>0</v>
      </c>
      <c r="AH9" s="50">
        <v>46243</v>
      </c>
      <c r="AI9" s="50">
        <v>46250</v>
      </c>
      <c r="AJ9" s="19" t="s">
        <v>165</v>
      </c>
      <c r="AK9" s="126" t="s">
        <v>194</v>
      </c>
      <c r="AL9" s="93">
        <v>0</v>
      </c>
      <c r="AM9" s="49">
        <v>46337</v>
      </c>
      <c r="AN9" s="49">
        <v>46343</v>
      </c>
      <c r="AO9" s="24" t="s">
        <v>40</v>
      </c>
      <c r="AP9" s="94">
        <v>0</v>
      </c>
    </row>
    <row r="10" spans="1:43" ht="15">
      <c r="A10" s="7" t="s">
        <v>16</v>
      </c>
      <c r="B10" s="9" t="s">
        <v>42</v>
      </c>
      <c r="C10" s="6">
        <v>1</v>
      </c>
      <c r="D10" s="46">
        <v>46146</v>
      </c>
      <c r="E10" s="46">
        <v>46157</v>
      </c>
      <c r="F10" s="389" t="s">
        <v>34</v>
      </c>
      <c r="G10" s="382"/>
      <c r="H10" s="82">
        <v>1</v>
      </c>
      <c r="I10" s="47">
        <v>46160</v>
      </c>
      <c r="J10" s="47">
        <v>46169</v>
      </c>
      <c r="K10" s="13" t="s">
        <v>40</v>
      </c>
      <c r="L10" s="128" t="s">
        <v>194</v>
      </c>
      <c r="M10" s="84">
        <v>0</v>
      </c>
      <c r="N10" s="229">
        <v>46160</v>
      </c>
      <c r="O10" s="229">
        <v>46169</v>
      </c>
      <c r="P10" s="24" t="s">
        <v>40</v>
      </c>
      <c r="Q10" s="271" t="s">
        <v>194</v>
      </c>
      <c r="R10" s="385">
        <v>0</v>
      </c>
      <c r="S10" s="48">
        <v>46198</v>
      </c>
      <c r="T10" s="48">
        <v>46207</v>
      </c>
      <c r="U10" s="16" t="s">
        <v>40</v>
      </c>
      <c r="V10" s="65" t="s">
        <v>194</v>
      </c>
      <c r="W10" s="86">
        <v>0</v>
      </c>
      <c r="X10" s="52">
        <v>46218</v>
      </c>
      <c r="Y10" s="52">
        <v>46222</v>
      </c>
      <c r="Z10" s="18" t="s">
        <v>40</v>
      </c>
      <c r="AA10" s="132" t="s">
        <v>194</v>
      </c>
      <c r="AB10" s="89">
        <v>0</v>
      </c>
      <c r="AC10" s="51">
        <v>46223</v>
      </c>
      <c r="AD10" s="51">
        <v>46232</v>
      </c>
      <c r="AE10" s="22" t="s">
        <v>40</v>
      </c>
      <c r="AF10" s="119" t="s">
        <v>194</v>
      </c>
      <c r="AG10" s="91">
        <v>0</v>
      </c>
      <c r="AH10" s="50">
        <v>46243</v>
      </c>
      <c r="AI10" s="50">
        <v>46250</v>
      </c>
      <c r="AJ10" s="19" t="s">
        <v>165</v>
      </c>
      <c r="AK10" s="126" t="s">
        <v>194</v>
      </c>
      <c r="AL10" s="93">
        <v>0</v>
      </c>
      <c r="AM10" s="49">
        <v>46337</v>
      </c>
      <c r="AN10" s="49">
        <v>46343</v>
      </c>
      <c r="AO10" s="24" t="s">
        <v>40</v>
      </c>
      <c r="AP10" s="94">
        <v>0</v>
      </c>
    </row>
    <row r="11" spans="1:43" ht="15">
      <c r="A11" s="7" t="s">
        <v>16</v>
      </c>
      <c r="B11" s="9" t="s">
        <v>43</v>
      </c>
      <c r="C11" s="6">
        <v>1</v>
      </c>
      <c r="D11" s="46">
        <v>46146</v>
      </c>
      <c r="E11" s="46">
        <v>46157</v>
      </c>
      <c r="F11" s="389" t="s">
        <v>34</v>
      </c>
      <c r="G11" s="382"/>
      <c r="H11" s="82">
        <v>1</v>
      </c>
      <c r="I11" s="47">
        <v>46160</v>
      </c>
      <c r="J11" s="47">
        <v>46169</v>
      </c>
      <c r="K11" s="13" t="s">
        <v>40</v>
      </c>
      <c r="L11" s="128" t="s">
        <v>194</v>
      </c>
      <c r="M11" s="84">
        <v>0</v>
      </c>
      <c r="N11" s="229">
        <v>46160</v>
      </c>
      <c r="O11" s="229">
        <v>46169</v>
      </c>
      <c r="P11" s="24" t="s">
        <v>40</v>
      </c>
      <c r="Q11" s="271" t="s">
        <v>194</v>
      </c>
      <c r="R11" s="385">
        <v>0</v>
      </c>
      <c r="S11" s="48">
        <v>46198</v>
      </c>
      <c r="T11" s="48">
        <v>46207</v>
      </c>
      <c r="U11" s="16" t="s">
        <v>40</v>
      </c>
      <c r="V11" s="65" t="s">
        <v>194</v>
      </c>
      <c r="W11" s="86">
        <v>0</v>
      </c>
      <c r="X11" s="52">
        <v>46218</v>
      </c>
      <c r="Y11" s="52">
        <v>46222</v>
      </c>
      <c r="Z11" s="18" t="s">
        <v>40</v>
      </c>
      <c r="AA11" s="132" t="s">
        <v>194</v>
      </c>
      <c r="AB11" s="89">
        <v>0</v>
      </c>
      <c r="AC11" s="51">
        <v>46223</v>
      </c>
      <c r="AD11" s="51">
        <v>46232</v>
      </c>
      <c r="AE11" s="22" t="s">
        <v>40</v>
      </c>
      <c r="AF11" s="119" t="s">
        <v>194</v>
      </c>
      <c r="AG11" s="91">
        <v>0</v>
      </c>
      <c r="AH11" s="50">
        <v>46243</v>
      </c>
      <c r="AI11" s="50">
        <v>46250</v>
      </c>
      <c r="AJ11" s="19" t="s">
        <v>165</v>
      </c>
      <c r="AK11" s="126" t="s">
        <v>194</v>
      </c>
      <c r="AL11" s="93">
        <v>0</v>
      </c>
      <c r="AM11" s="49">
        <v>46337</v>
      </c>
      <c r="AN11" s="49">
        <v>46343</v>
      </c>
      <c r="AO11" s="24" t="s">
        <v>40</v>
      </c>
      <c r="AP11" s="94">
        <v>0</v>
      </c>
    </row>
    <row r="12" spans="1:43" ht="15">
      <c r="A12" s="7" t="s">
        <v>16</v>
      </c>
      <c r="B12" s="9" t="s">
        <v>44</v>
      </c>
      <c r="C12" s="6">
        <v>1</v>
      </c>
      <c r="D12" s="46">
        <v>46146</v>
      </c>
      <c r="E12" s="46">
        <v>46157</v>
      </c>
      <c r="F12" s="389" t="s">
        <v>34</v>
      </c>
      <c r="G12" s="382" t="s">
        <v>195</v>
      </c>
      <c r="H12" s="82">
        <v>0.9</v>
      </c>
      <c r="I12" s="47">
        <v>46160</v>
      </c>
      <c r="J12" s="47">
        <v>46169</v>
      </c>
      <c r="K12" s="13" t="s">
        <v>40</v>
      </c>
      <c r="L12" s="128" t="s">
        <v>194</v>
      </c>
      <c r="M12" s="84">
        <v>0</v>
      </c>
      <c r="N12" s="229">
        <v>46160</v>
      </c>
      <c r="O12" s="229">
        <v>46169</v>
      </c>
      <c r="P12" s="24" t="s">
        <v>40</v>
      </c>
      <c r="Q12" s="271" t="s">
        <v>194</v>
      </c>
      <c r="R12" s="385">
        <v>0</v>
      </c>
      <c r="S12" s="48">
        <v>46198</v>
      </c>
      <c r="T12" s="48">
        <v>46207</v>
      </c>
      <c r="U12" s="16" t="s">
        <v>40</v>
      </c>
      <c r="V12" s="65" t="s">
        <v>194</v>
      </c>
      <c r="W12" s="86">
        <v>0</v>
      </c>
      <c r="X12" s="52">
        <v>46218</v>
      </c>
      <c r="Y12" s="52">
        <v>46222</v>
      </c>
      <c r="Z12" s="18" t="s">
        <v>40</v>
      </c>
      <c r="AA12" s="132" t="s">
        <v>194</v>
      </c>
      <c r="AB12" s="89">
        <v>0</v>
      </c>
      <c r="AC12" s="51">
        <v>46223</v>
      </c>
      <c r="AD12" s="51">
        <v>46232</v>
      </c>
      <c r="AE12" s="22" t="s">
        <v>40</v>
      </c>
      <c r="AF12" s="119" t="s">
        <v>194</v>
      </c>
      <c r="AG12" s="91">
        <v>0</v>
      </c>
      <c r="AH12" s="50">
        <v>46243</v>
      </c>
      <c r="AI12" s="50">
        <v>46250</v>
      </c>
      <c r="AJ12" s="19" t="s">
        <v>165</v>
      </c>
      <c r="AK12" s="126" t="s">
        <v>194</v>
      </c>
      <c r="AL12" s="93">
        <v>0</v>
      </c>
      <c r="AM12" s="49">
        <v>46337</v>
      </c>
      <c r="AN12" s="49">
        <v>46343</v>
      </c>
      <c r="AO12" s="24" t="s">
        <v>40</v>
      </c>
      <c r="AP12" s="94">
        <v>0</v>
      </c>
    </row>
    <row r="13" spans="1:43" ht="15">
      <c r="A13" s="7" t="s">
        <v>16</v>
      </c>
      <c r="B13" s="9" t="s">
        <v>45</v>
      </c>
      <c r="C13" s="6">
        <v>1</v>
      </c>
      <c r="D13" s="46">
        <v>46146</v>
      </c>
      <c r="E13" s="46">
        <v>46157</v>
      </c>
      <c r="F13" s="389" t="s">
        <v>34</v>
      </c>
      <c r="G13" s="382"/>
      <c r="H13" s="82">
        <v>0.6</v>
      </c>
      <c r="I13" s="47">
        <v>46160</v>
      </c>
      <c r="J13" s="47">
        <v>46169</v>
      </c>
      <c r="K13" s="13" t="s">
        <v>40</v>
      </c>
      <c r="L13" s="128" t="s">
        <v>194</v>
      </c>
      <c r="M13" s="84">
        <v>0</v>
      </c>
      <c r="N13" s="229">
        <v>46160</v>
      </c>
      <c r="O13" s="229">
        <v>46169</v>
      </c>
      <c r="P13" s="24" t="s">
        <v>40</v>
      </c>
      <c r="Q13" s="271" t="s">
        <v>194</v>
      </c>
      <c r="R13" s="385">
        <v>0</v>
      </c>
      <c r="S13" s="48">
        <v>46198</v>
      </c>
      <c r="T13" s="48">
        <v>46207</v>
      </c>
      <c r="U13" s="16" t="s">
        <v>40</v>
      </c>
      <c r="V13" s="65" t="s">
        <v>194</v>
      </c>
      <c r="W13" s="86">
        <v>0</v>
      </c>
      <c r="X13" s="52">
        <v>46218</v>
      </c>
      <c r="Y13" s="52">
        <v>46222</v>
      </c>
      <c r="Z13" s="18" t="s">
        <v>40</v>
      </c>
      <c r="AA13" s="132" t="s">
        <v>194</v>
      </c>
      <c r="AB13" s="89">
        <v>0</v>
      </c>
      <c r="AC13" s="51">
        <v>46223</v>
      </c>
      <c r="AD13" s="51">
        <v>46232</v>
      </c>
      <c r="AE13" s="22" t="s">
        <v>40</v>
      </c>
      <c r="AF13" s="119" t="s">
        <v>194</v>
      </c>
      <c r="AG13" s="91">
        <v>0</v>
      </c>
      <c r="AH13" s="50">
        <v>46243</v>
      </c>
      <c r="AI13" s="50">
        <v>46250</v>
      </c>
      <c r="AJ13" s="19" t="s">
        <v>165</v>
      </c>
      <c r="AK13" s="126" t="s">
        <v>194</v>
      </c>
      <c r="AL13" s="93">
        <v>0</v>
      </c>
      <c r="AM13" s="49">
        <v>46337</v>
      </c>
      <c r="AN13" s="49">
        <v>46343</v>
      </c>
      <c r="AO13" s="24" t="s">
        <v>40</v>
      </c>
      <c r="AP13" s="94">
        <v>0</v>
      </c>
    </row>
    <row r="14" spans="1:43" ht="15">
      <c r="A14" s="7" t="s">
        <v>16</v>
      </c>
      <c r="B14" s="9" t="s">
        <v>46</v>
      </c>
      <c r="C14" s="6">
        <v>1</v>
      </c>
      <c r="D14" s="46">
        <v>46146</v>
      </c>
      <c r="E14" s="46">
        <v>46157</v>
      </c>
      <c r="F14" s="389" t="s">
        <v>34</v>
      </c>
      <c r="G14" s="382"/>
      <c r="H14" s="82">
        <v>1</v>
      </c>
      <c r="I14" s="47">
        <v>46160</v>
      </c>
      <c r="J14" s="47">
        <v>46169</v>
      </c>
      <c r="K14" s="13" t="s">
        <v>40</v>
      </c>
      <c r="L14" s="128" t="s">
        <v>194</v>
      </c>
      <c r="M14" s="84">
        <v>0</v>
      </c>
      <c r="N14" s="229">
        <v>46160</v>
      </c>
      <c r="O14" s="229">
        <v>46169</v>
      </c>
      <c r="P14" s="24" t="s">
        <v>40</v>
      </c>
      <c r="Q14" s="271" t="s">
        <v>194</v>
      </c>
      <c r="R14" s="385">
        <v>0</v>
      </c>
      <c r="S14" s="48">
        <v>46198</v>
      </c>
      <c r="T14" s="48">
        <v>46207</v>
      </c>
      <c r="U14" s="16" t="s">
        <v>40</v>
      </c>
      <c r="V14" s="65" t="s">
        <v>194</v>
      </c>
      <c r="W14" s="86">
        <v>0</v>
      </c>
      <c r="X14" s="52">
        <v>46218</v>
      </c>
      <c r="Y14" s="52">
        <v>46222</v>
      </c>
      <c r="Z14" s="18" t="s">
        <v>40</v>
      </c>
      <c r="AA14" s="132" t="s">
        <v>194</v>
      </c>
      <c r="AB14" s="89">
        <v>0</v>
      </c>
      <c r="AC14" s="51">
        <v>46223</v>
      </c>
      <c r="AD14" s="51">
        <v>46232</v>
      </c>
      <c r="AE14" s="22" t="s">
        <v>40</v>
      </c>
      <c r="AF14" s="119" t="s">
        <v>194</v>
      </c>
      <c r="AG14" s="91">
        <v>0</v>
      </c>
      <c r="AH14" s="50">
        <v>46243</v>
      </c>
      <c r="AI14" s="50">
        <v>46250</v>
      </c>
      <c r="AJ14" s="19" t="s">
        <v>165</v>
      </c>
      <c r="AK14" s="126" t="s">
        <v>194</v>
      </c>
      <c r="AL14" s="93">
        <v>0</v>
      </c>
      <c r="AM14" s="49">
        <v>46337</v>
      </c>
      <c r="AN14" s="49">
        <v>46343</v>
      </c>
      <c r="AO14" s="24" t="s">
        <v>40</v>
      </c>
      <c r="AP14" s="94">
        <v>0</v>
      </c>
    </row>
    <row r="15" spans="1:43" ht="15">
      <c r="A15" s="7" t="s">
        <v>16</v>
      </c>
      <c r="B15" s="9" t="s">
        <v>47</v>
      </c>
      <c r="C15" s="6">
        <v>1</v>
      </c>
      <c r="D15" s="46">
        <v>46146</v>
      </c>
      <c r="E15" s="46">
        <v>46157</v>
      </c>
      <c r="F15" s="389" t="s">
        <v>34</v>
      </c>
      <c r="G15" s="382" t="s">
        <v>196</v>
      </c>
      <c r="H15" s="82">
        <v>0.9</v>
      </c>
      <c r="I15" s="47">
        <v>46160</v>
      </c>
      <c r="J15" s="47">
        <v>46169</v>
      </c>
      <c r="K15" s="13" t="s">
        <v>40</v>
      </c>
      <c r="L15" s="128" t="s">
        <v>194</v>
      </c>
      <c r="M15" s="84">
        <v>0</v>
      </c>
      <c r="N15" s="229">
        <v>46160</v>
      </c>
      <c r="O15" s="229">
        <v>46169</v>
      </c>
      <c r="P15" s="24" t="s">
        <v>40</v>
      </c>
      <c r="Q15" s="271" t="s">
        <v>194</v>
      </c>
      <c r="R15" s="385">
        <v>0</v>
      </c>
      <c r="S15" s="48">
        <v>46198</v>
      </c>
      <c r="T15" s="48">
        <v>46207</v>
      </c>
      <c r="U15" s="16" t="s">
        <v>40</v>
      </c>
      <c r="V15" s="65" t="s">
        <v>194</v>
      </c>
      <c r="W15" s="86">
        <v>0</v>
      </c>
      <c r="X15" s="52">
        <v>46218</v>
      </c>
      <c r="Y15" s="52">
        <v>46222</v>
      </c>
      <c r="Z15" s="18" t="s">
        <v>40</v>
      </c>
      <c r="AA15" s="132" t="s">
        <v>194</v>
      </c>
      <c r="AB15" s="89">
        <v>0</v>
      </c>
      <c r="AC15" s="51">
        <v>46223</v>
      </c>
      <c r="AD15" s="51">
        <v>46232</v>
      </c>
      <c r="AE15" s="22" t="s">
        <v>40</v>
      </c>
      <c r="AF15" s="119" t="s">
        <v>194</v>
      </c>
      <c r="AG15" s="91">
        <v>0</v>
      </c>
      <c r="AH15" s="50">
        <v>46243</v>
      </c>
      <c r="AI15" s="50">
        <v>46250</v>
      </c>
      <c r="AJ15" s="19" t="s">
        <v>165</v>
      </c>
      <c r="AK15" s="126" t="s">
        <v>194</v>
      </c>
      <c r="AL15" s="93">
        <v>0</v>
      </c>
      <c r="AM15" s="49">
        <v>46337</v>
      </c>
      <c r="AN15" s="49">
        <v>46343</v>
      </c>
      <c r="AO15" s="24" t="s">
        <v>40</v>
      </c>
      <c r="AP15" s="94">
        <v>0</v>
      </c>
    </row>
    <row r="16" spans="1:43" ht="15">
      <c r="A16" s="7" t="s">
        <v>16</v>
      </c>
      <c r="B16" s="9" t="s">
        <v>48</v>
      </c>
      <c r="C16" s="6">
        <v>1</v>
      </c>
      <c r="D16" s="46">
        <v>46146</v>
      </c>
      <c r="E16" s="46">
        <v>46157</v>
      </c>
      <c r="F16" s="389" t="s">
        <v>34</v>
      </c>
      <c r="G16" s="382" t="s">
        <v>197</v>
      </c>
      <c r="H16" s="82">
        <v>0.9</v>
      </c>
      <c r="I16" s="47">
        <v>46160</v>
      </c>
      <c r="J16" s="47">
        <v>46169</v>
      </c>
      <c r="K16" s="13" t="s">
        <v>40</v>
      </c>
      <c r="L16" s="128" t="s">
        <v>194</v>
      </c>
      <c r="M16" s="84">
        <v>0</v>
      </c>
      <c r="N16" s="229">
        <v>46160</v>
      </c>
      <c r="O16" s="229">
        <v>46169</v>
      </c>
      <c r="P16" s="24" t="s">
        <v>40</v>
      </c>
      <c r="Q16" s="271" t="s">
        <v>194</v>
      </c>
      <c r="R16" s="385">
        <v>0</v>
      </c>
      <c r="S16" s="48">
        <v>46198</v>
      </c>
      <c r="T16" s="48">
        <v>46207</v>
      </c>
      <c r="U16" s="16" t="s">
        <v>40</v>
      </c>
      <c r="V16" s="65" t="s">
        <v>194</v>
      </c>
      <c r="W16" s="86">
        <v>0</v>
      </c>
      <c r="X16" s="52">
        <v>46218</v>
      </c>
      <c r="Y16" s="52">
        <v>46222</v>
      </c>
      <c r="Z16" s="18" t="s">
        <v>40</v>
      </c>
      <c r="AA16" s="132" t="s">
        <v>194</v>
      </c>
      <c r="AB16" s="89">
        <v>0</v>
      </c>
      <c r="AC16" s="51">
        <v>46223</v>
      </c>
      <c r="AD16" s="51">
        <v>46232</v>
      </c>
      <c r="AE16" s="22" t="s">
        <v>40</v>
      </c>
      <c r="AF16" s="119" t="s">
        <v>194</v>
      </c>
      <c r="AG16" s="91">
        <v>0</v>
      </c>
      <c r="AH16" s="50">
        <v>46243</v>
      </c>
      <c r="AI16" s="50">
        <v>46250</v>
      </c>
      <c r="AJ16" s="19" t="s">
        <v>165</v>
      </c>
      <c r="AK16" s="126" t="s">
        <v>194</v>
      </c>
      <c r="AL16" s="93">
        <v>0</v>
      </c>
      <c r="AM16" s="49">
        <v>46337</v>
      </c>
      <c r="AN16" s="49">
        <v>46343</v>
      </c>
      <c r="AO16" s="24" t="s">
        <v>40</v>
      </c>
      <c r="AP16" s="94">
        <v>0</v>
      </c>
    </row>
    <row r="17" spans="1:42" ht="15">
      <c r="A17" s="7" t="s">
        <v>16</v>
      </c>
      <c r="B17" s="9" t="s">
        <v>49</v>
      </c>
      <c r="C17" s="6">
        <v>1</v>
      </c>
      <c r="D17" s="46">
        <v>46146</v>
      </c>
      <c r="E17" s="46">
        <v>46157</v>
      </c>
      <c r="F17" s="389" t="s">
        <v>34</v>
      </c>
      <c r="G17" s="382"/>
      <c r="H17" s="82">
        <v>1</v>
      </c>
      <c r="I17" s="47">
        <v>46160</v>
      </c>
      <c r="J17" s="47">
        <v>46169</v>
      </c>
      <c r="K17" s="13" t="s">
        <v>40</v>
      </c>
      <c r="L17" s="128" t="s">
        <v>194</v>
      </c>
      <c r="M17" s="84">
        <v>0</v>
      </c>
      <c r="N17" s="229">
        <v>46160</v>
      </c>
      <c r="O17" s="229">
        <v>46169</v>
      </c>
      <c r="P17" s="24" t="s">
        <v>40</v>
      </c>
      <c r="Q17" s="271" t="s">
        <v>194</v>
      </c>
      <c r="R17" s="385">
        <v>0</v>
      </c>
      <c r="S17" s="48">
        <v>46198</v>
      </c>
      <c r="T17" s="48">
        <v>46207</v>
      </c>
      <c r="U17" s="16" t="s">
        <v>40</v>
      </c>
      <c r="V17" s="65" t="s">
        <v>194</v>
      </c>
      <c r="W17" s="86">
        <v>0</v>
      </c>
      <c r="X17" s="52">
        <v>46218</v>
      </c>
      <c r="Y17" s="52">
        <v>46222</v>
      </c>
      <c r="Z17" s="18" t="s">
        <v>40</v>
      </c>
      <c r="AA17" s="132" t="s">
        <v>194</v>
      </c>
      <c r="AB17" s="89">
        <v>0</v>
      </c>
      <c r="AC17" s="51">
        <v>46223</v>
      </c>
      <c r="AD17" s="51">
        <v>46232</v>
      </c>
      <c r="AE17" s="22" t="s">
        <v>40</v>
      </c>
      <c r="AF17" s="119" t="s">
        <v>194</v>
      </c>
      <c r="AG17" s="91">
        <v>0</v>
      </c>
      <c r="AH17" s="50">
        <v>46243</v>
      </c>
      <c r="AI17" s="50">
        <v>46250</v>
      </c>
      <c r="AJ17" s="19" t="s">
        <v>165</v>
      </c>
      <c r="AK17" s="126" t="s">
        <v>194</v>
      </c>
      <c r="AL17" s="93">
        <v>0</v>
      </c>
      <c r="AM17" s="49">
        <v>46337</v>
      </c>
      <c r="AN17" s="49">
        <v>46343</v>
      </c>
      <c r="AO17" s="24" t="s">
        <v>40</v>
      </c>
      <c r="AP17" s="94">
        <v>0</v>
      </c>
    </row>
    <row r="18" spans="1:42" ht="15">
      <c r="A18" s="7" t="s">
        <v>16</v>
      </c>
      <c r="B18" s="9" t="s">
        <v>50</v>
      </c>
      <c r="C18" s="6">
        <v>1</v>
      </c>
      <c r="D18" s="46">
        <v>46146</v>
      </c>
      <c r="E18" s="46">
        <v>46157</v>
      </c>
      <c r="F18" s="389" t="s">
        <v>34</v>
      </c>
      <c r="G18" s="382"/>
      <c r="H18" s="82">
        <v>1</v>
      </c>
      <c r="I18" s="47">
        <v>46160</v>
      </c>
      <c r="J18" s="47">
        <v>46169</v>
      </c>
      <c r="K18" s="13" t="s">
        <v>40</v>
      </c>
      <c r="L18" s="128" t="s">
        <v>194</v>
      </c>
      <c r="M18" s="84">
        <v>0</v>
      </c>
      <c r="N18" s="229">
        <v>46160</v>
      </c>
      <c r="O18" s="229">
        <v>46169</v>
      </c>
      <c r="P18" s="24" t="s">
        <v>40</v>
      </c>
      <c r="Q18" s="271" t="s">
        <v>194</v>
      </c>
      <c r="R18" s="385">
        <v>0</v>
      </c>
      <c r="S18" s="48">
        <v>46198</v>
      </c>
      <c r="T18" s="48">
        <v>46207</v>
      </c>
      <c r="U18" s="16" t="s">
        <v>40</v>
      </c>
      <c r="V18" s="65" t="s">
        <v>194</v>
      </c>
      <c r="W18" s="86">
        <v>0</v>
      </c>
      <c r="X18" s="52">
        <v>46218</v>
      </c>
      <c r="Y18" s="52">
        <v>46222</v>
      </c>
      <c r="Z18" s="18" t="s">
        <v>40</v>
      </c>
      <c r="AA18" s="132" t="s">
        <v>194</v>
      </c>
      <c r="AB18" s="89">
        <v>0</v>
      </c>
      <c r="AC18" s="51">
        <v>46223</v>
      </c>
      <c r="AD18" s="51">
        <v>46232</v>
      </c>
      <c r="AE18" s="22" t="s">
        <v>40</v>
      </c>
      <c r="AF18" s="119" t="s">
        <v>194</v>
      </c>
      <c r="AG18" s="91">
        <v>0</v>
      </c>
      <c r="AH18" s="50">
        <v>46243</v>
      </c>
      <c r="AI18" s="50">
        <v>46250</v>
      </c>
      <c r="AJ18" s="19" t="s">
        <v>165</v>
      </c>
      <c r="AK18" s="126" t="s">
        <v>194</v>
      </c>
      <c r="AL18" s="93">
        <v>0</v>
      </c>
      <c r="AM18" s="49">
        <v>46337</v>
      </c>
      <c r="AN18" s="49">
        <v>46343</v>
      </c>
      <c r="AO18" s="24" t="s">
        <v>40</v>
      </c>
      <c r="AP18" s="94">
        <v>0</v>
      </c>
    </row>
    <row r="19" spans="1:42" ht="15">
      <c r="A19" s="7" t="s">
        <v>16</v>
      </c>
      <c r="B19" s="9" t="s">
        <v>51</v>
      </c>
      <c r="C19" s="6">
        <v>1</v>
      </c>
      <c r="D19" s="46">
        <v>46146</v>
      </c>
      <c r="E19" s="46">
        <v>46157</v>
      </c>
      <c r="F19" s="389" t="s">
        <v>34</v>
      </c>
      <c r="G19" s="382" t="s">
        <v>198</v>
      </c>
      <c r="H19" s="82">
        <v>0.9</v>
      </c>
      <c r="I19" s="47">
        <v>46160</v>
      </c>
      <c r="J19" s="47">
        <v>46169</v>
      </c>
      <c r="K19" s="13" t="s">
        <v>40</v>
      </c>
      <c r="L19" s="128" t="s">
        <v>194</v>
      </c>
      <c r="M19" s="84">
        <v>0</v>
      </c>
      <c r="N19" s="229">
        <v>46160</v>
      </c>
      <c r="O19" s="229">
        <v>46169</v>
      </c>
      <c r="P19" s="24" t="s">
        <v>40</v>
      </c>
      <c r="Q19" s="271" t="s">
        <v>194</v>
      </c>
      <c r="R19" s="385">
        <v>0</v>
      </c>
      <c r="S19" s="48">
        <v>46198</v>
      </c>
      <c r="T19" s="48">
        <v>46207</v>
      </c>
      <c r="U19" s="16" t="s">
        <v>40</v>
      </c>
      <c r="V19" s="65" t="s">
        <v>194</v>
      </c>
      <c r="W19" s="86">
        <v>0</v>
      </c>
      <c r="X19" s="52">
        <v>46218</v>
      </c>
      <c r="Y19" s="52">
        <v>46222</v>
      </c>
      <c r="Z19" s="18" t="s">
        <v>40</v>
      </c>
      <c r="AA19" s="132" t="s">
        <v>194</v>
      </c>
      <c r="AB19" s="89">
        <v>0</v>
      </c>
      <c r="AC19" s="51">
        <v>46223</v>
      </c>
      <c r="AD19" s="51">
        <v>46232</v>
      </c>
      <c r="AE19" s="22" t="s">
        <v>40</v>
      </c>
      <c r="AF19" s="119" t="s">
        <v>194</v>
      </c>
      <c r="AG19" s="91">
        <v>0</v>
      </c>
      <c r="AH19" s="50">
        <v>46243</v>
      </c>
      <c r="AI19" s="50">
        <v>46250</v>
      </c>
      <c r="AJ19" s="19" t="s">
        <v>165</v>
      </c>
      <c r="AK19" s="126" t="s">
        <v>194</v>
      </c>
      <c r="AL19" s="93">
        <v>0</v>
      </c>
      <c r="AM19" s="49">
        <v>46337</v>
      </c>
      <c r="AN19" s="49">
        <v>46343</v>
      </c>
      <c r="AO19" s="24" t="s">
        <v>40</v>
      </c>
      <c r="AP19" s="94">
        <v>0</v>
      </c>
    </row>
    <row r="20" spans="1:42" ht="15">
      <c r="A20" s="7" t="s">
        <v>16</v>
      </c>
      <c r="B20" s="9" t="s">
        <v>52</v>
      </c>
      <c r="C20" s="6">
        <v>1</v>
      </c>
      <c r="D20" s="46">
        <v>46146</v>
      </c>
      <c r="E20" s="46">
        <v>46157</v>
      </c>
      <c r="F20" s="389" t="s">
        <v>34</v>
      </c>
      <c r="G20" s="382"/>
      <c r="H20" s="82">
        <v>1</v>
      </c>
      <c r="I20" s="47">
        <v>46160</v>
      </c>
      <c r="J20" s="47">
        <v>46169</v>
      </c>
      <c r="K20" s="13" t="s">
        <v>40</v>
      </c>
      <c r="L20" s="128" t="s">
        <v>194</v>
      </c>
      <c r="M20" s="84">
        <v>0</v>
      </c>
      <c r="N20" s="229">
        <v>46160</v>
      </c>
      <c r="O20" s="229">
        <v>46169</v>
      </c>
      <c r="P20" s="24" t="s">
        <v>40</v>
      </c>
      <c r="Q20" s="271" t="s">
        <v>194</v>
      </c>
      <c r="R20" s="385">
        <v>0.5</v>
      </c>
      <c r="S20" s="48">
        <v>46198</v>
      </c>
      <c r="T20" s="48">
        <v>46207</v>
      </c>
      <c r="U20" s="16" t="s">
        <v>40</v>
      </c>
      <c r="V20" s="65" t="s">
        <v>194</v>
      </c>
      <c r="W20" s="86">
        <v>0</v>
      </c>
      <c r="X20" s="52">
        <v>46218</v>
      </c>
      <c r="Y20" s="52">
        <v>46222</v>
      </c>
      <c r="Z20" s="18" t="s">
        <v>40</v>
      </c>
      <c r="AA20" s="132" t="s">
        <v>194</v>
      </c>
      <c r="AB20" s="89">
        <v>0</v>
      </c>
      <c r="AC20" s="51">
        <v>46223</v>
      </c>
      <c r="AD20" s="51">
        <v>46232</v>
      </c>
      <c r="AE20" s="22" t="s">
        <v>40</v>
      </c>
      <c r="AF20" s="119" t="s">
        <v>194</v>
      </c>
      <c r="AG20" s="91">
        <v>0</v>
      </c>
      <c r="AH20" s="50">
        <v>46243</v>
      </c>
      <c r="AI20" s="50">
        <v>46250</v>
      </c>
      <c r="AJ20" s="19" t="s">
        <v>165</v>
      </c>
      <c r="AK20" s="126" t="s">
        <v>194</v>
      </c>
      <c r="AL20" s="93">
        <v>0</v>
      </c>
      <c r="AM20" s="49">
        <v>46337</v>
      </c>
      <c r="AN20" s="49">
        <v>46343</v>
      </c>
      <c r="AO20" s="24" t="s">
        <v>40</v>
      </c>
      <c r="AP20" s="94">
        <v>0</v>
      </c>
    </row>
    <row r="21" spans="1:42" ht="15">
      <c r="A21" s="7" t="s">
        <v>16</v>
      </c>
      <c r="B21" s="9" t="s">
        <v>53</v>
      </c>
      <c r="C21" s="6">
        <v>1</v>
      </c>
      <c r="D21" s="46">
        <v>46146</v>
      </c>
      <c r="E21" s="46">
        <v>46157</v>
      </c>
      <c r="F21" s="389" t="s">
        <v>34</v>
      </c>
      <c r="G21" s="382"/>
      <c r="H21" s="82">
        <v>1</v>
      </c>
      <c r="I21" s="47">
        <v>46160</v>
      </c>
      <c r="J21" s="47">
        <v>46169</v>
      </c>
      <c r="K21" s="13" t="s">
        <v>40</v>
      </c>
      <c r="L21" s="128" t="s">
        <v>194</v>
      </c>
      <c r="M21" s="84">
        <v>0</v>
      </c>
      <c r="N21" s="229">
        <v>46160</v>
      </c>
      <c r="O21" s="229">
        <v>46169</v>
      </c>
      <c r="P21" s="24" t="s">
        <v>40</v>
      </c>
      <c r="Q21" s="271" t="s">
        <v>194</v>
      </c>
      <c r="R21" s="385">
        <v>0</v>
      </c>
      <c r="S21" s="48">
        <v>46198</v>
      </c>
      <c r="T21" s="48">
        <v>46207</v>
      </c>
      <c r="U21" s="16" t="s">
        <v>40</v>
      </c>
      <c r="V21" s="65" t="s">
        <v>194</v>
      </c>
      <c r="W21" s="86">
        <v>0</v>
      </c>
      <c r="X21" s="52">
        <v>46218</v>
      </c>
      <c r="Y21" s="52">
        <v>46222</v>
      </c>
      <c r="Z21" s="18" t="s">
        <v>40</v>
      </c>
      <c r="AA21" s="132" t="s">
        <v>194</v>
      </c>
      <c r="AB21" s="89">
        <v>0</v>
      </c>
      <c r="AC21" s="51">
        <v>46223</v>
      </c>
      <c r="AD21" s="51">
        <v>46232</v>
      </c>
      <c r="AE21" s="22" t="s">
        <v>40</v>
      </c>
      <c r="AF21" s="119" t="s">
        <v>194</v>
      </c>
      <c r="AG21" s="91">
        <v>0</v>
      </c>
      <c r="AH21" s="50">
        <v>46243</v>
      </c>
      <c r="AI21" s="50">
        <v>46250</v>
      </c>
      <c r="AJ21" s="19" t="s">
        <v>165</v>
      </c>
      <c r="AK21" s="126" t="s">
        <v>194</v>
      </c>
      <c r="AL21" s="93">
        <v>0</v>
      </c>
      <c r="AM21" s="49">
        <v>46337</v>
      </c>
      <c r="AN21" s="49">
        <v>46343</v>
      </c>
      <c r="AO21" s="24" t="s">
        <v>40</v>
      </c>
      <c r="AP21" s="94">
        <v>0</v>
      </c>
    </row>
    <row r="22" spans="1:42" ht="15">
      <c r="A22" s="7" t="s">
        <v>16</v>
      </c>
      <c r="B22" s="9" t="s">
        <v>54</v>
      </c>
      <c r="C22" s="6">
        <v>1</v>
      </c>
      <c r="D22" s="46">
        <v>46146</v>
      </c>
      <c r="E22" s="46">
        <v>46157</v>
      </c>
      <c r="F22" s="389" t="s">
        <v>34</v>
      </c>
      <c r="G22" s="382"/>
      <c r="H22" s="82">
        <v>1</v>
      </c>
      <c r="I22" s="47">
        <v>46160</v>
      </c>
      <c r="J22" s="47">
        <v>46169</v>
      </c>
      <c r="K22" s="13" t="s">
        <v>40</v>
      </c>
      <c r="L22" s="128" t="s">
        <v>194</v>
      </c>
      <c r="M22" s="84">
        <v>0</v>
      </c>
      <c r="N22" s="229">
        <v>46160</v>
      </c>
      <c r="O22" s="229">
        <v>46169</v>
      </c>
      <c r="P22" s="24" t="s">
        <v>40</v>
      </c>
      <c r="Q22" s="271" t="s">
        <v>194</v>
      </c>
      <c r="R22" s="385">
        <v>0</v>
      </c>
      <c r="S22" s="48">
        <v>46198</v>
      </c>
      <c r="T22" s="48">
        <v>46207</v>
      </c>
      <c r="U22" s="16" t="s">
        <v>40</v>
      </c>
      <c r="V22" s="65" t="s">
        <v>194</v>
      </c>
      <c r="W22" s="86">
        <v>0</v>
      </c>
      <c r="X22" s="52">
        <v>46218</v>
      </c>
      <c r="Y22" s="52">
        <v>46222</v>
      </c>
      <c r="Z22" s="18" t="s">
        <v>40</v>
      </c>
      <c r="AA22" s="132" t="s">
        <v>194</v>
      </c>
      <c r="AB22" s="89">
        <v>0</v>
      </c>
      <c r="AC22" s="51">
        <v>46223</v>
      </c>
      <c r="AD22" s="51">
        <v>46232</v>
      </c>
      <c r="AE22" s="22" t="s">
        <v>40</v>
      </c>
      <c r="AF22" s="119" t="s">
        <v>194</v>
      </c>
      <c r="AG22" s="91">
        <v>0</v>
      </c>
      <c r="AH22" s="50">
        <v>46243</v>
      </c>
      <c r="AI22" s="50">
        <v>46250</v>
      </c>
      <c r="AJ22" s="19" t="s">
        <v>165</v>
      </c>
      <c r="AK22" s="126" t="s">
        <v>194</v>
      </c>
      <c r="AL22" s="93">
        <v>0</v>
      </c>
      <c r="AM22" s="49">
        <v>46337</v>
      </c>
      <c r="AN22" s="49">
        <v>46343</v>
      </c>
      <c r="AO22" s="24" t="s">
        <v>40</v>
      </c>
      <c r="AP22" s="94">
        <v>0</v>
      </c>
    </row>
    <row r="23" spans="1:42" ht="15">
      <c r="A23" s="7" t="s">
        <v>16</v>
      </c>
      <c r="B23" s="9" t="s">
        <v>55</v>
      </c>
      <c r="C23" s="6">
        <v>1</v>
      </c>
      <c r="D23" s="46">
        <v>46146</v>
      </c>
      <c r="E23" s="46">
        <v>46157</v>
      </c>
      <c r="F23" s="389" t="s">
        <v>34</v>
      </c>
      <c r="G23" s="382"/>
      <c r="H23" s="82">
        <v>1</v>
      </c>
      <c r="I23" s="47">
        <v>46160</v>
      </c>
      <c r="J23" s="47">
        <v>46169</v>
      </c>
      <c r="K23" s="13" t="s">
        <v>40</v>
      </c>
      <c r="L23" s="128" t="s">
        <v>194</v>
      </c>
      <c r="M23" s="84">
        <v>0</v>
      </c>
      <c r="N23" s="229">
        <v>46160</v>
      </c>
      <c r="O23" s="229">
        <v>46169</v>
      </c>
      <c r="P23" s="24" t="s">
        <v>40</v>
      </c>
      <c r="Q23" s="271" t="s">
        <v>194</v>
      </c>
      <c r="R23" s="385">
        <v>0</v>
      </c>
      <c r="S23" s="48">
        <v>46198</v>
      </c>
      <c r="T23" s="48">
        <v>46207</v>
      </c>
      <c r="U23" s="16" t="s">
        <v>40</v>
      </c>
      <c r="V23" s="65" t="s">
        <v>194</v>
      </c>
      <c r="W23" s="86">
        <v>0</v>
      </c>
      <c r="X23" s="52">
        <v>46218</v>
      </c>
      <c r="Y23" s="52">
        <v>46222</v>
      </c>
      <c r="Z23" s="18" t="s">
        <v>40</v>
      </c>
      <c r="AA23" s="132" t="s">
        <v>194</v>
      </c>
      <c r="AB23" s="89">
        <v>0</v>
      </c>
      <c r="AC23" s="51">
        <v>46223</v>
      </c>
      <c r="AD23" s="51">
        <v>46232</v>
      </c>
      <c r="AE23" s="22" t="s">
        <v>40</v>
      </c>
      <c r="AF23" s="119" t="s">
        <v>194</v>
      </c>
      <c r="AG23" s="91">
        <v>0</v>
      </c>
      <c r="AH23" s="50">
        <v>46243</v>
      </c>
      <c r="AI23" s="50">
        <v>46250</v>
      </c>
      <c r="AJ23" s="19" t="s">
        <v>165</v>
      </c>
      <c r="AK23" s="126" t="s">
        <v>194</v>
      </c>
      <c r="AL23" s="93">
        <v>0</v>
      </c>
      <c r="AM23" s="49">
        <v>46337</v>
      </c>
      <c r="AN23" s="49">
        <v>46343</v>
      </c>
      <c r="AO23" s="24" t="s">
        <v>40</v>
      </c>
      <c r="AP23" s="94">
        <v>0</v>
      </c>
    </row>
    <row r="24" spans="1:42" ht="15">
      <c r="A24" s="7" t="s">
        <v>16</v>
      </c>
      <c r="B24" s="9" t="s">
        <v>56</v>
      </c>
      <c r="C24" s="6">
        <v>1</v>
      </c>
      <c r="D24" s="46">
        <v>46146</v>
      </c>
      <c r="E24" s="46">
        <v>46157</v>
      </c>
      <c r="F24" s="389" t="s">
        <v>34</v>
      </c>
      <c r="G24" s="382"/>
      <c r="H24" s="82">
        <v>1</v>
      </c>
      <c r="I24" s="47">
        <v>46160</v>
      </c>
      <c r="J24" s="47">
        <v>46169</v>
      </c>
      <c r="K24" s="13" t="s">
        <v>40</v>
      </c>
      <c r="L24" s="128" t="s">
        <v>194</v>
      </c>
      <c r="M24" s="84">
        <v>0</v>
      </c>
      <c r="N24" s="229">
        <v>46160</v>
      </c>
      <c r="O24" s="229">
        <v>46169</v>
      </c>
      <c r="P24" s="24" t="s">
        <v>40</v>
      </c>
      <c r="Q24" s="271" t="s">
        <v>194</v>
      </c>
      <c r="R24" s="385">
        <v>0</v>
      </c>
      <c r="S24" s="48">
        <v>46198</v>
      </c>
      <c r="T24" s="48">
        <v>46207</v>
      </c>
      <c r="U24" s="16" t="s">
        <v>40</v>
      </c>
      <c r="V24" s="65" t="s">
        <v>194</v>
      </c>
      <c r="W24" s="86">
        <v>0</v>
      </c>
      <c r="X24" s="52">
        <v>46218</v>
      </c>
      <c r="Y24" s="52">
        <v>46222</v>
      </c>
      <c r="Z24" s="18" t="s">
        <v>40</v>
      </c>
      <c r="AA24" s="132" t="s">
        <v>194</v>
      </c>
      <c r="AB24" s="89">
        <v>0</v>
      </c>
      <c r="AC24" s="51">
        <v>46223</v>
      </c>
      <c r="AD24" s="51">
        <v>46232</v>
      </c>
      <c r="AE24" s="22" t="s">
        <v>40</v>
      </c>
      <c r="AF24" s="119" t="s">
        <v>194</v>
      </c>
      <c r="AG24" s="91">
        <v>0</v>
      </c>
      <c r="AH24" s="50">
        <v>46243</v>
      </c>
      <c r="AI24" s="50">
        <v>46250</v>
      </c>
      <c r="AJ24" s="19" t="s">
        <v>165</v>
      </c>
      <c r="AK24" s="126" t="s">
        <v>194</v>
      </c>
      <c r="AL24" s="93">
        <v>0</v>
      </c>
      <c r="AM24" s="49">
        <v>46337</v>
      </c>
      <c r="AN24" s="49">
        <v>46343</v>
      </c>
      <c r="AO24" s="24" t="s">
        <v>40</v>
      </c>
      <c r="AP24" s="94">
        <v>0</v>
      </c>
    </row>
    <row r="25" spans="1:42" ht="13.5" customHeight="1">
      <c r="A25" s="7" t="s">
        <v>16</v>
      </c>
      <c r="B25" s="9" t="s">
        <v>57</v>
      </c>
      <c r="C25" s="6">
        <v>1</v>
      </c>
      <c r="D25" s="46">
        <v>46146</v>
      </c>
      <c r="E25" s="46">
        <v>46157</v>
      </c>
      <c r="F25" s="389" t="s">
        <v>34</v>
      </c>
      <c r="G25" s="382"/>
      <c r="H25" s="82">
        <v>1</v>
      </c>
      <c r="I25" s="47">
        <v>46160</v>
      </c>
      <c r="J25" s="47">
        <v>46169</v>
      </c>
      <c r="K25" s="13" t="s">
        <v>40</v>
      </c>
      <c r="L25" s="128" t="s">
        <v>194</v>
      </c>
      <c r="M25" s="84">
        <v>0</v>
      </c>
      <c r="N25" s="229">
        <v>46160</v>
      </c>
      <c r="O25" s="229">
        <v>46169</v>
      </c>
      <c r="P25" s="24" t="s">
        <v>40</v>
      </c>
      <c r="Q25" s="271" t="s">
        <v>194</v>
      </c>
      <c r="R25" s="385">
        <v>0</v>
      </c>
      <c r="S25" s="48">
        <v>46198</v>
      </c>
      <c r="T25" s="48">
        <v>46207</v>
      </c>
      <c r="U25" s="16" t="s">
        <v>40</v>
      </c>
      <c r="V25" s="65" t="s">
        <v>194</v>
      </c>
      <c r="W25" s="86">
        <v>0</v>
      </c>
      <c r="X25" s="52">
        <v>46218</v>
      </c>
      <c r="Y25" s="52">
        <v>46222</v>
      </c>
      <c r="Z25" s="18" t="s">
        <v>40</v>
      </c>
      <c r="AA25" s="132" t="s">
        <v>194</v>
      </c>
      <c r="AB25" s="89">
        <v>0</v>
      </c>
      <c r="AC25" s="51">
        <v>46223</v>
      </c>
      <c r="AD25" s="51">
        <v>46232</v>
      </c>
      <c r="AE25" s="22" t="s">
        <v>40</v>
      </c>
      <c r="AF25" s="119" t="s">
        <v>194</v>
      </c>
      <c r="AG25" s="91">
        <v>0</v>
      </c>
      <c r="AH25" s="50">
        <v>46243</v>
      </c>
      <c r="AI25" s="50">
        <v>46250</v>
      </c>
      <c r="AJ25" s="19" t="s">
        <v>165</v>
      </c>
      <c r="AK25" s="126" t="s">
        <v>194</v>
      </c>
      <c r="AL25" s="93">
        <v>0</v>
      </c>
      <c r="AM25" s="49">
        <v>46337</v>
      </c>
      <c r="AN25" s="49">
        <v>46343</v>
      </c>
      <c r="AO25" s="24" t="s">
        <v>40</v>
      </c>
      <c r="AP25" s="94">
        <v>0</v>
      </c>
    </row>
    <row r="26" spans="1:42" s="436" customFormat="1" ht="15">
      <c r="A26" s="423" t="s">
        <v>16</v>
      </c>
      <c r="B26" s="424" t="s">
        <v>58</v>
      </c>
      <c r="C26" s="425">
        <v>1</v>
      </c>
      <c r="D26" s="426">
        <v>46146</v>
      </c>
      <c r="E26" s="426">
        <v>46157</v>
      </c>
      <c r="F26" s="427" t="s">
        <v>34</v>
      </c>
      <c r="G26" s="428" t="s">
        <v>188</v>
      </c>
      <c r="H26" s="429">
        <v>0.6</v>
      </c>
      <c r="I26" s="426">
        <v>46160</v>
      </c>
      <c r="J26" s="426">
        <v>46169</v>
      </c>
      <c r="K26" s="427" t="s">
        <v>40</v>
      </c>
      <c r="L26" s="430" t="s">
        <v>189</v>
      </c>
      <c r="M26" s="429">
        <v>0</v>
      </c>
      <c r="N26" s="426">
        <v>46160</v>
      </c>
      <c r="O26" s="426">
        <v>46169</v>
      </c>
      <c r="P26" s="427" t="s">
        <v>40</v>
      </c>
      <c r="Q26" s="430" t="s">
        <v>189</v>
      </c>
      <c r="R26" s="431">
        <v>0</v>
      </c>
      <c r="S26" s="432">
        <v>46198</v>
      </c>
      <c r="T26" s="432">
        <v>46207</v>
      </c>
      <c r="U26" s="427" t="s">
        <v>40</v>
      </c>
      <c r="V26" s="427" t="s">
        <v>189</v>
      </c>
      <c r="W26" s="429">
        <v>0</v>
      </c>
      <c r="X26" s="432">
        <v>46218</v>
      </c>
      <c r="Y26" s="432">
        <v>46222</v>
      </c>
      <c r="Z26" s="427" t="s">
        <v>40</v>
      </c>
      <c r="AA26" s="433" t="s">
        <v>189</v>
      </c>
      <c r="AB26" s="429">
        <v>0</v>
      </c>
      <c r="AC26" s="432">
        <v>46223</v>
      </c>
      <c r="AD26" s="432">
        <v>46232</v>
      </c>
      <c r="AE26" s="427" t="s">
        <v>40</v>
      </c>
      <c r="AF26" s="427" t="s">
        <v>189</v>
      </c>
      <c r="AG26" s="429">
        <v>0</v>
      </c>
      <c r="AH26" s="432">
        <v>46243</v>
      </c>
      <c r="AI26" s="432">
        <v>46250</v>
      </c>
      <c r="AJ26" s="434" t="s">
        <v>165</v>
      </c>
      <c r="AK26" s="435" t="s">
        <v>199</v>
      </c>
      <c r="AL26" s="429">
        <v>0</v>
      </c>
      <c r="AM26" s="432">
        <v>46337</v>
      </c>
      <c r="AN26" s="432">
        <v>46343</v>
      </c>
      <c r="AO26" s="427" t="s">
        <v>40</v>
      </c>
      <c r="AP26" s="429">
        <v>0</v>
      </c>
    </row>
    <row r="27" spans="1:42" s="416" customFormat="1" ht="12.75" customHeight="1">
      <c r="A27" s="408" t="s">
        <v>16</v>
      </c>
      <c r="B27" s="296" t="s">
        <v>59</v>
      </c>
      <c r="C27" s="409">
        <v>1</v>
      </c>
      <c r="D27" s="410">
        <v>46146</v>
      </c>
      <c r="E27" s="410">
        <v>46157</v>
      </c>
      <c r="F27" s="391" t="s">
        <v>40</v>
      </c>
      <c r="G27" s="383" t="s">
        <v>200</v>
      </c>
      <c r="H27" s="387">
        <v>0</v>
      </c>
      <c r="I27" s="410">
        <v>46160</v>
      </c>
      <c r="J27" s="410">
        <v>46169</v>
      </c>
      <c r="K27" s="391" t="s">
        <v>40</v>
      </c>
      <c r="L27" s="411" t="s">
        <v>201</v>
      </c>
      <c r="M27" s="412">
        <v>0</v>
      </c>
      <c r="N27" s="410">
        <v>46160</v>
      </c>
      <c r="O27" s="410">
        <v>46169</v>
      </c>
      <c r="P27" s="391" t="s">
        <v>40</v>
      </c>
      <c r="Q27" s="411" t="s">
        <v>201</v>
      </c>
      <c r="R27" s="387">
        <v>0</v>
      </c>
      <c r="S27" s="413">
        <v>46198</v>
      </c>
      <c r="T27" s="413">
        <v>46207</v>
      </c>
      <c r="U27" s="391" t="s">
        <v>40</v>
      </c>
      <c r="V27" s="414" t="s">
        <v>201</v>
      </c>
      <c r="W27" s="412">
        <v>0</v>
      </c>
      <c r="X27" s="413">
        <v>46218</v>
      </c>
      <c r="Y27" s="413">
        <v>46222</v>
      </c>
      <c r="Z27" s="391" t="s">
        <v>40</v>
      </c>
      <c r="AA27" s="411" t="s">
        <v>201</v>
      </c>
      <c r="AB27" s="412">
        <v>0</v>
      </c>
      <c r="AC27" s="413">
        <v>46223</v>
      </c>
      <c r="AD27" s="413">
        <v>46232</v>
      </c>
      <c r="AE27" s="391" t="s">
        <v>40</v>
      </c>
      <c r="AF27" s="411" t="s">
        <v>201</v>
      </c>
      <c r="AG27" s="412">
        <v>0</v>
      </c>
      <c r="AH27" s="413">
        <v>46243</v>
      </c>
      <c r="AI27" s="413">
        <v>46250</v>
      </c>
      <c r="AJ27" s="415" t="s">
        <v>165</v>
      </c>
      <c r="AK27" s="414" t="s">
        <v>190</v>
      </c>
      <c r="AL27" s="412">
        <v>0</v>
      </c>
      <c r="AM27" s="413">
        <v>46337</v>
      </c>
      <c r="AN27" s="413">
        <v>46343</v>
      </c>
      <c r="AO27" s="391" t="s">
        <v>40</v>
      </c>
      <c r="AP27" s="412">
        <v>0</v>
      </c>
    </row>
    <row r="28" spans="1:42" ht="15">
      <c r="A28" s="7" t="s">
        <v>16</v>
      </c>
      <c r="B28" s="9" t="s">
        <v>60</v>
      </c>
      <c r="C28" s="6">
        <v>1</v>
      </c>
      <c r="D28" s="46">
        <v>46146</v>
      </c>
      <c r="E28" s="46">
        <v>46157</v>
      </c>
      <c r="F28" s="34" t="s">
        <v>34</v>
      </c>
      <c r="G28" s="382" t="s">
        <v>202</v>
      </c>
      <c r="H28" s="82">
        <v>0.9</v>
      </c>
      <c r="I28" s="47">
        <v>46160</v>
      </c>
      <c r="J28" s="47">
        <v>46169</v>
      </c>
      <c r="K28" s="13" t="s">
        <v>40</v>
      </c>
      <c r="L28" s="128" t="s">
        <v>203</v>
      </c>
      <c r="M28" s="84">
        <v>0</v>
      </c>
      <c r="N28" s="229">
        <v>46160</v>
      </c>
      <c r="O28" s="229">
        <v>46169</v>
      </c>
      <c r="P28" s="24" t="s">
        <v>40</v>
      </c>
      <c r="Q28" s="271" t="s">
        <v>203</v>
      </c>
      <c r="R28" s="385">
        <v>0.5</v>
      </c>
      <c r="S28" s="48">
        <v>46198</v>
      </c>
      <c r="T28" s="48">
        <v>46207</v>
      </c>
      <c r="U28" s="16" t="s">
        <v>40</v>
      </c>
      <c r="V28" s="65" t="s">
        <v>203</v>
      </c>
      <c r="W28" s="86">
        <v>0</v>
      </c>
      <c r="X28" s="52">
        <v>46218</v>
      </c>
      <c r="Y28" s="52">
        <v>46222</v>
      </c>
      <c r="Z28" s="18" t="s">
        <v>40</v>
      </c>
      <c r="AA28" s="132" t="s">
        <v>204</v>
      </c>
      <c r="AB28" s="89">
        <v>0</v>
      </c>
      <c r="AC28" s="51">
        <v>46223</v>
      </c>
      <c r="AD28" s="51">
        <v>46232</v>
      </c>
      <c r="AE28" s="22" t="s">
        <v>40</v>
      </c>
      <c r="AF28" s="119" t="s">
        <v>203</v>
      </c>
      <c r="AG28" s="91">
        <v>0</v>
      </c>
      <c r="AH28" s="50">
        <v>46243</v>
      </c>
      <c r="AI28" s="50">
        <v>46250</v>
      </c>
      <c r="AJ28" s="19" t="s">
        <v>165</v>
      </c>
      <c r="AK28" s="102" t="s">
        <v>190</v>
      </c>
      <c r="AL28" s="93">
        <v>0</v>
      </c>
      <c r="AM28" s="49">
        <v>46337</v>
      </c>
      <c r="AN28" s="49">
        <v>46343</v>
      </c>
      <c r="AO28" s="24" t="s">
        <v>40</v>
      </c>
      <c r="AP28" s="94">
        <v>0</v>
      </c>
    </row>
    <row r="29" spans="1:42" s="422" customFormat="1" ht="15">
      <c r="A29" s="217" t="s">
        <v>16</v>
      </c>
      <c r="B29" s="417" t="s">
        <v>61</v>
      </c>
      <c r="C29" s="418">
        <v>1</v>
      </c>
      <c r="D29" s="216">
        <v>46146</v>
      </c>
      <c r="E29" s="216">
        <v>46157</v>
      </c>
      <c r="F29" s="65" t="s">
        <v>34</v>
      </c>
      <c r="G29" s="419" t="s">
        <v>205</v>
      </c>
      <c r="H29" s="86">
        <v>0.9</v>
      </c>
      <c r="I29" s="216">
        <v>46160</v>
      </c>
      <c r="J29" s="216">
        <v>46169</v>
      </c>
      <c r="K29" s="16" t="s">
        <v>40</v>
      </c>
      <c r="L29" s="125" t="s">
        <v>203</v>
      </c>
      <c r="M29" s="86">
        <v>0</v>
      </c>
      <c r="N29" s="216">
        <v>46160</v>
      </c>
      <c r="O29" s="216">
        <v>46169</v>
      </c>
      <c r="P29" s="16" t="s">
        <v>40</v>
      </c>
      <c r="Q29" s="125" t="s">
        <v>203</v>
      </c>
      <c r="R29" s="420">
        <v>0.9</v>
      </c>
      <c r="S29" s="48">
        <v>46198</v>
      </c>
      <c r="T29" s="48">
        <v>46207</v>
      </c>
      <c r="U29" s="16" t="s">
        <v>34</v>
      </c>
      <c r="V29" s="16" t="s">
        <v>203</v>
      </c>
      <c r="W29" s="86">
        <v>1</v>
      </c>
      <c r="X29" s="48">
        <v>46218</v>
      </c>
      <c r="Y29" s="48">
        <v>46222</v>
      </c>
      <c r="Z29" s="16" t="s">
        <v>40</v>
      </c>
      <c r="AA29" s="421" t="s">
        <v>203</v>
      </c>
      <c r="AB29" s="86">
        <v>0</v>
      </c>
      <c r="AC29" s="48">
        <v>46223</v>
      </c>
      <c r="AD29" s="48">
        <v>46232</v>
      </c>
      <c r="AE29" s="16" t="s">
        <v>40</v>
      </c>
      <c r="AF29" s="16" t="s">
        <v>203</v>
      </c>
      <c r="AG29" s="86">
        <v>0</v>
      </c>
      <c r="AH29" s="48">
        <v>46243</v>
      </c>
      <c r="AI29" s="48">
        <v>46250</v>
      </c>
      <c r="AJ29" s="15" t="s">
        <v>165</v>
      </c>
      <c r="AK29" s="65" t="s">
        <v>190</v>
      </c>
      <c r="AL29" s="86">
        <v>0</v>
      </c>
      <c r="AM29" s="48">
        <v>46337</v>
      </c>
      <c r="AN29" s="48">
        <v>46343</v>
      </c>
      <c r="AO29" s="16" t="s">
        <v>40</v>
      </c>
      <c r="AP29" s="86">
        <v>0</v>
      </c>
    </row>
    <row r="30" spans="1:42" ht="15">
      <c r="A30" s="7" t="s">
        <v>16</v>
      </c>
      <c r="B30" s="9" t="s">
        <v>62</v>
      </c>
      <c r="C30" s="6">
        <v>1</v>
      </c>
      <c r="D30" s="46">
        <v>46146</v>
      </c>
      <c r="E30" s="46">
        <v>46157</v>
      </c>
      <c r="F30" s="34" t="s">
        <v>34</v>
      </c>
      <c r="G30" s="382"/>
      <c r="H30" s="82">
        <v>1</v>
      </c>
      <c r="I30" s="47">
        <v>46160</v>
      </c>
      <c r="J30" s="47">
        <v>46169</v>
      </c>
      <c r="K30" s="13" t="s">
        <v>40</v>
      </c>
      <c r="L30" s="128" t="s">
        <v>194</v>
      </c>
      <c r="M30" s="84">
        <v>0</v>
      </c>
      <c r="N30" s="229">
        <v>46160</v>
      </c>
      <c r="O30" s="229">
        <v>46169</v>
      </c>
      <c r="P30" s="24" t="s">
        <v>40</v>
      </c>
      <c r="Q30" s="271" t="s">
        <v>194</v>
      </c>
      <c r="R30" s="385">
        <v>0</v>
      </c>
      <c r="S30" s="48">
        <v>46198</v>
      </c>
      <c r="T30" s="48">
        <v>46207</v>
      </c>
      <c r="U30" s="16" t="s">
        <v>40</v>
      </c>
      <c r="V30" s="65" t="s">
        <v>194</v>
      </c>
      <c r="W30" s="86">
        <v>0</v>
      </c>
      <c r="X30" s="52">
        <v>46218</v>
      </c>
      <c r="Y30" s="52">
        <v>46222</v>
      </c>
      <c r="Z30" s="18" t="s">
        <v>40</v>
      </c>
      <c r="AA30" s="132" t="s">
        <v>194</v>
      </c>
      <c r="AB30" s="89">
        <v>0</v>
      </c>
      <c r="AC30" s="51">
        <v>46223</v>
      </c>
      <c r="AD30" s="51">
        <v>46232</v>
      </c>
      <c r="AE30" s="22" t="s">
        <v>40</v>
      </c>
      <c r="AF30" s="119" t="s">
        <v>194</v>
      </c>
      <c r="AG30" s="91">
        <v>0</v>
      </c>
      <c r="AH30" s="50">
        <v>46243</v>
      </c>
      <c r="AI30" s="50">
        <v>46250</v>
      </c>
      <c r="AJ30" s="19" t="s">
        <v>165</v>
      </c>
      <c r="AK30" s="126" t="s">
        <v>194</v>
      </c>
      <c r="AL30" s="93">
        <v>0</v>
      </c>
      <c r="AM30" s="49">
        <v>46337</v>
      </c>
      <c r="AN30" s="49">
        <v>46343</v>
      </c>
      <c r="AO30" s="24" t="s">
        <v>40</v>
      </c>
      <c r="AP30" s="94">
        <v>0</v>
      </c>
    </row>
    <row r="31" spans="1:42" ht="15">
      <c r="A31" s="7" t="s">
        <v>16</v>
      </c>
      <c r="B31" s="9" t="s">
        <v>63</v>
      </c>
      <c r="C31" s="6">
        <v>1</v>
      </c>
      <c r="D31" s="46">
        <v>46146</v>
      </c>
      <c r="E31" s="46">
        <v>46157</v>
      </c>
      <c r="F31" s="34" t="s">
        <v>34</v>
      </c>
      <c r="G31" s="382"/>
      <c r="H31" s="82">
        <v>1</v>
      </c>
      <c r="I31" s="47">
        <v>46160</v>
      </c>
      <c r="J31" s="47">
        <v>46169</v>
      </c>
      <c r="K31" s="13" t="s">
        <v>40</v>
      </c>
      <c r="L31" s="128" t="s">
        <v>194</v>
      </c>
      <c r="M31" s="84">
        <v>0</v>
      </c>
      <c r="N31" s="229">
        <v>46160</v>
      </c>
      <c r="O31" s="229">
        <v>46169</v>
      </c>
      <c r="P31" s="24" t="s">
        <v>40</v>
      </c>
      <c r="Q31" s="271" t="s">
        <v>194</v>
      </c>
      <c r="R31" s="385">
        <v>0</v>
      </c>
      <c r="S31" s="48">
        <v>46198</v>
      </c>
      <c r="T31" s="48">
        <v>46207</v>
      </c>
      <c r="U31" s="16" t="s">
        <v>40</v>
      </c>
      <c r="V31" s="65" t="s">
        <v>194</v>
      </c>
      <c r="W31" s="86">
        <v>0</v>
      </c>
      <c r="X31" s="52">
        <v>46218</v>
      </c>
      <c r="Y31" s="52">
        <v>46222</v>
      </c>
      <c r="Z31" s="18" t="s">
        <v>40</v>
      </c>
      <c r="AA31" s="132" t="s">
        <v>194</v>
      </c>
      <c r="AB31" s="89">
        <v>0</v>
      </c>
      <c r="AC31" s="51">
        <v>46223</v>
      </c>
      <c r="AD31" s="51">
        <v>46232</v>
      </c>
      <c r="AE31" s="22" t="s">
        <v>40</v>
      </c>
      <c r="AF31" s="119" t="s">
        <v>194</v>
      </c>
      <c r="AG31" s="91">
        <v>0</v>
      </c>
      <c r="AH31" s="50">
        <v>46243</v>
      </c>
      <c r="AI31" s="50">
        <v>46250</v>
      </c>
      <c r="AJ31" s="19" t="s">
        <v>165</v>
      </c>
      <c r="AK31" s="126" t="s">
        <v>194</v>
      </c>
      <c r="AL31" s="93">
        <v>0</v>
      </c>
      <c r="AM31" s="49">
        <v>46337</v>
      </c>
      <c r="AN31" s="49">
        <v>46343</v>
      </c>
      <c r="AO31" s="24" t="s">
        <v>40</v>
      </c>
      <c r="AP31" s="94">
        <v>0</v>
      </c>
    </row>
    <row r="32" spans="1:42" ht="15">
      <c r="A32" s="7" t="s">
        <v>16</v>
      </c>
      <c r="B32" s="9" t="s">
        <v>64</v>
      </c>
      <c r="C32" s="6">
        <v>1</v>
      </c>
      <c r="D32" s="46">
        <v>46146</v>
      </c>
      <c r="E32" s="46">
        <v>46157</v>
      </c>
      <c r="F32" s="34" t="s">
        <v>34</v>
      </c>
      <c r="G32" s="382"/>
      <c r="H32" s="82">
        <v>1</v>
      </c>
      <c r="I32" s="47">
        <v>46160</v>
      </c>
      <c r="J32" s="47">
        <v>46169</v>
      </c>
      <c r="K32" s="13" t="s">
        <v>40</v>
      </c>
      <c r="L32" s="128" t="s">
        <v>194</v>
      </c>
      <c r="M32" s="84">
        <v>0</v>
      </c>
      <c r="N32" s="229">
        <v>46160</v>
      </c>
      <c r="O32" s="229">
        <v>46169</v>
      </c>
      <c r="P32" s="24" t="s">
        <v>40</v>
      </c>
      <c r="Q32" s="271" t="s">
        <v>194</v>
      </c>
      <c r="R32" s="385">
        <v>0</v>
      </c>
      <c r="S32" s="48">
        <v>46198</v>
      </c>
      <c r="T32" s="48">
        <v>46207</v>
      </c>
      <c r="U32" s="16" t="s">
        <v>40</v>
      </c>
      <c r="V32" s="65" t="s">
        <v>194</v>
      </c>
      <c r="W32" s="86">
        <v>0</v>
      </c>
      <c r="X32" s="52">
        <v>46218</v>
      </c>
      <c r="Y32" s="52">
        <v>46222</v>
      </c>
      <c r="Z32" s="18" t="s">
        <v>40</v>
      </c>
      <c r="AA32" s="132" t="s">
        <v>194</v>
      </c>
      <c r="AB32" s="89">
        <v>0</v>
      </c>
      <c r="AC32" s="51">
        <v>46223</v>
      </c>
      <c r="AD32" s="51">
        <v>46232</v>
      </c>
      <c r="AE32" s="22" t="s">
        <v>40</v>
      </c>
      <c r="AF32" s="119" t="s">
        <v>194</v>
      </c>
      <c r="AG32" s="91">
        <v>0</v>
      </c>
      <c r="AH32" s="50">
        <v>46243</v>
      </c>
      <c r="AI32" s="50">
        <v>46250</v>
      </c>
      <c r="AJ32" s="19" t="s">
        <v>165</v>
      </c>
      <c r="AK32" s="126" t="s">
        <v>194</v>
      </c>
      <c r="AL32" s="93">
        <v>0</v>
      </c>
      <c r="AM32" s="49">
        <v>46337</v>
      </c>
      <c r="AN32" s="49">
        <v>46343</v>
      </c>
      <c r="AO32" s="24" t="s">
        <v>40</v>
      </c>
      <c r="AP32" s="94">
        <v>0</v>
      </c>
    </row>
    <row r="33" spans="1:42" ht="15">
      <c r="A33" s="7" t="s">
        <v>16</v>
      </c>
      <c r="B33" s="9" t="s">
        <v>65</v>
      </c>
      <c r="C33" s="6">
        <v>1</v>
      </c>
      <c r="D33" s="46">
        <v>46146</v>
      </c>
      <c r="E33" s="46">
        <v>46157</v>
      </c>
      <c r="F33" s="34" t="s">
        <v>34</v>
      </c>
      <c r="G33" s="382"/>
      <c r="H33" s="82">
        <v>1</v>
      </c>
      <c r="I33" s="47">
        <v>46160</v>
      </c>
      <c r="J33" s="47">
        <v>46169</v>
      </c>
      <c r="K33" s="13" t="s">
        <v>40</v>
      </c>
      <c r="L33" s="128" t="s">
        <v>194</v>
      </c>
      <c r="M33" s="84">
        <v>0</v>
      </c>
      <c r="N33" s="229">
        <v>46160</v>
      </c>
      <c r="O33" s="229">
        <v>46169</v>
      </c>
      <c r="P33" s="24" t="s">
        <v>40</v>
      </c>
      <c r="Q33" s="271" t="s">
        <v>194</v>
      </c>
      <c r="R33" s="385">
        <v>0</v>
      </c>
      <c r="S33" s="48">
        <v>46198</v>
      </c>
      <c r="T33" s="48">
        <v>46207</v>
      </c>
      <c r="U33" s="16" t="s">
        <v>40</v>
      </c>
      <c r="V33" s="65" t="s">
        <v>194</v>
      </c>
      <c r="W33" s="86">
        <v>0</v>
      </c>
      <c r="X33" s="52">
        <v>46218</v>
      </c>
      <c r="Y33" s="52">
        <v>46222</v>
      </c>
      <c r="Z33" s="18" t="s">
        <v>40</v>
      </c>
      <c r="AA33" s="132" t="s">
        <v>194</v>
      </c>
      <c r="AB33" s="89">
        <v>0</v>
      </c>
      <c r="AC33" s="51">
        <v>46223</v>
      </c>
      <c r="AD33" s="51">
        <v>46232</v>
      </c>
      <c r="AE33" s="22" t="s">
        <v>40</v>
      </c>
      <c r="AF33" s="119" t="s">
        <v>194</v>
      </c>
      <c r="AG33" s="91">
        <v>0</v>
      </c>
      <c r="AH33" s="50">
        <v>46243</v>
      </c>
      <c r="AI33" s="50">
        <v>46250</v>
      </c>
      <c r="AJ33" s="19" t="s">
        <v>165</v>
      </c>
      <c r="AK33" s="126" t="s">
        <v>194</v>
      </c>
      <c r="AL33" s="93">
        <v>0</v>
      </c>
      <c r="AM33" s="49">
        <v>46337</v>
      </c>
      <c r="AN33" s="49">
        <v>46343</v>
      </c>
      <c r="AO33" s="24" t="s">
        <v>40</v>
      </c>
      <c r="AP33" s="94">
        <v>0</v>
      </c>
    </row>
    <row r="34" spans="1:42" ht="15">
      <c r="A34" s="7" t="s">
        <v>16</v>
      </c>
      <c r="B34" s="9" t="s">
        <v>66</v>
      </c>
      <c r="C34" s="6">
        <v>1</v>
      </c>
      <c r="D34" s="46">
        <v>46146</v>
      </c>
      <c r="E34" s="46">
        <v>46157</v>
      </c>
      <c r="F34" s="34" t="s">
        <v>34</v>
      </c>
      <c r="G34" s="382"/>
      <c r="H34" s="82">
        <v>1</v>
      </c>
      <c r="I34" s="47">
        <v>46170</v>
      </c>
      <c r="J34" s="47">
        <v>46183</v>
      </c>
      <c r="K34" s="13" t="s">
        <v>40</v>
      </c>
      <c r="L34" s="128" t="s">
        <v>194</v>
      </c>
      <c r="M34" s="84">
        <v>0</v>
      </c>
      <c r="N34" s="229">
        <v>46170</v>
      </c>
      <c r="O34" s="229">
        <v>46183</v>
      </c>
      <c r="P34" s="24" t="s">
        <v>40</v>
      </c>
      <c r="Q34" s="271" t="s">
        <v>194</v>
      </c>
      <c r="R34" s="385">
        <v>0</v>
      </c>
      <c r="S34" s="48">
        <v>46198</v>
      </c>
      <c r="T34" s="48">
        <v>46207</v>
      </c>
      <c r="U34" s="16" t="s">
        <v>40</v>
      </c>
      <c r="V34" s="65" t="s">
        <v>194</v>
      </c>
      <c r="W34" s="86">
        <v>0</v>
      </c>
      <c r="X34" s="52">
        <v>46218</v>
      </c>
      <c r="Y34" s="52">
        <v>46222</v>
      </c>
      <c r="Z34" s="18" t="s">
        <v>40</v>
      </c>
      <c r="AA34" s="132" t="s">
        <v>194</v>
      </c>
      <c r="AB34" s="89">
        <v>0</v>
      </c>
      <c r="AC34" s="51">
        <v>46223</v>
      </c>
      <c r="AD34" s="51">
        <v>46232</v>
      </c>
      <c r="AE34" s="22" t="s">
        <v>40</v>
      </c>
      <c r="AF34" s="119" t="s">
        <v>194</v>
      </c>
      <c r="AG34" s="91">
        <v>0</v>
      </c>
      <c r="AH34" s="50">
        <v>46243</v>
      </c>
      <c r="AI34" s="50">
        <v>46250</v>
      </c>
      <c r="AJ34" s="19" t="s">
        <v>165</v>
      </c>
      <c r="AK34" s="126" t="s">
        <v>194</v>
      </c>
      <c r="AL34" s="93">
        <v>0</v>
      </c>
      <c r="AM34" s="49">
        <v>46337</v>
      </c>
      <c r="AN34" s="49">
        <v>46343</v>
      </c>
      <c r="AO34" s="24" t="s">
        <v>40</v>
      </c>
      <c r="AP34" s="94">
        <v>0</v>
      </c>
    </row>
    <row r="35" spans="1:42" ht="15">
      <c r="A35" s="7" t="s">
        <v>16</v>
      </c>
      <c r="B35" s="9" t="s">
        <v>67</v>
      </c>
      <c r="C35" s="6">
        <v>1</v>
      </c>
      <c r="D35" s="46">
        <v>46146</v>
      </c>
      <c r="E35" s="46">
        <v>46157</v>
      </c>
      <c r="F35" s="34" t="s">
        <v>34</v>
      </c>
      <c r="G35" s="382"/>
      <c r="H35" s="82">
        <v>1</v>
      </c>
      <c r="I35" s="47">
        <v>46170</v>
      </c>
      <c r="J35" s="47">
        <v>46183</v>
      </c>
      <c r="K35" s="13" t="s">
        <v>40</v>
      </c>
      <c r="L35" s="128" t="s">
        <v>194</v>
      </c>
      <c r="M35" s="84">
        <v>0</v>
      </c>
      <c r="N35" s="229">
        <v>46170</v>
      </c>
      <c r="O35" s="229">
        <v>46183</v>
      </c>
      <c r="P35" s="24" t="s">
        <v>40</v>
      </c>
      <c r="Q35" s="271" t="s">
        <v>194</v>
      </c>
      <c r="R35" s="385">
        <v>0</v>
      </c>
      <c r="S35" s="48">
        <v>46198</v>
      </c>
      <c r="T35" s="48">
        <v>46207</v>
      </c>
      <c r="U35" s="16" t="s">
        <v>40</v>
      </c>
      <c r="V35" s="65" t="s">
        <v>194</v>
      </c>
      <c r="W35" s="86">
        <v>0</v>
      </c>
      <c r="X35" s="52">
        <v>46218</v>
      </c>
      <c r="Y35" s="52">
        <v>46222</v>
      </c>
      <c r="Z35" s="18" t="s">
        <v>40</v>
      </c>
      <c r="AA35" s="132" t="s">
        <v>194</v>
      </c>
      <c r="AB35" s="89">
        <v>0</v>
      </c>
      <c r="AC35" s="51">
        <v>46223</v>
      </c>
      <c r="AD35" s="51">
        <v>46232</v>
      </c>
      <c r="AE35" s="22" t="s">
        <v>40</v>
      </c>
      <c r="AF35" s="119" t="s">
        <v>194</v>
      </c>
      <c r="AG35" s="91">
        <v>0</v>
      </c>
      <c r="AH35" s="50">
        <v>46243</v>
      </c>
      <c r="AI35" s="50">
        <v>46250</v>
      </c>
      <c r="AJ35" s="19" t="s">
        <v>165</v>
      </c>
      <c r="AK35" s="126" t="s">
        <v>194</v>
      </c>
      <c r="AL35" s="93">
        <v>0</v>
      </c>
      <c r="AM35" s="49">
        <v>46337</v>
      </c>
      <c r="AN35" s="49">
        <v>46343</v>
      </c>
      <c r="AO35" s="24" t="s">
        <v>40</v>
      </c>
      <c r="AP35" s="94">
        <v>0</v>
      </c>
    </row>
    <row r="36" spans="1:42" ht="15">
      <c r="A36" s="7" t="s">
        <v>16</v>
      </c>
      <c r="B36" s="9" t="s">
        <v>68</v>
      </c>
      <c r="C36" s="6">
        <v>1</v>
      </c>
      <c r="D36" s="46">
        <v>46146</v>
      </c>
      <c r="E36" s="46">
        <v>46157</v>
      </c>
      <c r="F36" s="34" t="s">
        <v>34</v>
      </c>
      <c r="G36" s="382" t="s">
        <v>206</v>
      </c>
      <c r="H36" s="82">
        <v>0.9</v>
      </c>
      <c r="I36" s="47">
        <v>46170</v>
      </c>
      <c r="J36" s="47">
        <v>46183</v>
      </c>
      <c r="K36" s="13" t="s">
        <v>40</v>
      </c>
      <c r="L36" s="128" t="s">
        <v>194</v>
      </c>
      <c r="M36" s="84">
        <v>0</v>
      </c>
      <c r="N36" s="229">
        <v>46170</v>
      </c>
      <c r="O36" s="229">
        <v>46183</v>
      </c>
      <c r="P36" s="24" t="s">
        <v>40</v>
      </c>
      <c r="Q36" s="271" t="s">
        <v>194</v>
      </c>
      <c r="R36" s="385">
        <v>0</v>
      </c>
      <c r="S36" s="48">
        <v>46198</v>
      </c>
      <c r="T36" s="48">
        <v>46207</v>
      </c>
      <c r="U36" s="16" t="s">
        <v>40</v>
      </c>
      <c r="V36" s="65" t="s">
        <v>194</v>
      </c>
      <c r="W36" s="86">
        <v>0</v>
      </c>
      <c r="X36" s="52">
        <v>46218</v>
      </c>
      <c r="Y36" s="52">
        <v>46222</v>
      </c>
      <c r="Z36" s="18" t="s">
        <v>40</v>
      </c>
      <c r="AA36" s="132" t="s">
        <v>194</v>
      </c>
      <c r="AB36" s="89">
        <v>0</v>
      </c>
      <c r="AC36" s="51">
        <v>46223</v>
      </c>
      <c r="AD36" s="51">
        <v>46232</v>
      </c>
      <c r="AE36" s="22" t="s">
        <v>40</v>
      </c>
      <c r="AF36" s="119" t="s">
        <v>194</v>
      </c>
      <c r="AG36" s="91">
        <v>0</v>
      </c>
      <c r="AH36" s="50">
        <v>46243</v>
      </c>
      <c r="AI36" s="50">
        <v>46250</v>
      </c>
      <c r="AJ36" s="19" t="s">
        <v>165</v>
      </c>
      <c r="AK36" s="126" t="s">
        <v>194</v>
      </c>
      <c r="AL36" s="93">
        <v>0</v>
      </c>
      <c r="AM36" s="49">
        <v>46337</v>
      </c>
      <c r="AN36" s="49">
        <v>46343</v>
      </c>
      <c r="AO36" s="24" t="s">
        <v>40</v>
      </c>
      <c r="AP36" s="94">
        <v>0</v>
      </c>
    </row>
    <row r="37" spans="1:42" ht="15">
      <c r="A37" s="7" t="s">
        <v>16</v>
      </c>
      <c r="B37" s="9" t="s">
        <v>69</v>
      </c>
      <c r="C37" s="6">
        <v>1</v>
      </c>
      <c r="D37" s="46">
        <v>46146</v>
      </c>
      <c r="E37" s="46">
        <v>46157</v>
      </c>
      <c r="F37" s="34" t="s">
        <v>34</v>
      </c>
      <c r="G37" s="382"/>
      <c r="H37" s="82">
        <v>0.8</v>
      </c>
      <c r="I37" s="47">
        <v>46170</v>
      </c>
      <c r="J37" s="47">
        <v>46183</v>
      </c>
      <c r="K37" s="13" t="s">
        <v>40</v>
      </c>
      <c r="L37" s="128" t="s">
        <v>194</v>
      </c>
      <c r="M37" s="84">
        <v>0</v>
      </c>
      <c r="N37" s="229">
        <v>46170</v>
      </c>
      <c r="O37" s="229">
        <v>46183</v>
      </c>
      <c r="P37" s="24" t="s">
        <v>40</v>
      </c>
      <c r="Q37" s="271" t="s">
        <v>194</v>
      </c>
      <c r="R37" s="385">
        <v>0</v>
      </c>
      <c r="S37" s="48">
        <v>46198</v>
      </c>
      <c r="T37" s="48">
        <v>46207</v>
      </c>
      <c r="U37" s="16" t="s">
        <v>40</v>
      </c>
      <c r="V37" s="65" t="s">
        <v>194</v>
      </c>
      <c r="W37" s="86">
        <v>0</v>
      </c>
      <c r="X37" s="52">
        <v>46218</v>
      </c>
      <c r="Y37" s="52">
        <v>46222</v>
      </c>
      <c r="Z37" s="18" t="s">
        <v>40</v>
      </c>
      <c r="AA37" s="132" t="s">
        <v>194</v>
      </c>
      <c r="AB37" s="89">
        <v>0</v>
      </c>
      <c r="AC37" s="51">
        <v>46223</v>
      </c>
      <c r="AD37" s="51">
        <v>46232</v>
      </c>
      <c r="AE37" s="22" t="s">
        <v>40</v>
      </c>
      <c r="AF37" s="119" t="s">
        <v>194</v>
      </c>
      <c r="AG37" s="91">
        <v>0</v>
      </c>
      <c r="AH37" s="50">
        <v>46243</v>
      </c>
      <c r="AI37" s="50">
        <v>46250</v>
      </c>
      <c r="AJ37" s="19" t="s">
        <v>165</v>
      </c>
      <c r="AK37" s="126" t="s">
        <v>194</v>
      </c>
      <c r="AL37" s="93">
        <v>0</v>
      </c>
      <c r="AM37" s="49">
        <v>46337</v>
      </c>
      <c r="AN37" s="49">
        <v>46343</v>
      </c>
      <c r="AO37" s="24" t="s">
        <v>40</v>
      </c>
      <c r="AP37" s="94">
        <v>0</v>
      </c>
    </row>
    <row r="38" spans="1:42" s="436" customFormat="1" ht="15">
      <c r="A38" s="423" t="s">
        <v>16</v>
      </c>
      <c r="B38" s="424" t="s">
        <v>71</v>
      </c>
      <c r="C38" s="425">
        <v>1</v>
      </c>
      <c r="D38" s="426">
        <v>46146</v>
      </c>
      <c r="E38" s="426">
        <v>46157</v>
      </c>
      <c r="F38" s="427" t="s">
        <v>34</v>
      </c>
      <c r="G38" s="428" t="s">
        <v>188</v>
      </c>
      <c r="H38" s="429">
        <v>1</v>
      </c>
      <c r="I38" s="426">
        <v>46170</v>
      </c>
      <c r="J38" s="426">
        <v>46183</v>
      </c>
      <c r="K38" s="427" t="s">
        <v>40</v>
      </c>
      <c r="L38" s="430" t="s">
        <v>189</v>
      </c>
      <c r="M38" s="429">
        <v>0</v>
      </c>
      <c r="N38" s="426">
        <v>46170</v>
      </c>
      <c r="O38" s="426">
        <v>46183</v>
      </c>
      <c r="P38" s="427" t="s">
        <v>40</v>
      </c>
      <c r="Q38" s="430" t="s">
        <v>189</v>
      </c>
      <c r="R38" s="431">
        <v>0</v>
      </c>
      <c r="S38" s="432">
        <v>46198</v>
      </c>
      <c r="T38" s="432">
        <v>46207</v>
      </c>
      <c r="U38" s="427" t="s">
        <v>40</v>
      </c>
      <c r="V38" s="427" t="s">
        <v>189</v>
      </c>
      <c r="W38" s="429">
        <v>0</v>
      </c>
      <c r="X38" s="432">
        <v>46218</v>
      </c>
      <c r="Y38" s="432">
        <v>46222</v>
      </c>
      <c r="Z38" s="427" t="s">
        <v>40</v>
      </c>
      <c r="AA38" s="433" t="s">
        <v>189</v>
      </c>
      <c r="AB38" s="429">
        <v>0</v>
      </c>
      <c r="AC38" s="432">
        <v>46223</v>
      </c>
      <c r="AD38" s="432">
        <v>46232</v>
      </c>
      <c r="AE38" s="427" t="s">
        <v>40</v>
      </c>
      <c r="AF38" s="427" t="s">
        <v>189</v>
      </c>
      <c r="AG38" s="429">
        <v>0</v>
      </c>
      <c r="AH38" s="432">
        <v>46243</v>
      </c>
      <c r="AI38" s="432">
        <v>46250</v>
      </c>
      <c r="AJ38" s="434" t="s">
        <v>165</v>
      </c>
      <c r="AK38" s="435" t="s">
        <v>199</v>
      </c>
      <c r="AL38" s="429">
        <v>0</v>
      </c>
      <c r="AM38" s="432">
        <v>46337</v>
      </c>
      <c r="AN38" s="432">
        <v>46343</v>
      </c>
      <c r="AO38" s="427" t="s">
        <v>40</v>
      </c>
      <c r="AP38" s="429">
        <v>0</v>
      </c>
    </row>
    <row r="39" spans="1:42" s="416" customFormat="1" ht="15">
      <c r="A39" s="408" t="s">
        <v>16</v>
      </c>
      <c r="B39" s="296" t="s">
        <v>72</v>
      </c>
      <c r="C39" s="409">
        <v>1</v>
      </c>
      <c r="D39" s="410">
        <v>46146</v>
      </c>
      <c r="E39" s="410">
        <v>46157</v>
      </c>
      <c r="F39" s="391" t="s">
        <v>40</v>
      </c>
      <c r="G39" s="383" t="s">
        <v>200</v>
      </c>
      <c r="H39" s="387">
        <v>0</v>
      </c>
      <c r="I39" s="410">
        <v>46170</v>
      </c>
      <c r="J39" s="410">
        <v>46183</v>
      </c>
      <c r="K39" s="391" t="s">
        <v>40</v>
      </c>
      <c r="L39" s="411" t="s">
        <v>201</v>
      </c>
      <c r="M39" s="412">
        <v>0</v>
      </c>
      <c r="N39" s="410">
        <v>46170</v>
      </c>
      <c r="O39" s="410">
        <v>46183</v>
      </c>
      <c r="P39" s="391" t="s">
        <v>40</v>
      </c>
      <c r="Q39" s="411" t="s">
        <v>201</v>
      </c>
      <c r="R39" s="387">
        <v>0</v>
      </c>
      <c r="S39" s="413">
        <v>46198</v>
      </c>
      <c r="T39" s="413">
        <v>46207</v>
      </c>
      <c r="U39" s="391" t="s">
        <v>40</v>
      </c>
      <c r="V39" s="414" t="s">
        <v>201</v>
      </c>
      <c r="W39" s="412">
        <v>0</v>
      </c>
      <c r="X39" s="413">
        <v>46218</v>
      </c>
      <c r="Y39" s="413">
        <v>46222</v>
      </c>
      <c r="Z39" s="391" t="s">
        <v>40</v>
      </c>
      <c r="AA39" s="411" t="s">
        <v>201</v>
      </c>
      <c r="AB39" s="412">
        <v>0</v>
      </c>
      <c r="AC39" s="413">
        <v>46223</v>
      </c>
      <c r="AD39" s="413">
        <v>46232</v>
      </c>
      <c r="AE39" s="391" t="s">
        <v>40</v>
      </c>
      <c r="AF39" s="411" t="s">
        <v>201</v>
      </c>
      <c r="AG39" s="412">
        <v>0</v>
      </c>
      <c r="AH39" s="413">
        <v>46243</v>
      </c>
      <c r="AI39" s="413">
        <v>46250</v>
      </c>
      <c r="AJ39" s="415" t="s">
        <v>165</v>
      </c>
      <c r="AK39" s="414" t="s">
        <v>190</v>
      </c>
      <c r="AL39" s="412">
        <v>0</v>
      </c>
      <c r="AM39" s="413">
        <v>46337</v>
      </c>
      <c r="AN39" s="413">
        <v>46343</v>
      </c>
      <c r="AO39" s="391" t="s">
        <v>40</v>
      </c>
      <c r="AP39" s="412">
        <v>0</v>
      </c>
    </row>
    <row r="40" spans="1:42" ht="15">
      <c r="A40" s="7" t="s">
        <v>16</v>
      </c>
      <c r="B40" s="9" t="s">
        <v>73</v>
      </c>
      <c r="C40" s="6">
        <v>1</v>
      </c>
      <c r="D40" s="46">
        <v>46146</v>
      </c>
      <c r="E40" s="46">
        <v>46157</v>
      </c>
      <c r="F40" s="34" t="s">
        <v>34</v>
      </c>
      <c r="G40" s="382" t="s">
        <v>207</v>
      </c>
      <c r="H40" s="82">
        <v>0.8</v>
      </c>
      <c r="I40" s="47">
        <v>46170</v>
      </c>
      <c r="J40" s="47">
        <v>46183</v>
      </c>
      <c r="K40" s="13" t="s">
        <v>40</v>
      </c>
      <c r="L40" s="128" t="s">
        <v>203</v>
      </c>
      <c r="M40" s="84">
        <v>0</v>
      </c>
      <c r="N40" s="229">
        <v>46170</v>
      </c>
      <c r="O40" s="229">
        <v>46183</v>
      </c>
      <c r="P40" s="24" t="s">
        <v>40</v>
      </c>
      <c r="Q40" s="271" t="s">
        <v>203</v>
      </c>
      <c r="R40" s="385">
        <v>0.2</v>
      </c>
      <c r="S40" s="48">
        <v>46198</v>
      </c>
      <c r="T40" s="48">
        <v>46207</v>
      </c>
      <c r="U40" s="16" t="s">
        <v>40</v>
      </c>
      <c r="V40" s="65" t="s">
        <v>203</v>
      </c>
      <c r="W40" s="86">
        <v>0</v>
      </c>
      <c r="X40" s="52">
        <v>46218</v>
      </c>
      <c r="Y40" s="52">
        <v>46222</v>
      </c>
      <c r="Z40" s="18" t="s">
        <v>40</v>
      </c>
      <c r="AA40" s="132" t="s">
        <v>204</v>
      </c>
      <c r="AB40" s="89">
        <v>0</v>
      </c>
      <c r="AC40" s="51">
        <v>46223</v>
      </c>
      <c r="AD40" s="51">
        <v>46232</v>
      </c>
      <c r="AE40" s="22" t="s">
        <v>40</v>
      </c>
      <c r="AF40" s="119" t="s">
        <v>203</v>
      </c>
      <c r="AG40" s="91">
        <v>0</v>
      </c>
      <c r="AH40" s="50">
        <v>46243</v>
      </c>
      <c r="AI40" s="50">
        <v>46250</v>
      </c>
      <c r="AJ40" s="19" t="s">
        <v>165</v>
      </c>
      <c r="AK40" s="102" t="s">
        <v>190</v>
      </c>
      <c r="AL40" s="93">
        <v>0</v>
      </c>
      <c r="AM40" s="49">
        <v>46337</v>
      </c>
      <c r="AN40" s="49">
        <v>46343</v>
      </c>
      <c r="AO40" s="24" t="s">
        <v>40</v>
      </c>
      <c r="AP40" s="94">
        <v>0</v>
      </c>
    </row>
    <row r="41" spans="1:42" ht="15">
      <c r="A41" s="7"/>
      <c r="B41" s="9"/>
      <c r="C41" s="6"/>
      <c r="D41" s="46"/>
      <c r="E41" s="46"/>
      <c r="F41" s="34"/>
      <c r="G41" s="382" t="s">
        <v>202</v>
      </c>
      <c r="H41" s="82"/>
      <c r="I41" s="47"/>
      <c r="J41" s="47"/>
      <c r="K41" s="13"/>
      <c r="L41" s="128"/>
      <c r="M41" s="84"/>
      <c r="N41" s="229"/>
      <c r="O41" s="229"/>
      <c r="P41" s="24"/>
      <c r="Q41" s="271"/>
      <c r="R41" s="385"/>
      <c r="S41" s="48"/>
      <c r="T41" s="48"/>
      <c r="U41" s="16"/>
      <c r="V41" s="65"/>
      <c r="W41" s="86"/>
      <c r="X41" s="52"/>
      <c r="Y41" s="52"/>
      <c r="Z41" s="18"/>
      <c r="AA41" s="132"/>
      <c r="AB41" s="89"/>
      <c r="AC41" s="51"/>
      <c r="AD41" s="51"/>
      <c r="AE41" s="22"/>
      <c r="AF41" s="119"/>
      <c r="AG41" s="91"/>
      <c r="AH41" s="50"/>
      <c r="AI41" s="50"/>
      <c r="AJ41" s="19"/>
      <c r="AK41" s="102"/>
      <c r="AL41" s="93"/>
      <c r="AM41" s="49"/>
      <c r="AN41" s="49"/>
      <c r="AO41" s="24"/>
      <c r="AP41" s="94"/>
    </row>
    <row r="42" spans="1:42" s="422" customFormat="1" ht="15">
      <c r="A42" s="217" t="s">
        <v>16</v>
      </c>
      <c r="B42" s="417" t="s">
        <v>74</v>
      </c>
      <c r="C42" s="418">
        <v>1</v>
      </c>
      <c r="D42" s="216">
        <v>46146</v>
      </c>
      <c r="E42" s="216">
        <v>46157</v>
      </c>
      <c r="F42" s="16" t="s">
        <v>34</v>
      </c>
      <c r="G42" s="419" t="s">
        <v>205</v>
      </c>
      <c r="H42" s="420">
        <v>0.9</v>
      </c>
      <c r="I42" s="216">
        <v>46170</v>
      </c>
      <c r="J42" s="216">
        <v>46183</v>
      </c>
      <c r="K42" s="16" t="s">
        <v>40</v>
      </c>
      <c r="L42" s="125" t="s">
        <v>203</v>
      </c>
      <c r="M42" s="86">
        <v>0</v>
      </c>
      <c r="N42" s="216">
        <v>46170</v>
      </c>
      <c r="O42" s="216">
        <v>46183</v>
      </c>
      <c r="P42" s="16" t="s">
        <v>40</v>
      </c>
      <c r="Q42" s="125" t="s">
        <v>203</v>
      </c>
      <c r="R42" s="420"/>
      <c r="S42" s="48">
        <v>46198</v>
      </c>
      <c r="T42" s="48">
        <v>46207</v>
      </c>
      <c r="U42" s="16" t="s">
        <v>34</v>
      </c>
      <c r="V42" s="16" t="s">
        <v>203</v>
      </c>
      <c r="W42" s="86">
        <v>1</v>
      </c>
      <c r="X42" s="48">
        <v>46218</v>
      </c>
      <c r="Y42" s="48">
        <v>46222</v>
      </c>
      <c r="Z42" s="16" t="s">
        <v>40</v>
      </c>
      <c r="AA42" s="421" t="s">
        <v>203</v>
      </c>
      <c r="AB42" s="86">
        <v>0</v>
      </c>
      <c r="AC42" s="48">
        <v>46223</v>
      </c>
      <c r="AD42" s="48">
        <v>46232</v>
      </c>
      <c r="AE42" s="16" t="s">
        <v>40</v>
      </c>
      <c r="AF42" s="16" t="s">
        <v>203</v>
      </c>
      <c r="AG42" s="86">
        <v>0</v>
      </c>
      <c r="AH42" s="48">
        <v>46243</v>
      </c>
      <c r="AI42" s="48">
        <v>46250</v>
      </c>
      <c r="AJ42" s="15" t="s">
        <v>165</v>
      </c>
      <c r="AK42" s="65" t="s">
        <v>190</v>
      </c>
      <c r="AL42" s="86">
        <v>0</v>
      </c>
      <c r="AM42" s="48">
        <v>46337</v>
      </c>
      <c r="AN42" s="48">
        <v>46343</v>
      </c>
      <c r="AO42" s="16" t="s">
        <v>40</v>
      </c>
      <c r="AP42" s="86">
        <v>0</v>
      </c>
    </row>
    <row r="43" spans="1:42" s="406" customFormat="1" ht="15">
      <c r="A43" s="393" t="s">
        <v>16</v>
      </c>
      <c r="B43" s="394" t="s">
        <v>75</v>
      </c>
      <c r="C43" s="395">
        <v>1</v>
      </c>
      <c r="D43" s="396">
        <v>46146</v>
      </c>
      <c r="E43" s="396">
        <v>46157</v>
      </c>
      <c r="F43" s="445" t="s">
        <v>208</v>
      </c>
      <c r="G43" s="398" t="s">
        <v>209</v>
      </c>
      <c r="H43" s="399">
        <v>0.5</v>
      </c>
      <c r="I43" s="396">
        <v>46170</v>
      </c>
      <c r="J43" s="396">
        <v>46183</v>
      </c>
      <c r="K43" s="397" t="s">
        <v>40</v>
      </c>
      <c r="L43" s="400" t="s">
        <v>210</v>
      </c>
      <c r="M43" s="401">
        <v>0</v>
      </c>
      <c r="N43" s="396">
        <v>46170</v>
      </c>
      <c r="O43" s="396">
        <v>46183</v>
      </c>
      <c r="P43" s="397" t="s">
        <v>40</v>
      </c>
      <c r="Q43" s="400" t="s">
        <v>210</v>
      </c>
      <c r="R43" s="399">
        <v>0.3</v>
      </c>
      <c r="S43" s="402">
        <v>46198</v>
      </c>
      <c r="T43" s="402">
        <v>46207</v>
      </c>
      <c r="U43" s="397" t="s">
        <v>40</v>
      </c>
      <c r="V43" s="404" t="s">
        <v>210</v>
      </c>
      <c r="W43" s="401">
        <v>0</v>
      </c>
      <c r="X43" s="402">
        <v>46218</v>
      </c>
      <c r="Y43" s="402">
        <v>46222</v>
      </c>
      <c r="Z43" s="397" t="s">
        <v>40</v>
      </c>
      <c r="AA43" s="403" t="s">
        <v>210</v>
      </c>
      <c r="AB43" s="401">
        <v>0</v>
      </c>
      <c r="AC43" s="402">
        <v>46223</v>
      </c>
      <c r="AD43" s="402">
        <v>46232</v>
      </c>
      <c r="AE43" s="397" t="s">
        <v>40</v>
      </c>
      <c r="AF43" s="404" t="s">
        <v>210</v>
      </c>
      <c r="AG43" s="401">
        <v>0</v>
      </c>
      <c r="AH43" s="402">
        <v>46243</v>
      </c>
      <c r="AI43" s="402">
        <v>46250</v>
      </c>
      <c r="AJ43" s="405" t="s">
        <v>165</v>
      </c>
      <c r="AK43" s="404" t="s">
        <v>190</v>
      </c>
      <c r="AL43" s="401">
        <v>0</v>
      </c>
      <c r="AM43" s="402">
        <v>46337</v>
      </c>
      <c r="AN43" s="402">
        <v>46343</v>
      </c>
      <c r="AO43" s="397" t="s">
        <v>40</v>
      </c>
      <c r="AP43" s="401">
        <v>0</v>
      </c>
    </row>
    <row r="44" spans="1:42" s="406" customFormat="1" ht="15">
      <c r="A44" s="393" t="s">
        <v>16</v>
      </c>
      <c r="B44" s="394" t="s">
        <v>76</v>
      </c>
      <c r="C44" s="395">
        <v>1</v>
      </c>
      <c r="D44" s="396">
        <v>46146</v>
      </c>
      <c r="E44" s="396">
        <v>46157</v>
      </c>
      <c r="F44" s="445" t="s">
        <v>208</v>
      </c>
      <c r="G44" s="398" t="s">
        <v>209</v>
      </c>
      <c r="H44" s="399">
        <v>0</v>
      </c>
      <c r="I44" s="396">
        <v>46170</v>
      </c>
      <c r="J44" s="396">
        <v>46183</v>
      </c>
      <c r="K44" s="397" t="s">
        <v>40</v>
      </c>
      <c r="L44" s="400" t="s">
        <v>211</v>
      </c>
      <c r="M44" s="401">
        <v>0</v>
      </c>
      <c r="N44" s="396">
        <v>46170</v>
      </c>
      <c r="O44" s="396">
        <v>46183</v>
      </c>
      <c r="P44" s="397" t="s">
        <v>40</v>
      </c>
      <c r="Q44" s="400" t="s">
        <v>211</v>
      </c>
      <c r="R44" s="399">
        <v>0.2</v>
      </c>
      <c r="S44" s="402">
        <v>46198</v>
      </c>
      <c r="T44" s="402">
        <v>46207</v>
      </c>
      <c r="U44" s="397" t="s">
        <v>40</v>
      </c>
      <c r="V44" s="404" t="s">
        <v>190</v>
      </c>
      <c r="W44" s="401">
        <v>0</v>
      </c>
      <c r="X44" s="402">
        <v>46218</v>
      </c>
      <c r="Y44" s="402">
        <v>46222</v>
      </c>
      <c r="Z44" s="397" t="s">
        <v>40</v>
      </c>
      <c r="AA44" s="403"/>
      <c r="AB44" s="401">
        <v>0</v>
      </c>
      <c r="AC44" s="402">
        <v>46223</v>
      </c>
      <c r="AD44" s="402">
        <v>46232</v>
      </c>
      <c r="AE44" s="397" t="s">
        <v>40</v>
      </c>
      <c r="AF44" s="404" t="s">
        <v>212</v>
      </c>
      <c r="AG44" s="401">
        <v>0</v>
      </c>
      <c r="AH44" s="402">
        <v>46243</v>
      </c>
      <c r="AI44" s="402">
        <v>46250</v>
      </c>
      <c r="AJ44" s="405" t="s">
        <v>165</v>
      </c>
      <c r="AK44" s="404" t="s">
        <v>212</v>
      </c>
      <c r="AL44" s="401">
        <v>0</v>
      </c>
      <c r="AM44" s="402">
        <v>46337</v>
      </c>
      <c r="AN44" s="402">
        <v>46343</v>
      </c>
      <c r="AO44" s="397" t="s">
        <v>40</v>
      </c>
      <c r="AP44" s="401">
        <v>0</v>
      </c>
    </row>
    <row r="45" spans="1:42" s="406" customFormat="1" ht="15">
      <c r="A45" s="393" t="s">
        <v>16</v>
      </c>
      <c r="B45" s="394" t="s">
        <v>77</v>
      </c>
      <c r="C45" s="395">
        <v>1</v>
      </c>
      <c r="D45" s="396">
        <v>46146</v>
      </c>
      <c r="E45" s="396">
        <v>46157</v>
      </c>
      <c r="F45" s="404" t="s">
        <v>208</v>
      </c>
      <c r="G45" s="398" t="s">
        <v>209</v>
      </c>
      <c r="H45" s="399">
        <v>0</v>
      </c>
      <c r="I45" s="396">
        <v>46170</v>
      </c>
      <c r="J45" s="396">
        <v>46183</v>
      </c>
      <c r="K45" s="397" t="s">
        <v>40</v>
      </c>
      <c r="L45" s="400" t="s">
        <v>213</v>
      </c>
      <c r="M45" s="401">
        <v>0</v>
      </c>
      <c r="N45" s="396">
        <v>46170</v>
      </c>
      <c r="O45" s="396">
        <v>46183</v>
      </c>
      <c r="P45" s="397" t="s">
        <v>40</v>
      </c>
      <c r="Q45" s="400" t="s">
        <v>213</v>
      </c>
      <c r="R45" s="399">
        <v>0</v>
      </c>
      <c r="S45" s="402">
        <v>46198</v>
      </c>
      <c r="T45" s="402">
        <v>46207</v>
      </c>
      <c r="U45" s="397" t="s">
        <v>40</v>
      </c>
      <c r="V45" s="404" t="s">
        <v>190</v>
      </c>
      <c r="W45" s="401">
        <v>0</v>
      </c>
      <c r="X45" s="402">
        <v>46218</v>
      </c>
      <c r="Y45" s="402">
        <v>46222</v>
      </c>
      <c r="Z45" s="397" t="s">
        <v>40</v>
      </c>
      <c r="AA45" s="400" t="s">
        <v>190</v>
      </c>
      <c r="AB45" s="401">
        <v>0</v>
      </c>
      <c r="AC45" s="402">
        <v>46223</v>
      </c>
      <c r="AD45" s="402">
        <v>46232</v>
      </c>
      <c r="AE45" s="397" t="s">
        <v>40</v>
      </c>
      <c r="AF45" s="407" t="s">
        <v>212</v>
      </c>
      <c r="AG45" s="401">
        <v>0</v>
      </c>
      <c r="AH45" s="402">
        <v>46243</v>
      </c>
      <c r="AI45" s="402">
        <v>46250</v>
      </c>
      <c r="AJ45" s="405" t="s">
        <v>165</v>
      </c>
      <c r="AK45" s="404" t="s">
        <v>212</v>
      </c>
      <c r="AL45" s="401">
        <v>0</v>
      </c>
      <c r="AM45" s="402">
        <v>46337</v>
      </c>
      <c r="AN45" s="402">
        <v>46343</v>
      </c>
      <c r="AO45" s="397" t="s">
        <v>40</v>
      </c>
      <c r="AP45" s="401">
        <v>0</v>
      </c>
    </row>
    <row r="46" spans="1:42" s="406" customFormat="1" ht="15">
      <c r="A46" s="393" t="s">
        <v>16</v>
      </c>
      <c r="B46" s="394" t="s">
        <v>78</v>
      </c>
      <c r="C46" s="395">
        <v>1</v>
      </c>
      <c r="D46" s="396">
        <v>46146</v>
      </c>
      <c r="E46" s="396">
        <v>46157</v>
      </c>
      <c r="F46" s="445" t="s">
        <v>208</v>
      </c>
      <c r="G46" s="398" t="s">
        <v>209</v>
      </c>
      <c r="H46" s="399">
        <v>1</v>
      </c>
      <c r="I46" s="396">
        <v>46170</v>
      </c>
      <c r="J46" s="396">
        <v>46183</v>
      </c>
      <c r="K46" s="397" t="s">
        <v>40</v>
      </c>
      <c r="L46" s="400" t="s">
        <v>214</v>
      </c>
      <c r="M46" s="401">
        <v>0</v>
      </c>
      <c r="N46" s="396">
        <v>46170</v>
      </c>
      <c r="O46" s="396">
        <v>46183</v>
      </c>
      <c r="P46" s="397" t="s">
        <v>40</v>
      </c>
      <c r="Q46" s="400" t="s">
        <v>214</v>
      </c>
      <c r="R46" s="399">
        <v>0</v>
      </c>
      <c r="S46" s="402">
        <v>46198</v>
      </c>
      <c r="T46" s="402">
        <v>46207</v>
      </c>
      <c r="U46" s="397" t="s">
        <v>40</v>
      </c>
      <c r="V46" s="404" t="s">
        <v>190</v>
      </c>
      <c r="W46" s="401">
        <v>0</v>
      </c>
      <c r="X46" s="402">
        <v>46218</v>
      </c>
      <c r="Y46" s="402">
        <v>46222</v>
      </c>
      <c r="Z46" s="397" t="s">
        <v>40</v>
      </c>
      <c r="AA46" s="400" t="s">
        <v>215</v>
      </c>
      <c r="AB46" s="401">
        <v>0</v>
      </c>
      <c r="AC46" s="402">
        <v>46223</v>
      </c>
      <c r="AD46" s="402">
        <v>46232</v>
      </c>
      <c r="AE46" s="397" t="s">
        <v>40</v>
      </c>
      <c r="AF46" s="407" t="s">
        <v>212</v>
      </c>
      <c r="AG46" s="401">
        <v>0</v>
      </c>
      <c r="AH46" s="402">
        <v>46243</v>
      </c>
      <c r="AI46" s="402">
        <v>46250</v>
      </c>
      <c r="AJ46" s="405" t="s">
        <v>165</v>
      </c>
      <c r="AK46" s="404" t="s">
        <v>212</v>
      </c>
      <c r="AL46" s="401">
        <v>0</v>
      </c>
      <c r="AM46" s="402">
        <v>46337</v>
      </c>
      <c r="AN46" s="402">
        <v>46343</v>
      </c>
      <c r="AO46" s="397" t="s">
        <v>40</v>
      </c>
      <c r="AP46" s="401">
        <v>0</v>
      </c>
    </row>
    <row r="47" spans="1:42" s="406" customFormat="1" ht="15">
      <c r="A47" s="393" t="s">
        <v>16</v>
      </c>
      <c r="B47" s="394" t="s">
        <v>79</v>
      </c>
      <c r="C47" s="395">
        <v>1</v>
      </c>
      <c r="D47" s="396">
        <v>46146</v>
      </c>
      <c r="E47" s="396">
        <v>46157</v>
      </c>
      <c r="F47" s="445" t="s">
        <v>208</v>
      </c>
      <c r="G47" s="398" t="s">
        <v>209</v>
      </c>
      <c r="H47" s="399">
        <v>0.5</v>
      </c>
      <c r="I47" s="396">
        <v>46170</v>
      </c>
      <c r="J47" s="396">
        <v>46183</v>
      </c>
      <c r="K47" s="397" t="s">
        <v>40</v>
      </c>
      <c r="L47" s="403" t="s">
        <v>203</v>
      </c>
      <c r="M47" s="401">
        <v>0</v>
      </c>
      <c r="N47" s="396">
        <v>46170</v>
      </c>
      <c r="O47" s="396">
        <v>46183</v>
      </c>
      <c r="P47" s="397" t="s">
        <v>40</v>
      </c>
      <c r="Q47" s="403" t="s">
        <v>203</v>
      </c>
      <c r="R47" s="399">
        <v>0</v>
      </c>
      <c r="S47" s="402">
        <v>46198</v>
      </c>
      <c r="T47" s="402">
        <v>46207</v>
      </c>
      <c r="U47" s="397" t="s">
        <v>40</v>
      </c>
      <c r="V47" s="397" t="s">
        <v>203</v>
      </c>
      <c r="W47" s="401">
        <v>0</v>
      </c>
      <c r="X47" s="402">
        <v>46218</v>
      </c>
      <c r="Y47" s="402">
        <v>46222</v>
      </c>
      <c r="Z47" s="397" t="s">
        <v>40</v>
      </c>
      <c r="AA47" s="403" t="s">
        <v>203</v>
      </c>
      <c r="AB47" s="401">
        <v>0</v>
      </c>
      <c r="AC47" s="402">
        <v>46223</v>
      </c>
      <c r="AD47" s="402">
        <v>46232</v>
      </c>
      <c r="AE47" s="397" t="s">
        <v>40</v>
      </c>
      <c r="AF47" s="397" t="s">
        <v>203</v>
      </c>
      <c r="AG47" s="401">
        <v>0</v>
      </c>
      <c r="AH47" s="402">
        <v>46243</v>
      </c>
      <c r="AI47" s="402">
        <v>46250</v>
      </c>
      <c r="AJ47" s="405" t="s">
        <v>165</v>
      </c>
      <c r="AK47" s="404" t="s">
        <v>203</v>
      </c>
      <c r="AL47" s="401">
        <v>0</v>
      </c>
      <c r="AM47" s="402">
        <v>46337</v>
      </c>
      <c r="AN47" s="402">
        <v>46343</v>
      </c>
      <c r="AO47" s="397" t="s">
        <v>40</v>
      </c>
      <c r="AP47" s="401">
        <v>0</v>
      </c>
    </row>
    <row r="48" spans="1:42" s="406" customFormat="1" ht="15">
      <c r="A48" s="393" t="s">
        <v>16</v>
      </c>
      <c r="B48" s="394" t="s">
        <v>80</v>
      </c>
      <c r="C48" s="395">
        <v>1</v>
      </c>
      <c r="D48" s="396">
        <v>46146</v>
      </c>
      <c r="E48" s="396">
        <v>46157</v>
      </c>
      <c r="F48" s="445" t="s">
        <v>208</v>
      </c>
      <c r="G48" s="398" t="s">
        <v>209</v>
      </c>
      <c r="H48" s="399">
        <v>0.5</v>
      </c>
      <c r="I48" s="396">
        <v>46170</v>
      </c>
      <c r="J48" s="396">
        <v>46183</v>
      </c>
      <c r="K48" s="397" t="s">
        <v>40</v>
      </c>
      <c r="L48" s="400" t="s">
        <v>210</v>
      </c>
      <c r="M48" s="401">
        <v>0</v>
      </c>
      <c r="N48" s="396">
        <v>46170</v>
      </c>
      <c r="O48" s="396">
        <v>46183</v>
      </c>
      <c r="P48" s="397" t="s">
        <v>40</v>
      </c>
      <c r="Q48" s="400" t="s">
        <v>210</v>
      </c>
      <c r="R48" s="399">
        <v>0</v>
      </c>
      <c r="S48" s="402">
        <v>46198</v>
      </c>
      <c r="T48" s="402">
        <v>46207</v>
      </c>
      <c r="U48" s="397" t="s">
        <v>40</v>
      </c>
      <c r="V48" s="397" t="s">
        <v>210</v>
      </c>
      <c r="W48" s="401">
        <v>0</v>
      </c>
      <c r="X48" s="402">
        <v>46218</v>
      </c>
      <c r="Y48" s="402">
        <v>46222</v>
      </c>
      <c r="Z48" s="397" t="s">
        <v>40</v>
      </c>
      <c r="AA48" s="403" t="s">
        <v>210</v>
      </c>
      <c r="AB48" s="401">
        <v>0</v>
      </c>
      <c r="AC48" s="402">
        <v>46223</v>
      </c>
      <c r="AD48" s="402">
        <v>46232</v>
      </c>
      <c r="AE48" s="397" t="s">
        <v>40</v>
      </c>
      <c r="AF48" s="404" t="s">
        <v>210</v>
      </c>
      <c r="AG48" s="401">
        <v>0</v>
      </c>
      <c r="AH48" s="402">
        <v>46243</v>
      </c>
      <c r="AI48" s="402">
        <v>46250</v>
      </c>
      <c r="AJ48" s="405" t="s">
        <v>165</v>
      </c>
      <c r="AK48" s="404" t="s">
        <v>190</v>
      </c>
      <c r="AL48" s="401">
        <v>0</v>
      </c>
      <c r="AM48" s="402">
        <v>46337</v>
      </c>
      <c r="AN48" s="402">
        <v>46343</v>
      </c>
      <c r="AO48" s="397" t="s">
        <v>40</v>
      </c>
      <c r="AP48" s="401">
        <v>0</v>
      </c>
    </row>
    <row r="49" spans="1:42" s="406" customFormat="1" ht="15">
      <c r="A49" s="393" t="s">
        <v>16</v>
      </c>
      <c r="B49" s="394" t="s">
        <v>81</v>
      </c>
      <c r="C49" s="395">
        <v>1</v>
      </c>
      <c r="D49" s="396">
        <v>46146</v>
      </c>
      <c r="E49" s="396">
        <v>46157</v>
      </c>
      <c r="F49" s="445" t="s">
        <v>208</v>
      </c>
      <c r="G49" s="398" t="s">
        <v>209</v>
      </c>
      <c r="H49" s="399">
        <v>0.5</v>
      </c>
      <c r="I49" s="396">
        <v>46170</v>
      </c>
      <c r="J49" s="396">
        <v>46183</v>
      </c>
      <c r="K49" s="397" t="s">
        <v>40</v>
      </c>
      <c r="L49" s="400" t="s">
        <v>211</v>
      </c>
      <c r="M49" s="401">
        <v>0</v>
      </c>
      <c r="N49" s="396">
        <v>46170</v>
      </c>
      <c r="O49" s="396">
        <v>46183</v>
      </c>
      <c r="P49" s="397" t="s">
        <v>40</v>
      </c>
      <c r="Q49" s="400" t="s">
        <v>211</v>
      </c>
      <c r="R49" s="399">
        <v>0</v>
      </c>
      <c r="S49" s="402">
        <v>46198</v>
      </c>
      <c r="T49" s="402">
        <v>46207</v>
      </c>
      <c r="U49" s="397" t="s">
        <v>40</v>
      </c>
      <c r="V49" s="404" t="s">
        <v>190</v>
      </c>
      <c r="W49" s="401">
        <v>0</v>
      </c>
      <c r="X49" s="402">
        <v>46218</v>
      </c>
      <c r="Y49" s="402">
        <v>46222</v>
      </c>
      <c r="Z49" s="397" t="s">
        <v>40</v>
      </c>
      <c r="AA49" s="400" t="s">
        <v>215</v>
      </c>
      <c r="AB49" s="401">
        <v>0</v>
      </c>
      <c r="AC49" s="402">
        <v>46223</v>
      </c>
      <c r="AD49" s="402">
        <v>46232</v>
      </c>
      <c r="AE49" s="397" t="s">
        <v>40</v>
      </c>
      <c r="AF49" s="404" t="s">
        <v>212</v>
      </c>
      <c r="AG49" s="401">
        <v>0</v>
      </c>
      <c r="AH49" s="402">
        <v>46243</v>
      </c>
      <c r="AI49" s="402">
        <v>46250</v>
      </c>
      <c r="AJ49" s="405" t="s">
        <v>165</v>
      </c>
      <c r="AK49" s="404" t="s">
        <v>212</v>
      </c>
      <c r="AL49" s="401">
        <v>0</v>
      </c>
      <c r="AM49" s="402">
        <v>46337</v>
      </c>
      <c r="AN49" s="402">
        <v>46343</v>
      </c>
      <c r="AO49" s="397" t="s">
        <v>40</v>
      </c>
      <c r="AP49" s="401">
        <v>0</v>
      </c>
    </row>
    <row r="50" spans="1:42" ht="15">
      <c r="A50" s="7"/>
      <c r="B50" s="9"/>
      <c r="C50" s="6"/>
      <c r="D50" s="46"/>
      <c r="E50" s="46"/>
      <c r="F50" s="34"/>
      <c r="G50" s="383" t="s">
        <v>216</v>
      </c>
      <c r="H50" s="387"/>
      <c r="I50" s="47"/>
      <c r="J50" s="47"/>
      <c r="K50" s="13"/>
      <c r="L50" s="128"/>
      <c r="M50" s="84"/>
      <c r="N50" s="229"/>
      <c r="O50" s="229"/>
      <c r="P50" s="24"/>
      <c r="Q50" s="271"/>
      <c r="R50" s="385"/>
      <c r="S50" s="48"/>
      <c r="T50" s="48"/>
      <c r="U50" s="16"/>
      <c r="V50" s="65"/>
      <c r="W50" s="86"/>
      <c r="X50" s="52"/>
      <c r="Y50" s="52"/>
      <c r="Z50" s="18"/>
      <c r="AA50" s="132"/>
      <c r="AB50" s="89"/>
      <c r="AC50" s="51"/>
      <c r="AD50" s="51"/>
      <c r="AE50" s="22"/>
      <c r="AF50" s="101"/>
      <c r="AG50" s="91"/>
      <c r="AH50" s="50"/>
      <c r="AI50" s="50"/>
      <c r="AJ50" s="19"/>
      <c r="AK50" s="102"/>
      <c r="AL50" s="93"/>
      <c r="AM50" s="49"/>
      <c r="AN50" s="49"/>
      <c r="AO50" s="24"/>
      <c r="AP50" s="94"/>
    </row>
    <row r="51" spans="1:42" ht="15">
      <c r="A51" s="7"/>
      <c r="B51" s="9"/>
      <c r="C51" s="6"/>
      <c r="D51" s="46"/>
      <c r="E51" s="46"/>
      <c r="F51" s="34"/>
      <c r="G51" s="383" t="s">
        <v>217</v>
      </c>
      <c r="H51" s="387"/>
      <c r="I51" s="47"/>
      <c r="J51" s="47"/>
      <c r="K51" s="13"/>
      <c r="L51" s="128"/>
      <c r="M51" s="84"/>
      <c r="N51" s="229"/>
      <c r="O51" s="229"/>
      <c r="P51" s="24"/>
      <c r="Q51" s="271"/>
      <c r="R51" s="385"/>
      <c r="S51" s="48"/>
      <c r="T51" s="48"/>
      <c r="U51" s="16"/>
      <c r="V51" s="65"/>
      <c r="W51" s="86"/>
      <c r="X51" s="52"/>
      <c r="Y51" s="52"/>
      <c r="Z51" s="18"/>
      <c r="AA51" s="132"/>
      <c r="AB51" s="89"/>
      <c r="AC51" s="51"/>
      <c r="AD51" s="51"/>
      <c r="AE51" s="22"/>
      <c r="AF51" s="101"/>
      <c r="AG51" s="91"/>
      <c r="AH51" s="50"/>
      <c r="AI51" s="50"/>
      <c r="AJ51" s="19"/>
      <c r="AK51" s="102"/>
      <c r="AL51" s="93"/>
      <c r="AM51" s="49"/>
      <c r="AN51" s="49"/>
      <c r="AO51" s="24"/>
      <c r="AP51" s="94"/>
    </row>
    <row r="52" spans="1:42" s="406" customFormat="1" ht="15">
      <c r="A52" s="393" t="s">
        <v>16</v>
      </c>
      <c r="B52" s="394" t="s">
        <v>82</v>
      </c>
      <c r="C52" s="395">
        <v>1</v>
      </c>
      <c r="D52" s="396">
        <v>46146</v>
      </c>
      <c r="E52" s="396">
        <v>46157</v>
      </c>
      <c r="F52" s="404" t="s">
        <v>208</v>
      </c>
      <c r="G52" s="398" t="s">
        <v>209</v>
      </c>
      <c r="H52" s="401">
        <v>0.25</v>
      </c>
      <c r="I52" s="396">
        <v>46170</v>
      </c>
      <c r="J52" s="396">
        <v>46183</v>
      </c>
      <c r="K52" s="397" t="s">
        <v>40</v>
      </c>
      <c r="L52" s="400" t="s">
        <v>213</v>
      </c>
      <c r="M52" s="401">
        <v>0</v>
      </c>
      <c r="N52" s="396">
        <v>46170</v>
      </c>
      <c r="O52" s="396">
        <v>46183</v>
      </c>
      <c r="P52" s="397" t="s">
        <v>40</v>
      </c>
      <c r="Q52" s="400" t="s">
        <v>213</v>
      </c>
      <c r="R52" s="399">
        <v>0</v>
      </c>
      <c r="S52" s="402">
        <v>46198</v>
      </c>
      <c r="T52" s="402">
        <v>46207</v>
      </c>
      <c r="U52" s="397" t="s">
        <v>40</v>
      </c>
      <c r="V52" s="404" t="s">
        <v>190</v>
      </c>
      <c r="W52" s="401">
        <v>0</v>
      </c>
      <c r="X52" s="402">
        <v>46218</v>
      </c>
      <c r="Y52" s="402">
        <v>46222</v>
      </c>
      <c r="Z52" s="397" t="s">
        <v>40</v>
      </c>
      <c r="AA52" s="400" t="s">
        <v>190</v>
      </c>
      <c r="AB52" s="401">
        <v>0</v>
      </c>
      <c r="AC52" s="402">
        <v>46223</v>
      </c>
      <c r="AD52" s="402">
        <v>46232</v>
      </c>
      <c r="AE52" s="397" t="s">
        <v>40</v>
      </c>
      <c r="AF52" s="407" t="s">
        <v>212</v>
      </c>
      <c r="AG52" s="401">
        <v>0</v>
      </c>
      <c r="AH52" s="402">
        <v>46243</v>
      </c>
      <c r="AI52" s="402">
        <v>46250</v>
      </c>
      <c r="AJ52" s="405" t="s">
        <v>165</v>
      </c>
      <c r="AK52" s="404" t="s">
        <v>212</v>
      </c>
      <c r="AL52" s="401">
        <v>0</v>
      </c>
      <c r="AM52" s="402">
        <v>46337</v>
      </c>
      <c r="AN52" s="402">
        <v>46343</v>
      </c>
      <c r="AO52" s="397" t="s">
        <v>40</v>
      </c>
      <c r="AP52" s="401">
        <v>0</v>
      </c>
    </row>
    <row r="53" spans="1:42" s="406" customFormat="1" ht="15">
      <c r="A53" s="393" t="s">
        <v>16</v>
      </c>
      <c r="B53" s="394" t="s">
        <v>83</v>
      </c>
      <c r="C53" s="395">
        <v>1</v>
      </c>
      <c r="D53" s="396">
        <v>46146</v>
      </c>
      <c r="E53" s="396">
        <v>46157</v>
      </c>
      <c r="F53" s="397" t="s">
        <v>40</v>
      </c>
      <c r="G53" s="398" t="s">
        <v>209</v>
      </c>
      <c r="H53" s="401">
        <v>0</v>
      </c>
      <c r="I53" s="396">
        <v>46170</v>
      </c>
      <c r="J53" s="396">
        <v>46183</v>
      </c>
      <c r="K53" s="397" t="s">
        <v>40</v>
      </c>
      <c r="L53" s="400" t="s">
        <v>214</v>
      </c>
      <c r="M53" s="401">
        <v>0</v>
      </c>
      <c r="N53" s="396">
        <v>46170</v>
      </c>
      <c r="O53" s="396">
        <v>46183</v>
      </c>
      <c r="P53" s="397" t="s">
        <v>40</v>
      </c>
      <c r="Q53" s="400" t="s">
        <v>214</v>
      </c>
      <c r="R53" s="399"/>
      <c r="S53" s="402">
        <v>46198</v>
      </c>
      <c r="T53" s="402">
        <v>46207</v>
      </c>
      <c r="U53" s="397" t="s">
        <v>40</v>
      </c>
      <c r="V53" s="404" t="s">
        <v>190</v>
      </c>
      <c r="W53" s="401">
        <v>0</v>
      </c>
      <c r="X53" s="402">
        <v>46218</v>
      </c>
      <c r="Y53" s="402">
        <v>46222</v>
      </c>
      <c r="Z53" s="397" t="s">
        <v>40</v>
      </c>
      <c r="AA53" s="400" t="s">
        <v>215</v>
      </c>
      <c r="AB53" s="401">
        <v>0</v>
      </c>
      <c r="AC53" s="402">
        <v>46223</v>
      </c>
      <c r="AD53" s="402">
        <v>46232</v>
      </c>
      <c r="AE53" s="397" t="s">
        <v>40</v>
      </c>
      <c r="AF53" s="407" t="s">
        <v>212</v>
      </c>
      <c r="AG53" s="401">
        <v>0</v>
      </c>
      <c r="AH53" s="402">
        <v>46243</v>
      </c>
      <c r="AI53" s="402">
        <v>46250</v>
      </c>
      <c r="AJ53" s="405" t="s">
        <v>165</v>
      </c>
      <c r="AK53" s="404" t="s">
        <v>212</v>
      </c>
      <c r="AL53" s="401">
        <v>0</v>
      </c>
      <c r="AM53" s="402">
        <v>46337</v>
      </c>
      <c r="AN53" s="402">
        <v>46343</v>
      </c>
      <c r="AO53" s="397" t="s">
        <v>40</v>
      </c>
      <c r="AP53" s="401">
        <v>0</v>
      </c>
    </row>
    <row r="54" spans="1:42" s="406" customFormat="1" ht="15">
      <c r="A54" s="393" t="s">
        <v>16</v>
      </c>
      <c r="B54" s="394" t="s">
        <v>84</v>
      </c>
      <c r="C54" s="395">
        <v>1</v>
      </c>
      <c r="D54" s="396">
        <v>46146</v>
      </c>
      <c r="E54" s="396">
        <v>46157</v>
      </c>
      <c r="F54" s="397" t="s">
        <v>40</v>
      </c>
      <c r="G54" s="398" t="s">
        <v>209</v>
      </c>
      <c r="H54" s="401">
        <v>0</v>
      </c>
      <c r="I54" s="396">
        <v>46170</v>
      </c>
      <c r="J54" s="396">
        <v>46183</v>
      </c>
      <c r="K54" s="397" t="s">
        <v>40</v>
      </c>
      <c r="L54" s="403" t="s">
        <v>203</v>
      </c>
      <c r="M54" s="401">
        <v>0</v>
      </c>
      <c r="N54" s="396">
        <v>46170</v>
      </c>
      <c r="O54" s="396">
        <v>46183</v>
      </c>
      <c r="P54" s="397" t="s">
        <v>40</v>
      </c>
      <c r="Q54" s="403" t="s">
        <v>203</v>
      </c>
      <c r="R54" s="399"/>
      <c r="S54" s="402">
        <v>46198</v>
      </c>
      <c r="T54" s="402">
        <v>46207</v>
      </c>
      <c r="U54" s="397" t="s">
        <v>40</v>
      </c>
      <c r="V54" s="397" t="s">
        <v>203</v>
      </c>
      <c r="W54" s="401">
        <v>0</v>
      </c>
      <c r="X54" s="402">
        <v>46218</v>
      </c>
      <c r="Y54" s="402">
        <v>46222</v>
      </c>
      <c r="Z54" s="397" t="s">
        <v>40</v>
      </c>
      <c r="AA54" s="403" t="s">
        <v>203</v>
      </c>
      <c r="AB54" s="401">
        <v>0</v>
      </c>
      <c r="AC54" s="402">
        <v>46223</v>
      </c>
      <c r="AD54" s="402">
        <v>46232</v>
      </c>
      <c r="AE54" s="397" t="s">
        <v>40</v>
      </c>
      <c r="AF54" s="397" t="s">
        <v>203</v>
      </c>
      <c r="AG54" s="401">
        <v>0</v>
      </c>
      <c r="AH54" s="402">
        <v>46243</v>
      </c>
      <c r="AI54" s="402">
        <v>46250</v>
      </c>
      <c r="AJ54" s="405" t="s">
        <v>165</v>
      </c>
      <c r="AK54" s="404" t="s">
        <v>203</v>
      </c>
      <c r="AL54" s="401">
        <v>0</v>
      </c>
      <c r="AM54" s="402">
        <v>46337</v>
      </c>
      <c r="AN54" s="402">
        <v>46343</v>
      </c>
      <c r="AO54" s="397" t="s">
        <v>40</v>
      </c>
      <c r="AP54" s="401">
        <v>0</v>
      </c>
    </row>
    <row r="55" spans="1:42" ht="19.5" customHeight="1">
      <c r="A55" s="7" t="s">
        <v>16</v>
      </c>
      <c r="B55" s="9">
        <v>40701</v>
      </c>
      <c r="C55" s="6">
        <v>1</v>
      </c>
      <c r="D55" s="46">
        <v>46146</v>
      </c>
      <c r="E55" s="46">
        <v>46157</v>
      </c>
      <c r="F55" s="34" t="s">
        <v>40</v>
      </c>
      <c r="G55" s="383"/>
      <c r="H55" s="82">
        <v>0</v>
      </c>
      <c r="I55" s="47">
        <v>46170</v>
      </c>
      <c r="J55" s="47">
        <v>46183</v>
      </c>
      <c r="K55" s="13" t="s">
        <v>40</v>
      </c>
      <c r="L55" s="128" t="s">
        <v>218</v>
      </c>
      <c r="M55" s="84">
        <v>0</v>
      </c>
      <c r="N55" s="229">
        <v>46170</v>
      </c>
      <c r="O55" s="229">
        <v>46183</v>
      </c>
      <c r="P55" s="24" t="s">
        <v>40</v>
      </c>
      <c r="Q55" s="271" t="s">
        <v>218</v>
      </c>
      <c r="R55" s="385">
        <v>0</v>
      </c>
      <c r="S55" s="48">
        <v>46198</v>
      </c>
      <c r="T55" s="48">
        <v>46207</v>
      </c>
      <c r="U55" s="16" t="s">
        <v>40</v>
      </c>
      <c r="V55" s="65" t="s">
        <v>218</v>
      </c>
      <c r="W55" s="86">
        <v>0</v>
      </c>
      <c r="X55" s="52">
        <v>46218</v>
      </c>
      <c r="Y55" s="52">
        <v>46222</v>
      </c>
      <c r="Z55" s="18" t="s">
        <v>40</v>
      </c>
      <c r="AA55" s="132" t="s">
        <v>218</v>
      </c>
      <c r="AB55" s="89">
        <v>0</v>
      </c>
      <c r="AC55" s="51">
        <v>46223</v>
      </c>
      <c r="AD55" s="51">
        <v>46232</v>
      </c>
      <c r="AE55" s="22" t="s">
        <v>40</v>
      </c>
      <c r="AF55" s="119" t="s">
        <v>218</v>
      </c>
      <c r="AG55" s="91">
        <v>0</v>
      </c>
      <c r="AH55" s="50">
        <v>46243</v>
      </c>
      <c r="AI55" s="50">
        <v>46250</v>
      </c>
      <c r="AJ55" s="19" t="s">
        <v>165</v>
      </c>
      <c r="AK55" s="102" t="s">
        <v>190</v>
      </c>
      <c r="AL55" s="93">
        <v>0</v>
      </c>
      <c r="AM55" s="49">
        <v>46337</v>
      </c>
      <c r="AN55" s="49">
        <v>46343</v>
      </c>
      <c r="AO55" s="24" t="s">
        <v>40</v>
      </c>
      <c r="AP55" s="94">
        <v>0</v>
      </c>
    </row>
    <row r="56" spans="1:42" ht="15">
      <c r="A56" s="7" t="s">
        <v>16</v>
      </c>
      <c r="B56" s="9">
        <v>40702</v>
      </c>
      <c r="C56" s="6">
        <v>1</v>
      </c>
      <c r="D56" s="46">
        <v>46146</v>
      </c>
      <c r="E56" s="46">
        <v>46157</v>
      </c>
      <c r="F56" s="34" t="s">
        <v>40</v>
      </c>
      <c r="G56" s="383"/>
      <c r="H56" s="82">
        <v>0</v>
      </c>
      <c r="I56" s="47">
        <v>46170</v>
      </c>
      <c r="J56" s="47">
        <v>46183</v>
      </c>
      <c r="K56" s="13" t="s">
        <v>40</v>
      </c>
      <c r="L56" s="128" t="s">
        <v>218</v>
      </c>
      <c r="M56" s="84">
        <v>0</v>
      </c>
      <c r="N56" s="229">
        <v>46170</v>
      </c>
      <c r="O56" s="229">
        <v>46183</v>
      </c>
      <c r="P56" s="24" t="s">
        <v>40</v>
      </c>
      <c r="Q56" s="271" t="s">
        <v>218</v>
      </c>
      <c r="R56" s="385">
        <v>0</v>
      </c>
      <c r="S56" s="48">
        <v>46198</v>
      </c>
      <c r="T56" s="48">
        <v>46207</v>
      </c>
      <c r="U56" s="16" t="s">
        <v>40</v>
      </c>
      <c r="V56" s="65" t="s">
        <v>218</v>
      </c>
      <c r="W56" s="86">
        <v>0</v>
      </c>
      <c r="X56" s="52">
        <v>46218</v>
      </c>
      <c r="Y56" s="52">
        <v>46222</v>
      </c>
      <c r="Z56" s="18" t="s">
        <v>40</v>
      </c>
      <c r="AA56" s="132" t="s">
        <v>218</v>
      </c>
      <c r="AB56" s="89">
        <v>0</v>
      </c>
      <c r="AC56" s="51">
        <v>46223</v>
      </c>
      <c r="AD56" s="51">
        <v>46232</v>
      </c>
      <c r="AE56" s="22" t="s">
        <v>40</v>
      </c>
      <c r="AF56" s="119" t="s">
        <v>218</v>
      </c>
      <c r="AG56" s="91">
        <v>0</v>
      </c>
      <c r="AH56" s="50">
        <v>46243</v>
      </c>
      <c r="AI56" s="50">
        <v>46250</v>
      </c>
      <c r="AJ56" s="19" t="s">
        <v>165</v>
      </c>
      <c r="AK56" s="102" t="s">
        <v>190</v>
      </c>
      <c r="AL56" s="93">
        <v>0</v>
      </c>
      <c r="AM56" s="49">
        <v>46337</v>
      </c>
      <c r="AN56" s="49">
        <v>46343</v>
      </c>
      <c r="AO56" s="24" t="s">
        <v>40</v>
      </c>
      <c r="AP56" s="94">
        <v>0</v>
      </c>
    </row>
    <row r="57" spans="1:42" ht="15">
      <c r="A57" s="7" t="s">
        <v>16</v>
      </c>
      <c r="B57" s="9" t="s">
        <v>85</v>
      </c>
      <c r="C57" s="6">
        <v>1</v>
      </c>
      <c r="D57" s="46">
        <v>46146</v>
      </c>
      <c r="E57" s="46">
        <v>46157</v>
      </c>
      <c r="F57" s="34" t="s">
        <v>40</v>
      </c>
      <c r="G57" s="34" t="s">
        <v>219</v>
      </c>
      <c r="H57" s="82">
        <v>0</v>
      </c>
      <c r="I57" s="47">
        <v>46170</v>
      </c>
      <c r="J57" s="47">
        <v>46183</v>
      </c>
      <c r="K57" s="13" t="s">
        <v>40</v>
      </c>
      <c r="L57" s="128" t="s">
        <v>218</v>
      </c>
      <c r="M57" s="84">
        <v>0</v>
      </c>
      <c r="N57" s="229">
        <v>46170</v>
      </c>
      <c r="O57" s="229">
        <v>46183</v>
      </c>
      <c r="P57" s="24" t="s">
        <v>40</v>
      </c>
      <c r="Q57" s="271" t="s">
        <v>218</v>
      </c>
      <c r="R57" s="385">
        <v>0</v>
      </c>
      <c r="S57" s="48">
        <v>46198</v>
      </c>
      <c r="T57" s="48">
        <v>46207</v>
      </c>
      <c r="U57" s="16" t="s">
        <v>40</v>
      </c>
      <c r="V57" s="65" t="s">
        <v>218</v>
      </c>
      <c r="W57" s="86">
        <v>0</v>
      </c>
      <c r="X57" s="52">
        <v>46218</v>
      </c>
      <c r="Y57" s="52">
        <v>46222</v>
      </c>
      <c r="Z57" s="18" t="s">
        <v>40</v>
      </c>
      <c r="AA57" s="132" t="s">
        <v>218</v>
      </c>
      <c r="AB57" s="89">
        <v>0</v>
      </c>
      <c r="AC57" s="51">
        <v>46223</v>
      </c>
      <c r="AD57" s="51">
        <v>46232</v>
      </c>
      <c r="AE57" s="22" t="s">
        <v>40</v>
      </c>
      <c r="AF57" s="119" t="s">
        <v>218</v>
      </c>
      <c r="AG57" s="91">
        <v>0</v>
      </c>
      <c r="AH57" s="50">
        <v>46243</v>
      </c>
      <c r="AI57" s="50">
        <v>46250</v>
      </c>
      <c r="AJ57" s="19" t="s">
        <v>165</v>
      </c>
      <c r="AK57" s="102" t="s">
        <v>190</v>
      </c>
      <c r="AL57" s="93">
        <v>0</v>
      </c>
      <c r="AM57" s="49">
        <v>46337</v>
      </c>
      <c r="AN57" s="49">
        <v>46343</v>
      </c>
      <c r="AO57" s="24" t="s">
        <v>40</v>
      </c>
      <c r="AP57" s="94">
        <v>0</v>
      </c>
    </row>
    <row r="58" spans="1:42" ht="15">
      <c r="A58" s="7" t="s">
        <v>16</v>
      </c>
      <c r="B58" s="9" t="s">
        <v>86</v>
      </c>
      <c r="C58" s="6">
        <v>1</v>
      </c>
      <c r="D58" s="46">
        <v>46146</v>
      </c>
      <c r="E58" s="46">
        <v>46157</v>
      </c>
      <c r="F58" s="34" t="s">
        <v>40</v>
      </c>
      <c r="G58" s="34" t="s">
        <v>219</v>
      </c>
      <c r="H58" s="82">
        <v>0</v>
      </c>
      <c r="I58" s="47">
        <v>46170</v>
      </c>
      <c r="J58" s="47">
        <v>46183</v>
      </c>
      <c r="K58" s="13" t="s">
        <v>40</v>
      </c>
      <c r="L58" s="128" t="s">
        <v>218</v>
      </c>
      <c r="M58" s="84">
        <v>0</v>
      </c>
      <c r="N58" s="229">
        <v>46170</v>
      </c>
      <c r="O58" s="229">
        <v>46183</v>
      </c>
      <c r="P58" s="24" t="s">
        <v>40</v>
      </c>
      <c r="Q58" s="271" t="s">
        <v>218</v>
      </c>
      <c r="R58" s="386"/>
      <c r="S58" s="48">
        <v>46198</v>
      </c>
      <c r="T58" s="48">
        <v>46207</v>
      </c>
      <c r="U58" s="16" t="s">
        <v>40</v>
      </c>
      <c r="V58" s="65" t="s">
        <v>218</v>
      </c>
      <c r="W58" s="86">
        <v>0</v>
      </c>
      <c r="X58" s="52">
        <v>46218</v>
      </c>
      <c r="Y58" s="52">
        <v>46222</v>
      </c>
      <c r="Z58" s="18" t="s">
        <v>40</v>
      </c>
      <c r="AA58" s="132" t="s">
        <v>218</v>
      </c>
      <c r="AB58" s="89">
        <v>0</v>
      </c>
      <c r="AC58" s="51">
        <v>46223</v>
      </c>
      <c r="AD58" s="51">
        <v>46232</v>
      </c>
      <c r="AE58" s="22" t="s">
        <v>40</v>
      </c>
      <c r="AF58" s="119" t="s">
        <v>218</v>
      </c>
      <c r="AG58" s="91">
        <v>0</v>
      </c>
      <c r="AH58" s="50">
        <v>46243</v>
      </c>
      <c r="AI58" s="50">
        <v>46250</v>
      </c>
      <c r="AJ58" s="19" t="s">
        <v>165</v>
      </c>
      <c r="AK58" s="102" t="s">
        <v>190</v>
      </c>
      <c r="AL58" s="93">
        <v>0</v>
      </c>
      <c r="AM58" s="49">
        <v>46337</v>
      </c>
      <c r="AN58" s="49">
        <v>46343</v>
      </c>
      <c r="AO58" s="24" t="s">
        <v>40</v>
      </c>
      <c r="AP58" s="94">
        <v>0</v>
      </c>
    </row>
    <row r="59" spans="1:42" ht="15">
      <c r="A59" s="7" t="s">
        <v>16</v>
      </c>
      <c r="B59" s="9" t="s">
        <v>87</v>
      </c>
      <c r="C59" s="6">
        <v>1</v>
      </c>
      <c r="D59" s="46">
        <v>46146</v>
      </c>
      <c r="E59" s="46">
        <v>46157</v>
      </c>
      <c r="F59" s="34" t="s">
        <v>40</v>
      </c>
      <c r="G59" s="34" t="s">
        <v>219</v>
      </c>
      <c r="H59" s="82">
        <v>0</v>
      </c>
      <c r="I59" s="47">
        <v>46170</v>
      </c>
      <c r="J59" s="47">
        <v>46183</v>
      </c>
      <c r="K59" s="13" t="s">
        <v>40</v>
      </c>
      <c r="L59" s="128" t="s">
        <v>218</v>
      </c>
      <c r="M59" s="84">
        <v>0</v>
      </c>
      <c r="N59" s="229">
        <v>46170</v>
      </c>
      <c r="O59" s="229">
        <v>46183</v>
      </c>
      <c r="P59" s="24" t="s">
        <v>40</v>
      </c>
      <c r="Q59" s="271" t="s">
        <v>218</v>
      </c>
      <c r="R59" s="386"/>
      <c r="S59" s="48">
        <v>46198</v>
      </c>
      <c r="T59" s="48">
        <v>46207</v>
      </c>
      <c r="U59" s="16" t="s">
        <v>40</v>
      </c>
      <c r="V59" s="65" t="s">
        <v>218</v>
      </c>
      <c r="W59" s="86">
        <v>0</v>
      </c>
      <c r="X59" s="52">
        <v>46218</v>
      </c>
      <c r="Y59" s="52">
        <v>46222</v>
      </c>
      <c r="Z59" s="18" t="s">
        <v>40</v>
      </c>
      <c r="AA59" s="132" t="s">
        <v>218</v>
      </c>
      <c r="AB59" s="89">
        <v>0</v>
      </c>
      <c r="AC59" s="51">
        <v>46223</v>
      </c>
      <c r="AD59" s="51">
        <v>46232</v>
      </c>
      <c r="AE59" s="22" t="s">
        <v>40</v>
      </c>
      <c r="AF59" s="119" t="s">
        <v>218</v>
      </c>
      <c r="AG59" s="91">
        <v>0</v>
      </c>
      <c r="AH59" s="50">
        <v>46243</v>
      </c>
      <c r="AI59" s="50">
        <v>46250</v>
      </c>
      <c r="AJ59" s="19" t="s">
        <v>165</v>
      </c>
      <c r="AK59" s="102" t="s">
        <v>190</v>
      </c>
      <c r="AL59" s="93">
        <v>0</v>
      </c>
      <c r="AM59" s="49">
        <v>46337</v>
      </c>
      <c r="AN59" s="49">
        <v>46343</v>
      </c>
      <c r="AO59" s="24" t="s">
        <v>40</v>
      </c>
      <c r="AP59" s="94">
        <v>0</v>
      </c>
    </row>
    <row r="60" spans="1:42" ht="15">
      <c r="A60" s="7" t="s">
        <v>16</v>
      </c>
      <c r="B60" s="9" t="s">
        <v>88</v>
      </c>
      <c r="C60" s="6">
        <v>1</v>
      </c>
      <c r="D60" s="46">
        <v>46146</v>
      </c>
      <c r="E60" s="46">
        <v>46157</v>
      </c>
      <c r="F60" s="34" t="s">
        <v>40</v>
      </c>
      <c r="G60" s="34" t="s">
        <v>219</v>
      </c>
      <c r="H60" s="82">
        <v>0</v>
      </c>
      <c r="I60" s="47">
        <v>46170</v>
      </c>
      <c r="J60" s="47">
        <v>46183</v>
      </c>
      <c r="K60" s="13" t="s">
        <v>40</v>
      </c>
      <c r="L60" s="128" t="s">
        <v>218</v>
      </c>
      <c r="M60" s="84">
        <v>0</v>
      </c>
      <c r="N60" s="229">
        <v>46170</v>
      </c>
      <c r="O60" s="229">
        <v>46183</v>
      </c>
      <c r="P60" s="24" t="s">
        <v>40</v>
      </c>
      <c r="Q60" s="271" t="s">
        <v>218</v>
      </c>
      <c r="R60" s="386"/>
      <c r="S60" s="48">
        <v>46198</v>
      </c>
      <c r="T60" s="48">
        <v>46207</v>
      </c>
      <c r="U60" s="16" t="s">
        <v>40</v>
      </c>
      <c r="V60" s="65" t="s">
        <v>218</v>
      </c>
      <c r="W60" s="86">
        <v>0</v>
      </c>
      <c r="X60" s="52">
        <v>46218</v>
      </c>
      <c r="Y60" s="52">
        <v>46222</v>
      </c>
      <c r="Z60" s="18" t="s">
        <v>40</v>
      </c>
      <c r="AA60" s="132" t="s">
        <v>218</v>
      </c>
      <c r="AB60" s="89">
        <v>0</v>
      </c>
      <c r="AC60" s="51">
        <v>46223</v>
      </c>
      <c r="AD60" s="51">
        <v>46232</v>
      </c>
      <c r="AE60" s="22" t="s">
        <v>40</v>
      </c>
      <c r="AF60" s="119" t="s">
        <v>218</v>
      </c>
      <c r="AG60" s="91">
        <v>0</v>
      </c>
      <c r="AH60" s="50">
        <v>46243</v>
      </c>
      <c r="AI60" s="50">
        <v>46250</v>
      </c>
      <c r="AJ60" s="19" t="s">
        <v>165</v>
      </c>
      <c r="AK60" s="102" t="s">
        <v>190</v>
      </c>
      <c r="AL60" s="93">
        <v>0</v>
      </c>
      <c r="AM60" s="49">
        <v>46337</v>
      </c>
      <c r="AN60" s="49">
        <v>46343</v>
      </c>
      <c r="AO60" s="24" t="s">
        <v>40</v>
      </c>
      <c r="AP60" s="94">
        <v>0</v>
      </c>
    </row>
    <row r="61" spans="1:42" ht="15">
      <c r="A61" s="7" t="s">
        <v>16</v>
      </c>
      <c r="B61" s="9" t="s">
        <v>89</v>
      </c>
      <c r="C61" s="6">
        <v>1</v>
      </c>
      <c r="D61" s="46">
        <v>46146</v>
      </c>
      <c r="E61" s="46">
        <v>46157</v>
      </c>
      <c r="F61" s="34" t="s">
        <v>40</v>
      </c>
      <c r="G61" s="34" t="s">
        <v>219</v>
      </c>
      <c r="H61" s="82">
        <v>0</v>
      </c>
      <c r="I61" s="47">
        <v>46170</v>
      </c>
      <c r="J61" s="47">
        <v>46183</v>
      </c>
      <c r="K61" s="13" t="s">
        <v>40</v>
      </c>
      <c r="L61" s="128" t="s">
        <v>218</v>
      </c>
      <c r="M61" s="84">
        <v>0</v>
      </c>
      <c r="N61" s="229">
        <v>46170</v>
      </c>
      <c r="O61" s="229">
        <v>46183</v>
      </c>
      <c r="P61" s="24" t="s">
        <v>40</v>
      </c>
      <c r="Q61" s="271" t="s">
        <v>218</v>
      </c>
      <c r="R61" s="386"/>
      <c r="S61" s="48">
        <v>46198</v>
      </c>
      <c r="T61" s="48">
        <v>46207</v>
      </c>
      <c r="U61" s="16" t="s">
        <v>40</v>
      </c>
      <c r="V61" s="65" t="s">
        <v>218</v>
      </c>
      <c r="W61" s="86">
        <v>0</v>
      </c>
      <c r="X61" s="52">
        <v>46218</v>
      </c>
      <c r="Y61" s="52">
        <v>46222</v>
      </c>
      <c r="Z61" s="18" t="s">
        <v>40</v>
      </c>
      <c r="AA61" s="132" t="s">
        <v>218</v>
      </c>
      <c r="AB61" s="89">
        <v>0</v>
      </c>
      <c r="AC61" s="51">
        <v>46223</v>
      </c>
      <c r="AD61" s="51">
        <v>46232</v>
      </c>
      <c r="AE61" s="22" t="s">
        <v>40</v>
      </c>
      <c r="AF61" s="119" t="s">
        <v>218</v>
      </c>
      <c r="AG61" s="91">
        <v>0</v>
      </c>
      <c r="AH61" s="50">
        <v>46243</v>
      </c>
      <c r="AI61" s="50">
        <v>46250</v>
      </c>
      <c r="AJ61" s="19" t="s">
        <v>165</v>
      </c>
      <c r="AK61" s="102" t="s">
        <v>190</v>
      </c>
      <c r="AL61" s="93">
        <v>0</v>
      </c>
      <c r="AM61" s="49">
        <v>46337</v>
      </c>
      <c r="AN61" s="49">
        <v>46343</v>
      </c>
      <c r="AO61" s="24" t="s">
        <v>40</v>
      </c>
      <c r="AP61" s="94">
        <v>0</v>
      </c>
    </row>
    <row r="62" spans="1:42" ht="15">
      <c r="A62" s="7" t="s">
        <v>16</v>
      </c>
      <c r="B62" s="9" t="s">
        <v>90</v>
      </c>
      <c r="C62" s="6">
        <v>1</v>
      </c>
      <c r="D62" s="46">
        <v>46146</v>
      </c>
      <c r="E62" s="46">
        <v>46157</v>
      </c>
      <c r="F62" s="34" t="s">
        <v>40</v>
      </c>
      <c r="G62" s="34" t="s">
        <v>219</v>
      </c>
      <c r="H62" s="82">
        <v>0</v>
      </c>
      <c r="I62" s="47">
        <v>46170</v>
      </c>
      <c r="J62" s="47">
        <v>46183</v>
      </c>
      <c r="K62" s="13" t="s">
        <v>40</v>
      </c>
      <c r="L62" s="128" t="s">
        <v>218</v>
      </c>
      <c r="M62" s="84">
        <v>0</v>
      </c>
      <c r="N62" s="229">
        <v>46170</v>
      </c>
      <c r="O62" s="229">
        <v>46183</v>
      </c>
      <c r="P62" s="24" t="s">
        <v>40</v>
      </c>
      <c r="Q62" s="271" t="s">
        <v>218</v>
      </c>
      <c r="R62" s="386"/>
      <c r="S62" s="48">
        <v>46198</v>
      </c>
      <c r="T62" s="48">
        <v>46207</v>
      </c>
      <c r="U62" s="16" t="s">
        <v>40</v>
      </c>
      <c r="V62" s="65" t="s">
        <v>218</v>
      </c>
      <c r="W62" s="86">
        <v>0</v>
      </c>
      <c r="X62" s="52">
        <v>46218</v>
      </c>
      <c r="Y62" s="52">
        <v>46222</v>
      </c>
      <c r="Z62" s="18" t="s">
        <v>40</v>
      </c>
      <c r="AA62" s="132" t="s">
        <v>218</v>
      </c>
      <c r="AB62" s="89">
        <v>0</v>
      </c>
      <c r="AC62" s="51">
        <v>46223</v>
      </c>
      <c r="AD62" s="51">
        <v>46232</v>
      </c>
      <c r="AE62" s="22" t="s">
        <v>40</v>
      </c>
      <c r="AF62" s="119" t="s">
        <v>218</v>
      </c>
      <c r="AG62" s="91">
        <v>0</v>
      </c>
      <c r="AH62" s="50">
        <v>46243</v>
      </c>
      <c r="AI62" s="50">
        <v>46250</v>
      </c>
      <c r="AJ62" s="19" t="s">
        <v>165</v>
      </c>
      <c r="AK62" s="102" t="s">
        <v>190</v>
      </c>
      <c r="AL62" s="93">
        <v>0</v>
      </c>
      <c r="AM62" s="49">
        <v>46337</v>
      </c>
      <c r="AN62" s="49">
        <v>46343</v>
      </c>
      <c r="AO62" s="24" t="s">
        <v>40</v>
      </c>
      <c r="AP62" s="94">
        <v>0</v>
      </c>
    </row>
    <row r="63" spans="1:42" ht="15">
      <c r="A63" s="7" t="s">
        <v>16</v>
      </c>
      <c r="B63" s="9" t="s">
        <v>91</v>
      </c>
      <c r="C63" s="6">
        <v>1</v>
      </c>
      <c r="D63" s="46">
        <v>46146</v>
      </c>
      <c r="E63" s="46">
        <v>46157</v>
      </c>
      <c r="F63" s="34" t="s">
        <v>40</v>
      </c>
      <c r="G63" s="34" t="s">
        <v>219</v>
      </c>
      <c r="H63" s="82">
        <v>0</v>
      </c>
      <c r="I63" s="47">
        <v>46170</v>
      </c>
      <c r="J63" s="47">
        <v>46183</v>
      </c>
      <c r="K63" s="13" t="s">
        <v>40</v>
      </c>
      <c r="L63" s="128" t="s">
        <v>218</v>
      </c>
      <c r="M63" s="84">
        <v>0</v>
      </c>
      <c r="N63" s="229">
        <v>46170</v>
      </c>
      <c r="O63" s="229">
        <v>46183</v>
      </c>
      <c r="P63" s="24" t="s">
        <v>40</v>
      </c>
      <c r="Q63" s="271" t="s">
        <v>218</v>
      </c>
      <c r="R63" s="386"/>
      <c r="S63" s="48">
        <v>46198</v>
      </c>
      <c r="T63" s="48">
        <v>46207</v>
      </c>
      <c r="U63" s="16" t="s">
        <v>40</v>
      </c>
      <c r="V63" s="65" t="s">
        <v>218</v>
      </c>
      <c r="W63" s="86">
        <v>0</v>
      </c>
      <c r="X63" s="52">
        <v>46218</v>
      </c>
      <c r="Y63" s="52">
        <v>46222</v>
      </c>
      <c r="Z63" s="18" t="s">
        <v>40</v>
      </c>
      <c r="AA63" s="132" t="s">
        <v>218</v>
      </c>
      <c r="AB63" s="89">
        <v>0</v>
      </c>
      <c r="AC63" s="51">
        <v>46223</v>
      </c>
      <c r="AD63" s="51">
        <v>46232</v>
      </c>
      <c r="AE63" s="22" t="s">
        <v>40</v>
      </c>
      <c r="AF63" s="119" t="s">
        <v>218</v>
      </c>
      <c r="AG63" s="91">
        <v>0</v>
      </c>
      <c r="AH63" s="50">
        <v>46243</v>
      </c>
      <c r="AI63" s="50">
        <v>46250</v>
      </c>
      <c r="AJ63" s="19" t="s">
        <v>165</v>
      </c>
      <c r="AK63" s="102" t="s">
        <v>190</v>
      </c>
      <c r="AL63" s="93">
        <v>0</v>
      </c>
      <c r="AM63" s="49">
        <v>46337</v>
      </c>
      <c r="AN63" s="49">
        <v>46343</v>
      </c>
      <c r="AO63" s="24" t="s">
        <v>40</v>
      </c>
      <c r="AP63" s="94">
        <v>0</v>
      </c>
    </row>
    <row r="64" spans="1:42" ht="15">
      <c r="A64" s="7" t="s">
        <v>16</v>
      </c>
      <c r="B64" s="9" t="s">
        <v>92</v>
      </c>
      <c r="C64" s="6">
        <v>1</v>
      </c>
      <c r="D64" s="46">
        <v>46146</v>
      </c>
      <c r="E64" s="46">
        <v>46157</v>
      </c>
      <c r="F64" s="34" t="s">
        <v>40</v>
      </c>
      <c r="G64" s="34" t="s">
        <v>219</v>
      </c>
      <c r="H64" s="82">
        <v>0</v>
      </c>
      <c r="I64" s="47">
        <v>46170</v>
      </c>
      <c r="J64" s="47">
        <v>46183</v>
      </c>
      <c r="K64" s="13" t="s">
        <v>40</v>
      </c>
      <c r="L64" s="128" t="s">
        <v>218</v>
      </c>
      <c r="M64" s="84">
        <v>0</v>
      </c>
      <c r="N64" s="229">
        <v>46170</v>
      </c>
      <c r="O64" s="229">
        <v>46183</v>
      </c>
      <c r="P64" s="24" t="s">
        <v>40</v>
      </c>
      <c r="Q64" s="271" t="s">
        <v>218</v>
      </c>
      <c r="R64" s="386"/>
      <c r="S64" s="48">
        <v>46198</v>
      </c>
      <c r="T64" s="48">
        <v>46207</v>
      </c>
      <c r="U64" s="16" t="s">
        <v>40</v>
      </c>
      <c r="V64" s="65" t="s">
        <v>218</v>
      </c>
      <c r="W64" s="86">
        <v>0</v>
      </c>
      <c r="X64" s="52">
        <v>46218</v>
      </c>
      <c r="Y64" s="52">
        <v>46222</v>
      </c>
      <c r="Z64" s="18" t="s">
        <v>40</v>
      </c>
      <c r="AA64" s="132" t="s">
        <v>218</v>
      </c>
      <c r="AB64" s="89">
        <v>0</v>
      </c>
      <c r="AC64" s="51">
        <v>46223</v>
      </c>
      <c r="AD64" s="51">
        <v>46232</v>
      </c>
      <c r="AE64" s="22" t="s">
        <v>40</v>
      </c>
      <c r="AF64" s="119" t="s">
        <v>218</v>
      </c>
      <c r="AG64" s="91">
        <v>0</v>
      </c>
      <c r="AH64" s="50">
        <v>46243</v>
      </c>
      <c r="AI64" s="50">
        <v>46250</v>
      </c>
      <c r="AJ64" s="19" t="s">
        <v>165</v>
      </c>
      <c r="AK64" s="102" t="s">
        <v>190</v>
      </c>
      <c r="AL64" s="93">
        <v>0</v>
      </c>
      <c r="AM64" s="49">
        <v>46337</v>
      </c>
      <c r="AN64" s="49">
        <v>46343</v>
      </c>
      <c r="AO64" s="24" t="s">
        <v>40</v>
      </c>
      <c r="AP64" s="94">
        <v>0</v>
      </c>
    </row>
    <row r="65" spans="1:42" ht="15">
      <c r="A65" s="7" t="s">
        <v>16</v>
      </c>
      <c r="B65" s="9" t="s">
        <v>93</v>
      </c>
      <c r="C65" s="6">
        <v>1</v>
      </c>
      <c r="D65" s="46">
        <v>46146</v>
      </c>
      <c r="E65" s="46">
        <v>46157</v>
      </c>
      <c r="F65" s="34" t="s">
        <v>40</v>
      </c>
      <c r="G65" s="34" t="s">
        <v>219</v>
      </c>
      <c r="H65" s="82">
        <v>0</v>
      </c>
      <c r="I65" s="47">
        <v>46170</v>
      </c>
      <c r="J65" s="47">
        <v>46183</v>
      </c>
      <c r="K65" s="13" t="s">
        <v>40</v>
      </c>
      <c r="L65" s="128" t="s">
        <v>218</v>
      </c>
      <c r="M65" s="84">
        <v>0</v>
      </c>
      <c r="N65" s="229">
        <v>46170</v>
      </c>
      <c r="O65" s="229">
        <v>46183</v>
      </c>
      <c r="P65" s="24" t="s">
        <v>40</v>
      </c>
      <c r="Q65" s="271" t="s">
        <v>218</v>
      </c>
      <c r="R65" s="386"/>
      <c r="S65" s="48">
        <v>46198</v>
      </c>
      <c r="T65" s="48">
        <v>46207</v>
      </c>
      <c r="U65" s="16" t="s">
        <v>40</v>
      </c>
      <c r="V65" s="65" t="s">
        <v>218</v>
      </c>
      <c r="W65" s="86">
        <v>0</v>
      </c>
      <c r="X65" s="52">
        <v>46218</v>
      </c>
      <c r="Y65" s="52">
        <v>46222</v>
      </c>
      <c r="Z65" s="18" t="s">
        <v>40</v>
      </c>
      <c r="AA65" s="132" t="s">
        <v>218</v>
      </c>
      <c r="AB65" s="89">
        <v>0</v>
      </c>
      <c r="AC65" s="51">
        <v>46223</v>
      </c>
      <c r="AD65" s="51">
        <v>46232</v>
      </c>
      <c r="AE65" s="22" t="s">
        <v>40</v>
      </c>
      <c r="AF65" s="119" t="s">
        <v>218</v>
      </c>
      <c r="AG65" s="91">
        <v>0</v>
      </c>
      <c r="AH65" s="50">
        <v>46243</v>
      </c>
      <c r="AI65" s="50">
        <v>46250</v>
      </c>
      <c r="AJ65" s="19" t="s">
        <v>165</v>
      </c>
      <c r="AK65" s="102" t="s">
        <v>190</v>
      </c>
      <c r="AL65" s="93">
        <v>0</v>
      </c>
      <c r="AM65" s="49">
        <v>46337</v>
      </c>
      <c r="AN65" s="49">
        <v>46343</v>
      </c>
      <c r="AO65" s="24" t="s">
        <v>40</v>
      </c>
      <c r="AP65" s="94">
        <v>0</v>
      </c>
    </row>
    <row r="66" spans="1:42" ht="15">
      <c r="A66" s="7" t="s">
        <v>16</v>
      </c>
      <c r="B66" s="9" t="s">
        <v>94</v>
      </c>
      <c r="C66" s="6">
        <v>1</v>
      </c>
      <c r="D66" s="46">
        <v>46146</v>
      </c>
      <c r="E66" s="46">
        <v>46157</v>
      </c>
      <c r="F66" s="34" t="s">
        <v>40</v>
      </c>
      <c r="G66" s="34" t="s">
        <v>219</v>
      </c>
      <c r="H66" s="82">
        <v>0</v>
      </c>
      <c r="I66" s="47">
        <v>46170</v>
      </c>
      <c r="J66" s="47">
        <v>46183</v>
      </c>
      <c r="K66" s="13" t="s">
        <v>40</v>
      </c>
      <c r="L66" s="128" t="s">
        <v>218</v>
      </c>
      <c r="M66" s="84">
        <v>0</v>
      </c>
      <c r="N66" s="229">
        <v>46170</v>
      </c>
      <c r="O66" s="229">
        <v>46183</v>
      </c>
      <c r="P66" s="24" t="s">
        <v>40</v>
      </c>
      <c r="Q66" s="271" t="s">
        <v>218</v>
      </c>
      <c r="R66" s="386"/>
      <c r="S66" s="48">
        <v>46198</v>
      </c>
      <c r="T66" s="48">
        <v>46207</v>
      </c>
      <c r="U66" s="16" t="s">
        <v>40</v>
      </c>
      <c r="V66" s="65" t="s">
        <v>218</v>
      </c>
      <c r="W66" s="86">
        <v>0</v>
      </c>
      <c r="X66" s="52">
        <v>46218</v>
      </c>
      <c r="Y66" s="52">
        <v>46222</v>
      </c>
      <c r="Z66" s="18" t="s">
        <v>40</v>
      </c>
      <c r="AA66" s="132" t="s">
        <v>218</v>
      </c>
      <c r="AB66" s="89">
        <v>0</v>
      </c>
      <c r="AC66" s="51">
        <v>46223</v>
      </c>
      <c r="AD66" s="51">
        <v>46232</v>
      </c>
      <c r="AE66" s="22" t="s">
        <v>40</v>
      </c>
      <c r="AF66" s="119" t="s">
        <v>218</v>
      </c>
      <c r="AG66" s="91">
        <v>0</v>
      </c>
      <c r="AH66" s="50">
        <v>46243</v>
      </c>
      <c r="AI66" s="50">
        <v>46250</v>
      </c>
      <c r="AJ66" s="19" t="s">
        <v>165</v>
      </c>
      <c r="AK66" s="102" t="s">
        <v>190</v>
      </c>
      <c r="AL66" s="93">
        <v>0</v>
      </c>
      <c r="AM66" s="49">
        <v>46337</v>
      </c>
      <c r="AN66" s="49">
        <v>46343</v>
      </c>
      <c r="AO66" s="24" t="s">
        <v>40</v>
      </c>
      <c r="AP66" s="94">
        <v>0</v>
      </c>
    </row>
    <row r="67" spans="1:42" ht="15">
      <c r="A67" s="7" t="s">
        <v>16</v>
      </c>
      <c r="B67" s="9" t="s">
        <v>95</v>
      </c>
      <c r="C67" s="6">
        <v>1</v>
      </c>
      <c r="D67" s="46">
        <v>46146</v>
      </c>
      <c r="E67" s="46">
        <v>46157</v>
      </c>
      <c r="F67" s="34" t="s">
        <v>40</v>
      </c>
      <c r="G67" s="34" t="s">
        <v>219</v>
      </c>
      <c r="H67" s="82">
        <v>0</v>
      </c>
      <c r="I67" s="47">
        <v>46170</v>
      </c>
      <c r="J67" s="47">
        <v>46183</v>
      </c>
      <c r="K67" s="13" t="s">
        <v>40</v>
      </c>
      <c r="L67" s="128" t="s">
        <v>218</v>
      </c>
      <c r="M67" s="84">
        <v>0</v>
      </c>
      <c r="N67" s="229">
        <v>46170</v>
      </c>
      <c r="O67" s="229">
        <v>46183</v>
      </c>
      <c r="P67" s="24" t="s">
        <v>40</v>
      </c>
      <c r="Q67" s="271" t="s">
        <v>218</v>
      </c>
      <c r="R67" s="386"/>
      <c r="S67" s="48">
        <v>46198</v>
      </c>
      <c r="T67" s="48">
        <v>46207</v>
      </c>
      <c r="U67" s="16" t="s">
        <v>40</v>
      </c>
      <c r="V67" s="65" t="s">
        <v>218</v>
      </c>
      <c r="W67" s="86">
        <v>0</v>
      </c>
      <c r="X67" s="52">
        <v>46218</v>
      </c>
      <c r="Y67" s="52">
        <v>46222</v>
      </c>
      <c r="Z67" s="18" t="s">
        <v>40</v>
      </c>
      <c r="AA67" s="132" t="s">
        <v>218</v>
      </c>
      <c r="AB67" s="89">
        <v>0</v>
      </c>
      <c r="AC67" s="51">
        <v>46223</v>
      </c>
      <c r="AD67" s="51">
        <v>46232</v>
      </c>
      <c r="AE67" s="22" t="s">
        <v>40</v>
      </c>
      <c r="AF67" s="119" t="s">
        <v>218</v>
      </c>
      <c r="AG67" s="91">
        <v>0</v>
      </c>
      <c r="AH67" s="50">
        <v>46243</v>
      </c>
      <c r="AI67" s="50">
        <v>46250</v>
      </c>
      <c r="AJ67" s="19" t="s">
        <v>165</v>
      </c>
      <c r="AK67" s="102" t="s">
        <v>190</v>
      </c>
      <c r="AL67" s="93">
        <v>0</v>
      </c>
      <c r="AM67" s="49">
        <v>46337</v>
      </c>
      <c r="AN67" s="49">
        <v>46343</v>
      </c>
      <c r="AO67" s="24" t="s">
        <v>40</v>
      </c>
      <c r="AP67" s="94">
        <v>0</v>
      </c>
    </row>
    <row r="68" spans="1:42" ht="15">
      <c r="A68" s="7" t="s">
        <v>16</v>
      </c>
      <c r="B68" s="9" t="s">
        <v>96</v>
      </c>
      <c r="C68" s="6">
        <v>1</v>
      </c>
      <c r="D68" s="46">
        <v>46146</v>
      </c>
      <c r="E68" s="46">
        <v>46157</v>
      </c>
      <c r="F68" s="34" t="s">
        <v>40</v>
      </c>
      <c r="G68" s="34" t="s">
        <v>219</v>
      </c>
      <c r="H68" s="82">
        <v>0</v>
      </c>
      <c r="I68" s="47">
        <v>46170</v>
      </c>
      <c r="J68" s="47">
        <v>46183</v>
      </c>
      <c r="K68" s="13" t="s">
        <v>40</v>
      </c>
      <c r="L68" s="128" t="s">
        <v>218</v>
      </c>
      <c r="M68" s="84">
        <v>0</v>
      </c>
      <c r="N68" s="229">
        <v>46170</v>
      </c>
      <c r="O68" s="229">
        <v>46183</v>
      </c>
      <c r="P68" s="24" t="s">
        <v>40</v>
      </c>
      <c r="Q68" s="271" t="s">
        <v>218</v>
      </c>
      <c r="R68" s="386"/>
      <c r="S68" s="48">
        <v>46198</v>
      </c>
      <c r="T68" s="48">
        <v>46207</v>
      </c>
      <c r="U68" s="16" t="s">
        <v>40</v>
      </c>
      <c r="V68" s="65" t="s">
        <v>218</v>
      </c>
      <c r="W68" s="86">
        <v>0</v>
      </c>
      <c r="X68" s="52">
        <v>46218</v>
      </c>
      <c r="Y68" s="52">
        <v>46222</v>
      </c>
      <c r="Z68" s="18" t="s">
        <v>40</v>
      </c>
      <c r="AA68" s="132" t="s">
        <v>218</v>
      </c>
      <c r="AB68" s="89">
        <v>0</v>
      </c>
      <c r="AC68" s="51">
        <v>46223</v>
      </c>
      <c r="AD68" s="51">
        <v>46232</v>
      </c>
      <c r="AE68" s="22" t="s">
        <v>40</v>
      </c>
      <c r="AF68" s="119" t="s">
        <v>218</v>
      </c>
      <c r="AG68" s="91">
        <v>0</v>
      </c>
      <c r="AH68" s="50">
        <v>46243</v>
      </c>
      <c r="AI68" s="50">
        <v>46250</v>
      </c>
      <c r="AJ68" s="19" t="s">
        <v>165</v>
      </c>
      <c r="AK68" s="102" t="s">
        <v>190</v>
      </c>
      <c r="AL68" s="93">
        <v>0</v>
      </c>
      <c r="AM68" s="49">
        <v>46337</v>
      </c>
      <c r="AN68" s="49">
        <v>46343</v>
      </c>
      <c r="AO68" s="24" t="s">
        <v>40</v>
      </c>
      <c r="AP68" s="94">
        <v>0</v>
      </c>
    </row>
    <row r="69" spans="1:42" ht="15">
      <c r="A69" s="7" t="s">
        <v>16</v>
      </c>
      <c r="B69" s="9" t="s">
        <v>97</v>
      </c>
      <c r="C69" s="6">
        <v>1</v>
      </c>
      <c r="D69" s="46">
        <v>46146</v>
      </c>
      <c r="E69" s="46">
        <v>46157</v>
      </c>
      <c r="F69" s="34" t="s">
        <v>40</v>
      </c>
      <c r="G69" s="34" t="s">
        <v>219</v>
      </c>
      <c r="H69" s="82">
        <v>0</v>
      </c>
      <c r="I69" s="47">
        <v>46170</v>
      </c>
      <c r="J69" s="47">
        <v>46183</v>
      </c>
      <c r="K69" s="13" t="s">
        <v>40</v>
      </c>
      <c r="L69" s="128" t="s">
        <v>218</v>
      </c>
      <c r="M69" s="84">
        <v>0</v>
      </c>
      <c r="N69" s="229">
        <v>46170</v>
      </c>
      <c r="O69" s="229">
        <v>46183</v>
      </c>
      <c r="P69" s="24" t="s">
        <v>40</v>
      </c>
      <c r="Q69" s="271" t="s">
        <v>218</v>
      </c>
      <c r="R69" s="386"/>
      <c r="S69" s="48">
        <v>46198</v>
      </c>
      <c r="T69" s="48">
        <v>46207</v>
      </c>
      <c r="U69" s="16" t="s">
        <v>40</v>
      </c>
      <c r="V69" s="65" t="s">
        <v>218</v>
      </c>
      <c r="W69" s="86">
        <v>0</v>
      </c>
      <c r="X69" s="52">
        <v>46218</v>
      </c>
      <c r="Y69" s="52">
        <v>46222</v>
      </c>
      <c r="Z69" s="18" t="s">
        <v>40</v>
      </c>
      <c r="AA69" s="132" t="s">
        <v>218</v>
      </c>
      <c r="AB69" s="89">
        <v>0</v>
      </c>
      <c r="AC69" s="51">
        <v>46233</v>
      </c>
      <c r="AD69" s="51">
        <v>46242</v>
      </c>
      <c r="AE69" s="22" t="s">
        <v>40</v>
      </c>
      <c r="AF69" s="119" t="s">
        <v>218</v>
      </c>
      <c r="AG69" s="91">
        <v>0</v>
      </c>
      <c r="AH69" s="50">
        <v>46243</v>
      </c>
      <c r="AI69" s="50">
        <v>46250</v>
      </c>
      <c r="AJ69" s="19" t="s">
        <v>165</v>
      </c>
      <c r="AK69" s="102" t="s">
        <v>190</v>
      </c>
      <c r="AL69" s="93">
        <v>0</v>
      </c>
      <c r="AM69" s="49">
        <v>46337</v>
      </c>
      <c r="AN69" s="49">
        <v>46343</v>
      </c>
      <c r="AO69" s="24" t="s">
        <v>40</v>
      </c>
      <c r="AP69" s="94">
        <v>0</v>
      </c>
    </row>
    <row r="70" spans="1:42" ht="15">
      <c r="A70" s="7" t="s">
        <v>16</v>
      </c>
      <c r="B70" s="9" t="s">
        <v>98</v>
      </c>
      <c r="C70" s="6">
        <v>1</v>
      </c>
      <c r="D70" s="46">
        <v>46146</v>
      </c>
      <c r="E70" s="46">
        <v>46157</v>
      </c>
      <c r="F70" s="34" t="s">
        <v>40</v>
      </c>
      <c r="G70" s="34" t="s">
        <v>219</v>
      </c>
      <c r="H70" s="82">
        <v>0</v>
      </c>
      <c r="I70" s="47">
        <v>46184</v>
      </c>
      <c r="J70" s="47">
        <v>46197</v>
      </c>
      <c r="K70" s="13" t="s">
        <v>40</v>
      </c>
      <c r="L70" s="128" t="s">
        <v>218</v>
      </c>
      <c r="M70" s="84">
        <v>0</v>
      </c>
      <c r="N70" s="229">
        <v>46184</v>
      </c>
      <c r="O70" s="229">
        <v>46197</v>
      </c>
      <c r="P70" s="24" t="s">
        <v>40</v>
      </c>
      <c r="Q70" s="271" t="s">
        <v>218</v>
      </c>
      <c r="R70" s="386"/>
      <c r="S70" s="48">
        <v>46198</v>
      </c>
      <c r="T70" s="48">
        <v>46207</v>
      </c>
      <c r="U70" s="16" t="s">
        <v>40</v>
      </c>
      <c r="V70" s="65" t="s">
        <v>218</v>
      </c>
      <c r="W70" s="86">
        <v>0</v>
      </c>
      <c r="X70" s="52">
        <v>46218</v>
      </c>
      <c r="Y70" s="52">
        <v>46222</v>
      </c>
      <c r="Z70" s="18" t="s">
        <v>40</v>
      </c>
      <c r="AA70" s="132" t="s">
        <v>218</v>
      </c>
      <c r="AB70" s="89">
        <v>0</v>
      </c>
      <c r="AC70" s="51">
        <v>46233</v>
      </c>
      <c r="AD70" s="51">
        <v>46242</v>
      </c>
      <c r="AE70" s="22" t="s">
        <v>40</v>
      </c>
      <c r="AF70" s="119" t="s">
        <v>218</v>
      </c>
      <c r="AG70" s="91">
        <v>0</v>
      </c>
      <c r="AH70" s="50">
        <v>46243</v>
      </c>
      <c r="AI70" s="50">
        <v>46250</v>
      </c>
      <c r="AJ70" s="19" t="s">
        <v>165</v>
      </c>
      <c r="AK70" s="102" t="s">
        <v>190</v>
      </c>
      <c r="AL70" s="93">
        <v>0</v>
      </c>
      <c r="AM70" s="49">
        <v>46337</v>
      </c>
      <c r="AN70" s="49">
        <v>46343</v>
      </c>
      <c r="AO70" s="24" t="s">
        <v>40</v>
      </c>
      <c r="AP70" s="94">
        <v>0</v>
      </c>
    </row>
    <row r="71" spans="1:42" ht="15">
      <c r="A71" s="7" t="s">
        <v>16</v>
      </c>
      <c r="B71" s="9" t="s">
        <v>99</v>
      </c>
      <c r="C71" s="6">
        <v>1</v>
      </c>
      <c r="D71" s="46">
        <v>46146</v>
      </c>
      <c r="E71" s="46">
        <v>46157</v>
      </c>
      <c r="F71" s="34" t="s">
        <v>40</v>
      </c>
      <c r="G71" s="34" t="s">
        <v>219</v>
      </c>
      <c r="H71" s="82">
        <v>0</v>
      </c>
      <c r="I71" s="47">
        <v>46184</v>
      </c>
      <c r="J71" s="47">
        <v>46197</v>
      </c>
      <c r="K71" s="13" t="s">
        <v>40</v>
      </c>
      <c r="L71" s="128" t="s">
        <v>218</v>
      </c>
      <c r="M71" s="84">
        <v>0</v>
      </c>
      <c r="N71" s="229">
        <v>46184</v>
      </c>
      <c r="O71" s="229">
        <v>46197</v>
      </c>
      <c r="P71" s="24" t="s">
        <v>40</v>
      </c>
      <c r="Q71" s="271" t="s">
        <v>218</v>
      </c>
      <c r="R71" s="386"/>
      <c r="S71" s="48">
        <v>46198</v>
      </c>
      <c r="T71" s="48">
        <v>46207</v>
      </c>
      <c r="U71" s="16" t="s">
        <v>40</v>
      </c>
      <c r="V71" s="65" t="s">
        <v>218</v>
      </c>
      <c r="W71" s="86">
        <v>0</v>
      </c>
      <c r="X71" s="52">
        <v>46218</v>
      </c>
      <c r="Y71" s="52">
        <v>46222</v>
      </c>
      <c r="Z71" s="18" t="s">
        <v>40</v>
      </c>
      <c r="AA71" s="132" t="s">
        <v>218</v>
      </c>
      <c r="AB71" s="89">
        <v>0</v>
      </c>
      <c r="AC71" s="51">
        <v>46233</v>
      </c>
      <c r="AD71" s="51">
        <v>46242</v>
      </c>
      <c r="AE71" s="22" t="s">
        <v>40</v>
      </c>
      <c r="AF71" s="119" t="s">
        <v>218</v>
      </c>
      <c r="AG71" s="91">
        <v>0</v>
      </c>
      <c r="AH71" s="50">
        <v>46243</v>
      </c>
      <c r="AI71" s="50">
        <v>46250</v>
      </c>
      <c r="AJ71" s="19" t="s">
        <v>165</v>
      </c>
      <c r="AK71" s="102" t="s">
        <v>190</v>
      </c>
      <c r="AL71" s="93">
        <v>0</v>
      </c>
      <c r="AM71" s="49">
        <v>46337</v>
      </c>
      <c r="AN71" s="49">
        <v>46343</v>
      </c>
      <c r="AO71" s="24" t="s">
        <v>40</v>
      </c>
      <c r="AP71" s="94">
        <v>0</v>
      </c>
    </row>
    <row r="72" spans="1:42" ht="15">
      <c r="A72" s="7" t="s">
        <v>16</v>
      </c>
      <c r="B72" s="9" t="s">
        <v>100</v>
      </c>
      <c r="C72" s="6">
        <v>1</v>
      </c>
      <c r="D72" s="46">
        <v>46146</v>
      </c>
      <c r="E72" s="46">
        <v>46157</v>
      </c>
      <c r="F72" s="34" t="s">
        <v>40</v>
      </c>
      <c r="G72" s="34" t="s">
        <v>219</v>
      </c>
      <c r="H72" s="82">
        <v>0</v>
      </c>
      <c r="I72" s="47">
        <v>46184</v>
      </c>
      <c r="J72" s="47">
        <v>46197</v>
      </c>
      <c r="K72" s="13" t="s">
        <v>40</v>
      </c>
      <c r="L72" s="128" t="s">
        <v>218</v>
      </c>
      <c r="M72" s="84">
        <v>0</v>
      </c>
      <c r="N72" s="229">
        <v>46184</v>
      </c>
      <c r="O72" s="229">
        <v>46197</v>
      </c>
      <c r="P72" s="24" t="s">
        <v>40</v>
      </c>
      <c r="Q72" s="271" t="s">
        <v>218</v>
      </c>
      <c r="R72" s="386"/>
      <c r="S72" s="48">
        <v>46209</v>
      </c>
      <c r="T72" s="48">
        <v>46218</v>
      </c>
      <c r="U72" s="16" t="s">
        <v>40</v>
      </c>
      <c r="V72" s="65" t="s">
        <v>218</v>
      </c>
      <c r="W72" s="86">
        <v>0</v>
      </c>
      <c r="X72" s="52">
        <v>46218</v>
      </c>
      <c r="Y72" s="52">
        <v>46222</v>
      </c>
      <c r="Z72" s="18" t="s">
        <v>40</v>
      </c>
      <c r="AA72" s="132" t="s">
        <v>218</v>
      </c>
      <c r="AB72" s="89">
        <v>0</v>
      </c>
      <c r="AC72" s="51">
        <v>46233</v>
      </c>
      <c r="AD72" s="51">
        <v>46242</v>
      </c>
      <c r="AE72" s="22" t="s">
        <v>40</v>
      </c>
      <c r="AF72" s="119" t="s">
        <v>218</v>
      </c>
      <c r="AG72" s="91">
        <v>0</v>
      </c>
      <c r="AH72" s="50">
        <v>46243</v>
      </c>
      <c r="AI72" s="50">
        <v>46250</v>
      </c>
      <c r="AJ72" s="19" t="s">
        <v>165</v>
      </c>
      <c r="AK72" s="102" t="s">
        <v>190</v>
      </c>
      <c r="AL72" s="93">
        <v>0</v>
      </c>
      <c r="AM72" s="49">
        <v>46337</v>
      </c>
      <c r="AN72" s="49">
        <v>46343</v>
      </c>
      <c r="AO72" s="24" t="s">
        <v>40</v>
      </c>
      <c r="AP72" s="94">
        <v>0</v>
      </c>
    </row>
    <row r="73" spans="1:42" ht="15">
      <c r="A73" s="7" t="s">
        <v>16</v>
      </c>
      <c r="B73" s="9" t="s">
        <v>101</v>
      </c>
      <c r="C73" s="6">
        <v>1</v>
      </c>
      <c r="D73" s="46">
        <v>46146</v>
      </c>
      <c r="E73" s="46">
        <v>46157</v>
      </c>
      <c r="F73" s="34" t="s">
        <v>40</v>
      </c>
      <c r="G73" s="34" t="s">
        <v>219</v>
      </c>
      <c r="H73" s="82">
        <v>0</v>
      </c>
      <c r="I73" s="47">
        <v>46184</v>
      </c>
      <c r="J73" s="47">
        <v>46197</v>
      </c>
      <c r="K73" s="13" t="s">
        <v>40</v>
      </c>
      <c r="L73" s="128" t="s">
        <v>218</v>
      </c>
      <c r="M73" s="84">
        <v>0</v>
      </c>
      <c r="N73" s="229">
        <v>46184</v>
      </c>
      <c r="O73" s="229">
        <v>46197</v>
      </c>
      <c r="P73" s="24" t="s">
        <v>40</v>
      </c>
      <c r="Q73" s="271" t="s">
        <v>218</v>
      </c>
      <c r="R73" s="386"/>
      <c r="S73" s="48">
        <v>46209</v>
      </c>
      <c r="T73" s="48">
        <v>46218</v>
      </c>
      <c r="U73" s="16" t="s">
        <v>40</v>
      </c>
      <c r="V73" s="65" t="s">
        <v>218</v>
      </c>
      <c r="W73" s="86">
        <v>0</v>
      </c>
      <c r="X73" s="52">
        <v>46218</v>
      </c>
      <c r="Y73" s="52">
        <v>46222</v>
      </c>
      <c r="Z73" s="18" t="s">
        <v>40</v>
      </c>
      <c r="AA73" s="132" t="s">
        <v>218</v>
      </c>
      <c r="AB73" s="89">
        <v>0</v>
      </c>
      <c r="AC73" s="51">
        <v>46233</v>
      </c>
      <c r="AD73" s="51">
        <v>46242</v>
      </c>
      <c r="AE73" s="22" t="s">
        <v>40</v>
      </c>
      <c r="AF73" s="119" t="s">
        <v>218</v>
      </c>
      <c r="AG73" s="91">
        <v>0</v>
      </c>
      <c r="AH73" s="50">
        <v>46243</v>
      </c>
      <c r="AI73" s="50">
        <v>46250</v>
      </c>
      <c r="AJ73" s="19" t="s">
        <v>165</v>
      </c>
      <c r="AK73" s="102" t="s">
        <v>190</v>
      </c>
      <c r="AL73" s="93">
        <v>0</v>
      </c>
      <c r="AM73" s="49">
        <v>46337</v>
      </c>
      <c r="AN73" s="49">
        <v>46343</v>
      </c>
      <c r="AO73" s="24" t="s">
        <v>40</v>
      </c>
      <c r="AP73" s="94">
        <v>0</v>
      </c>
    </row>
    <row r="74" spans="1:42" ht="15">
      <c r="A74" s="7" t="s">
        <v>16</v>
      </c>
      <c r="B74" s="9" t="s">
        <v>102</v>
      </c>
      <c r="C74" s="6">
        <v>1</v>
      </c>
      <c r="D74" s="46">
        <v>46146</v>
      </c>
      <c r="E74" s="46">
        <v>46157</v>
      </c>
      <c r="F74" s="34" t="s">
        <v>40</v>
      </c>
      <c r="G74" s="34" t="s">
        <v>219</v>
      </c>
      <c r="H74" s="82">
        <v>0</v>
      </c>
      <c r="I74" s="47">
        <v>46184</v>
      </c>
      <c r="J74" s="47">
        <v>46197</v>
      </c>
      <c r="K74" s="13" t="s">
        <v>40</v>
      </c>
      <c r="L74" s="128" t="s">
        <v>218</v>
      </c>
      <c r="M74" s="84">
        <v>0</v>
      </c>
      <c r="N74" s="229">
        <v>46184</v>
      </c>
      <c r="O74" s="229">
        <v>46197</v>
      </c>
      <c r="P74" s="24" t="s">
        <v>40</v>
      </c>
      <c r="Q74" s="271" t="s">
        <v>218</v>
      </c>
      <c r="R74" s="386"/>
      <c r="S74" s="48">
        <v>46209</v>
      </c>
      <c r="T74" s="48">
        <v>46218</v>
      </c>
      <c r="U74" s="16" t="s">
        <v>40</v>
      </c>
      <c r="V74" s="65" t="s">
        <v>218</v>
      </c>
      <c r="W74" s="86">
        <v>0</v>
      </c>
      <c r="X74" s="52">
        <v>46218</v>
      </c>
      <c r="Y74" s="52">
        <v>46222</v>
      </c>
      <c r="Z74" s="18" t="s">
        <v>40</v>
      </c>
      <c r="AA74" s="132" t="s">
        <v>218</v>
      </c>
      <c r="AB74" s="89">
        <v>0</v>
      </c>
      <c r="AC74" s="51">
        <v>46233</v>
      </c>
      <c r="AD74" s="51">
        <v>46242</v>
      </c>
      <c r="AE74" s="22" t="s">
        <v>40</v>
      </c>
      <c r="AF74" s="119" t="s">
        <v>218</v>
      </c>
      <c r="AG74" s="91">
        <v>0</v>
      </c>
      <c r="AH74" s="50">
        <v>46243</v>
      </c>
      <c r="AI74" s="50">
        <v>46250</v>
      </c>
      <c r="AJ74" s="19" t="s">
        <v>165</v>
      </c>
      <c r="AK74" s="102" t="s">
        <v>190</v>
      </c>
      <c r="AL74" s="93">
        <v>0</v>
      </c>
      <c r="AM74" s="49">
        <v>46337</v>
      </c>
      <c r="AN74" s="49">
        <v>46343</v>
      </c>
      <c r="AO74" s="24" t="s">
        <v>40</v>
      </c>
      <c r="AP74" s="94">
        <v>0</v>
      </c>
    </row>
    <row r="75" spans="1:42" ht="15">
      <c r="A75" s="7" t="s">
        <v>16</v>
      </c>
      <c r="B75" s="9" t="s">
        <v>103</v>
      </c>
      <c r="C75" s="6">
        <v>1</v>
      </c>
      <c r="D75" s="46">
        <v>46146</v>
      </c>
      <c r="E75" s="46">
        <v>46157</v>
      </c>
      <c r="F75" s="34" t="s">
        <v>40</v>
      </c>
      <c r="G75" s="34" t="s">
        <v>219</v>
      </c>
      <c r="H75" s="82">
        <v>0</v>
      </c>
      <c r="I75" s="47">
        <v>46184</v>
      </c>
      <c r="J75" s="47">
        <v>46197</v>
      </c>
      <c r="K75" s="13" t="s">
        <v>40</v>
      </c>
      <c r="L75" s="128" t="s">
        <v>218</v>
      </c>
      <c r="M75" s="84">
        <v>0</v>
      </c>
      <c r="N75" s="229">
        <v>46184</v>
      </c>
      <c r="O75" s="229">
        <v>46197</v>
      </c>
      <c r="P75" s="24" t="s">
        <v>40</v>
      </c>
      <c r="Q75" s="271" t="s">
        <v>218</v>
      </c>
      <c r="R75" s="386"/>
      <c r="S75" s="48">
        <v>46209</v>
      </c>
      <c r="T75" s="48">
        <v>46218</v>
      </c>
      <c r="U75" s="16" t="s">
        <v>40</v>
      </c>
      <c r="V75" s="65" t="s">
        <v>218</v>
      </c>
      <c r="W75" s="86">
        <v>0</v>
      </c>
      <c r="X75" s="52">
        <v>46218</v>
      </c>
      <c r="Y75" s="52">
        <v>46222</v>
      </c>
      <c r="Z75" s="18" t="s">
        <v>40</v>
      </c>
      <c r="AA75" s="132" t="s">
        <v>218</v>
      </c>
      <c r="AB75" s="89">
        <v>0</v>
      </c>
      <c r="AC75" s="51">
        <v>46233</v>
      </c>
      <c r="AD75" s="51">
        <v>46242</v>
      </c>
      <c r="AE75" s="22" t="s">
        <v>40</v>
      </c>
      <c r="AF75" s="119" t="s">
        <v>218</v>
      </c>
      <c r="AG75" s="91">
        <v>0</v>
      </c>
      <c r="AH75" s="50">
        <v>46243</v>
      </c>
      <c r="AI75" s="50">
        <v>46250</v>
      </c>
      <c r="AJ75" s="19" t="s">
        <v>165</v>
      </c>
      <c r="AK75" s="102" t="s">
        <v>190</v>
      </c>
      <c r="AL75" s="93">
        <v>0</v>
      </c>
      <c r="AM75" s="49">
        <v>46337</v>
      </c>
      <c r="AN75" s="49">
        <v>46343</v>
      </c>
      <c r="AO75" s="24" t="s">
        <v>40</v>
      </c>
      <c r="AP75" s="94">
        <v>0</v>
      </c>
    </row>
    <row r="76" spans="1:42" ht="15">
      <c r="A76" s="7" t="s">
        <v>16</v>
      </c>
      <c r="B76" s="9" t="s">
        <v>104</v>
      </c>
      <c r="C76" s="6">
        <v>1</v>
      </c>
      <c r="D76" s="46">
        <v>46146</v>
      </c>
      <c r="E76" s="46">
        <v>46157</v>
      </c>
      <c r="F76" s="34" t="s">
        <v>40</v>
      </c>
      <c r="G76" s="34" t="s">
        <v>219</v>
      </c>
      <c r="H76" s="82">
        <v>0</v>
      </c>
      <c r="I76" s="47">
        <v>46184</v>
      </c>
      <c r="J76" s="47">
        <v>46197</v>
      </c>
      <c r="K76" s="13" t="s">
        <v>40</v>
      </c>
      <c r="L76" s="128" t="s">
        <v>218</v>
      </c>
      <c r="M76" s="84">
        <v>0</v>
      </c>
      <c r="N76" s="229">
        <v>46184</v>
      </c>
      <c r="O76" s="229">
        <v>46197</v>
      </c>
      <c r="P76" s="24" t="s">
        <v>40</v>
      </c>
      <c r="Q76" s="271" t="s">
        <v>218</v>
      </c>
      <c r="R76" s="386"/>
      <c r="S76" s="48">
        <v>46209</v>
      </c>
      <c r="T76" s="48">
        <v>46218</v>
      </c>
      <c r="U76" s="16" t="s">
        <v>40</v>
      </c>
      <c r="V76" s="65" t="s">
        <v>218</v>
      </c>
      <c r="W76" s="86">
        <v>0</v>
      </c>
      <c r="X76" s="52">
        <v>46218</v>
      </c>
      <c r="Y76" s="52">
        <v>46222</v>
      </c>
      <c r="Z76" s="18" t="s">
        <v>40</v>
      </c>
      <c r="AA76" s="132" t="s">
        <v>218</v>
      </c>
      <c r="AB76" s="89">
        <v>0</v>
      </c>
      <c r="AC76" s="51">
        <v>46233</v>
      </c>
      <c r="AD76" s="51">
        <v>46242</v>
      </c>
      <c r="AE76" s="22" t="s">
        <v>40</v>
      </c>
      <c r="AF76" s="119" t="s">
        <v>218</v>
      </c>
      <c r="AG76" s="91">
        <v>0</v>
      </c>
      <c r="AH76" s="50">
        <v>46243</v>
      </c>
      <c r="AI76" s="50">
        <v>46250</v>
      </c>
      <c r="AJ76" s="19" t="s">
        <v>165</v>
      </c>
      <c r="AK76" s="102" t="s">
        <v>190</v>
      </c>
      <c r="AL76" s="93">
        <v>0</v>
      </c>
      <c r="AM76" s="49">
        <v>46337</v>
      </c>
      <c r="AN76" s="49">
        <v>46343</v>
      </c>
      <c r="AO76" s="24" t="s">
        <v>40</v>
      </c>
      <c r="AP76" s="94">
        <v>0</v>
      </c>
    </row>
    <row r="77" spans="1:42" ht="15">
      <c r="A77" s="7" t="s">
        <v>16</v>
      </c>
      <c r="B77" s="9" t="s">
        <v>105</v>
      </c>
      <c r="C77" s="6">
        <v>1</v>
      </c>
      <c r="D77" s="46">
        <v>46146</v>
      </c>
      <c r="E77" s="46">
        <v>46157</v>
      </c>
      <c r="F77" s="34" t="s">
        <v>40</v>
      </c>
      <c r="G77" s="34" t="s">
        <v>219</v>
      </c>
      <c r="H77" s="82">
        <v>0</v>
      </c>
      <c r="I77" s="47">
        <v>46184</v>
      </c>
      <c r="J77" s="47">
        <v>46197</v>
      </c>
      <c r="K77" s="13" t="s">
        <v>40</v>
      </c>
      <c r="L77" s="128" t="s">
        <v>218</v>
      </c>
      <c r="M77" s="84">
        <v>0</v>
      </c>
      <c r="N77" s="229">
        <v>46184</v>
      </c>
      <c r="O77" s="229">
        <v>46197</v>
      </c>
      <c r="P77" s="24" t="s">
        <v>40</v>
      </c>
      <c r="Q77" s="271" t="s">
        <v>218</v>
      </c>
      <c r="R77" s="386"/>
      <c r="S77" s="48">
        <v>46209</v>
      </c>
      <c r="T77" s="48">
        <v>46218</v>
      </c>
      <c r="U77" s="16" t="s">
        <v>40</v>
      </c>
      <c r="V77" s="65" t="s">
        <v>218</v>
      </c>
      <c r="W77" s="86">
        <v>0</v>
      </c>
      <c r="X77" s="52">
        <v>46218</v>
      </c>
      <c r="Y77" s="52">
        <v>46222</v>
      </c>
      <c r="Z77" s="18" t="s">
        <v>40</v>
      </c>
      <c r="AA77" s="132" t="s">
        <v>218</v>
      </c>
      <c r="AB77" s="89">
        <v>0</v>
      </c>
      <c r="AC77" s="51">
        <v>46233</v>
      </c>
      <c r="AD77" s="51">
        <v>46242</v>
      </c>
      <c r="AE77" s="22" t="s">
        <v>40</v>
      </c>
      <c r="AF77" s="119" t="s">
        <v>218</v>
      </c>
      <c r="AG77" s="91">
        <v>0</v>
      </c>
      <c r="AH77" s="50">
        <v>46243</v>
      </c>
      <c r="AI77" s="50">
        <v>46250</v>
      </c>
      <c r="AJ77" s="19" t="s">
        <v>165</v>
      </c>
      <c r="AK77" s="102" t="s">
        <v>190</v>
      </c>
      <c r="AL77" s="93">
        <v>0</v>
      </c>
      <c r="AM77" s="49">
        <v>46337</v>
      </c>
      <c r="AN77" s="49">
        <v>46343</v>
      </c>
      <c r="AO77" s="24" t="s">
        <v>40</v>
      </c>
      <c r="AP77" s="94">
        <v>0</v>
      </c>
    </row>
    <row r="78" spans="1:42" ht="15">
      <c r="A78" s="7" t="s">
        <v>16</v>
      </c>
      <c r="B78" s="9" t="s">
        <v>106</v>
      </c>
      <c r="C78" s="6">
        <v>1</v>
      </c>
      <c r="D78" s="46">
        <v>46146</v>
      </c>
      <c r="E78" s="46">
        <v>46157</v>
      </c>
      <c r="F78" s="34" t="s">
        <v>40</v>
      </c>
      <c r="G78" s="34" t="s">
        <v>219</v>
      </c>
      <c r="H78" s="82">
        <v>0</v>
      </c>
      <c r="I78" s="47">
        <v>46184</v>
      </c>
      <c r="J78" s="47">
        <v>46197</v>
      </c>
      <c r="K78" s="13" t="s">
        <v>40</v>
      </c>
      <c r="L78" s="128" t="s">
        <v>218</v>
      </c>
      <c r="M78" s="84">
        <v>0</v>
      </c>
      <c r="N78" s="229">
        <v>46184</v>
      </c>
      <c r="O78" s="229">
        <v>46197</v>
      </c>
      <c r="P78" s="24" t="s">
        <v>40</v>
      </c>
      <c r="Q78" s="271" t="s">
        <v>218</v>
      </c>
      <c r="R78" s="386"/>
      <c r="S78" s="48">
        <v>46209</v>
      </c>
      <c r="T78" s="48">
        <v>46218</v>
      </c>
      <c r="U78" s="16" t="s">
        <v>40</v>
      </c>
      <c r="V78" s="65" t="s">
        <v>218</v>
      </c>
      <c r="W78" s="86">
        <v>0</v>
      </c>
      <c r="X78" s="52">
        <v>46218</v>
      </c>
      <c r="Y78" s="52">
        <v>46222</v>
      </c>
      <c r="Z78" s="18" t="s">
        <v>40</v>
      </c>
      <c r="AA78" s="132" t="s">
        <v>218</v>
      </c>
      <c r="AB78" s="89">
        <v>0</v>
      </c>
      <c r="AC78" s="51">
        <v>46233</v>
      </c>
      <c r="AD78" s="51">
        <v>46242</v>
      </c>
      <c r="AE78" s="22" t="s">
        <v>40</v>
      </c>
      <c r="AF78" s="119" t="s">
        <v>218</v>
      </c>
      <c r="AG78" s="91">
        <v>0</v>
      </c>
      <c r="AH78" s="50">
        <v>46243</v>
      </c>
      <c r="AI78" s="50">
        <v>46250</v>
      </c>
      <c r="AJ78" s="19" t="s">
        <v>165</v>
      </c>
      <c r="AK78" s="102" t="s">
        <v>190</v>
      </c>
      <c r="AL78" s="93">
        <v>0</v>
      </c>
      <c r="AM78" s="49">
        <v>46337</v>
      </c>
      <c r="AN78" s="49">
        <v>46343</v>
      </c>
      <c r="AO78" s="24" t="s">
        <v>40</v>
      </c>
      <c r="AP78" s="94">
        <v>0</v>
      </c>
    </row>
    <row r="79" spans="1:42" ht="15">
      <c r="A79" s="7" t="s">
        <v>16</v>
      </c>
      <c r="B79" s="9" t="s">
        <v>107</v>
      </c>
      <c r="C79" s="6">
        <v>1</v>
      </c>
      <c r="D79" s="46">
        <v>46146</v>
      </c>
      <c r="E79" s="46">
        <v>46157</v>
      </c>
      <c r="F79" s="34" t="s">
        <v>40</v>
      </c>
      <c r="G79" s="34" t="s">
        <v>219</v>
      </c>
      <c r="H79" s="82">
        <v>0</v>
      </c>
      <c r="I79" s="47">
        <v>46184</v>
      </c>
      <c r="J79" s="47">
        <v>46197</v>
      </c>
      <c r="K79" s="13" t="s">
        <v>40</v>
      </c>
      <c r="L79" s="128" t="s">
        <v>218</v>
      </c>
      <c r="M79" s="84">
        <v>0</v>
      </c>
      <c r="N79" s="229">
        <v>46184</v>
      </c>
      <c r="O79" s="229">
        <v>46197</v>
      </c>
      <c r="P79" s="24" t="s">
        <v>40</v>
      </c>
      <c r="Q79" s="271" t="s">
        <v>218</v>
      </c>
      <c r="R79" s="386"/>
      <c r="S79" s="48">
        <v>46209</v>
      </c>
      <c r="T79" s="48">
        <v>46218</v>
      </c>
      <c r="U79" s="16" t="s">
        <v>40</v>
      </c>
      <c r="V79" s="65" t="s">
        <v>218</v>
      </c>
      <c r="W79" s="86">
        <v>0</v>
      </c>
      <c r="X79" s="52">
        <v>46218</v>
      </c>
      <c r="Y79" s="52">
        <v>46222</v>
      </c>
      <c r="Z79" s="18" t="s">
        <v>40</v>
      </c>
      <c r="AA79" s="132" t="s">
        <v>218</v>
      </c>
      <c r="AB79" s="89">
        <v>0</v>
      </c>
      <c r="AC79" s="51">
        <v>46233</v>
      </c>
      <c r="AD79" s="51">
        <v>46242</v>
      </c>
      <c r="AE79" s="22" t="s">
        <v>40</v>
      </c>
      <c r="AF79" s="119" t="s">
        <v>218</v>
      </c>
      <c r="AG79" s="91">
        <v>0</v>
      </c>
      <c r="AH79" s="50">
        <v>46243</v>
      </c>
      <c r="AI79" s="50">
        <v>46250</v>
      </c>
      <c r="AJ79" s="19" t="s">
        <v>165</v>
      </c>
      <c r="AK79" s="102" t="s">
        <v>190</v>
      </c>
      <c r="AL79" s="93">
        <v>0</v>
      </c>
      <c r="AM79" s="49">
        <v>46337</v>
      </c>
      <c r="AN79" s="49">
        <v>46343</v>
      </c>
      <c r="AO79" s="24" t="s">
        <v>40</v>
      </c>
      <c r="AP79" s="94">
        <v>0</v>
      </c>
    </row>
    <row r="80" spans="1:42" ht="15">
      <c r="A80" s="7" t="s">
        <v>16</v>
      </c>
      <c r="B80" s="9" t="s">
        <v>108</v>
      </c>
      <c r="C80" s="6">
        <v>1</v>
      </c>
      <c r="D80" s="46">
        <v>46146</v>
      </c>
      <c r="E80" s="46">
        <v>46157</v>
      </c>
      <c r="F80" s="34" t="s">
        <v>40</v>
      </c>
      <c r="G80" s="34" t="s">
        <v>219</v>
      </c>
      <c r="H80" s="82">
        <v>0</v>
      </c>
      <c r="I80" s="47">
        <v>46184</v>
      </c>
      <c r="J80" s="47">
        <v>46197</v>
      </c>
      <c r="K80" s="13" t="s">
        <v>40</v>
      </c>
      <c r="L80" s="128" t="s">
        <v>218</v>
      </c>
      <c r="M80" s="84">
        <v>0</v>
      </c>
      <c r="N80" s="229">
        <v>46184</v>
      </c>
      <c r="O80" s="229">
        <v>46197</v>
      </c>
      <c r="P80" s="24" t="s">
        <v>40</v>
      </c>
      <c r="Q80" s="271" t="s">
        <v>218</v>
      </c>
      <c r="R80" s="386"/>
      <c r="S80" s="48">
        <v>46209</v>
      </c>
      <c r="T80" s="48">
        <v>46218</v>
      </c>
      <c r="U80" s="16" t="s">
        <v>40</v>
      </c>
      <c r="V80" s="65" t="s">
        <v>218</v>
      </c>
      <c r="W80" s="86">
        <v>0</v>
      </c>
      <c r="X80" s="52">
        <v>46218</v>
      </c>
      <c r="Y80" s="52">
        <v>46222</v>
      </c>
      <c r="Z80" s="18" t="s">
        <v>40</v>
      </c>
      <c r="AA80" s="132" t="s">
        <v>218</v>
      </c>
      <c r="AB80" s="89">
        <v>0</v>
      </c>
      <c r="AC80" s="51">
        <v>46233</v>
      </c>
      <c r="AD80" s="51">
        <v>46242</v>
      </c>
      <c r="AE80" s="22" t="s">
        <v>40</v>
      </c>
      <c r="AF80" s="119" t="s">
        <v>218</v>
      </c>
      <c r="AG80" s="91">
        <v>0</v>
      </c>
      <c r="AH80" s="50">
        <v>46243</v>
      </c>
      <c r="AI80" s="50">
        <v>46250</v>
      </c>
      <c r="AJ80" s="19" t="s">
        <v>165</v>
      </c>
      <c r="AK80" s="102" t="s">
        <v>190</v>
      </c>
      <c r="AL80" s="93">
        <v>0</v>
      </c>
      <c r="AM80" s="49">
        <v>46337</v>
      </c>
      <c r="AN80" s="49">
        <v>46343</v>
      </c>
      <c r="AO80" s="24" t="s">
        <v>40</v>
      </c>
      <c r="AP80" s="94">
        <v>0</v>
      </c>
    </row>
    <row r="81" spans="1:42" ht="15">
      <c r="A81" s="7" t="s">
        <v>16</v>
      </c>
      <c r="B81" s="9" t="s">
        <v>109</v>
      </c>
      <c r="C81" s="6">
        <v>1</v>
      </c>
      <c r="D81" s="46">
        <v>46146</v>
      </c>
      <c r="E81" s="46">
        <v>46157</v>
      </c>
      <c r="F81" s="34" t="s">
        <v>40</v>
      </c>
      <c r="G81" s="34" t="s">
        <v>219</v>
      </c>
      <c r="H81" s="82">
        <v>0</v>
      </c>
      <c r="I81" s="47">
        <v>46184</v>
      </c>
      <c r="J81" s="47">
        <v>46197</v>
      </c>
      <c r="K81" s="13" t="s">
        <v>40</v>
      </c>
      <c r="L81" s="128" t="s">
        <v>218</v>
      </c>
      <c r="M81" s="84">
        <v>0</v>
      </c>
      <c r="N81" s="229">
        <v>46184</v>
      </c>
      <c r="O81" s="229">
        <v>46197</v>
      </c>
      <c r="P81" s="24" t="s">
        <v>40</v>
      </c>
      <c r="Q81" s="271" t="s">
        <v>218</v>
      </c>
      <c r="R81" s="386"/>
      <c r="S81" s="48">
        <v>46209</v>
      </c>
      <c r="T81" s="48">
        <v>46218</v>
      </c>
      <c r="U81" s="16" t="s">
        <v>40</v>
      </c>
      <c r="V81" s="65" t="s">
        <v>218</v>
      </c>
      <c r="W81" s="86">
        <v>0</v>
      </c>
      <c r="X81" s="52">
        <v>46218</v>
      </c>
      <c r="Y81" s="52">
        <v>46222</v>
      </c>
      <c r="Z81" s="18" t="s">
        <v>40</v>
      </c>
      <c r="AA81" s="132" t="s">
        <v>218</v>
      </c>
      <c r="AB81" s="89">
        <v>0</v>
      </c>
      <c r="AC81" s="51">
        <v>46233</v>
      </c>
      <c r="AD81" s="51">
        <v>46242</v>
      </c>
      <c r="AE81" s="22" t="s">
        <v>40</v>
      </c>
      <c r="AF81" s="119" t="s">
        <v>218</v>
      </c>
      <c r="AG81" s="91">
        <v>0</v>
      </c>
      <c r="AH81" s="50">
        <v>46243</v>
      </c>
      <c r="AI81" s="50">
        <v>46250</v>
      </c>
      <c r="AJ81" s="19" t="s">
        <v>165</v>
      </c>
      <c r="AK81" s="102" t="s">
        <v>190</v>
      </c>
      <c r="AL81" s="93">
        <v>0</v>
      </c>
      <c r="AM81" s="49">
        <v>46337</v>
      </c>
      <c r="AN81" s="49">
        <v>46343</v>
      </c>
      <c r="AO81" s="24" t="s">
        <v>40</v>
      </c>
      <c r="AP81" s="94">
        <v>0</v>
      </c>
    </row>
    <row r="82" spans="1:42" ht="15">
      <c r="A82" s="7" t="s">
        <v>16</v>
      </c>
      <c r="B82" s="9" t="s">
        <v>110</v>
      </c>
      <c r="C82" s="6">
        <v>1</v>
      </c>
      <c r="D82" s="46">
        <v>46146</v>
      </c>
      <c r="E82" s="46">
        <v>46157</v>
      </c>
      <c r="F82" s="34" t="s">
        <v>40</v>
      </c>
      <c r="G82" s="34" t="s">
        <v>219</v>
      </c>
      <c r="H82" s="82">
        <v>0</v>
      </c>
      <c r="I82" s="47">
        <v>46184</v>
      </c>
      <c r="J82" s="47">
        <v>46197</v>
      </c>
      <c r="K82" s="13" t="s">
        <v>40</v>
      </c>
      <c r="L82" s="128" t="s">
        <v>218</v>
      </c>
      <c r="M82" s="84">
        <v>0</v>
      </c>
      <c r="N82" s="229">
        <v>46184</v>
      </c>
      <c r="O82" s="229">
        <v>46197</v>
      </c>
      <c r="P82" s="24" t="s">
        <v>40</v>
      </c>
      <c r="Q82" s="271" t="s">
        <v>218</v>
      </c>
      <c r="R82" s="386"/>
      <c r="S82" s="48">
        <v>46209</v>
      </c>
      <c r="T82" s="48">
        <v>46218</v>
      </c>
      <c r="U82" s="16" t="s">
        <v>40</v>
      </c>
      <c r="V82" s="65" t="s">
        <v>218</v>
      </c>
      <c r="W82" s="86">
        <v>0</v>
      </c>
      <c r="X82" s="52">
        <v>46218</v>
      </c>
      <c r="Y82" s="52">
        <v>46222</v>
      </c>
      <c r="Z82" s="18" t="s">
        <v>40</v>
      </c>
      <c r="AA82" s="132" t="s">
        <v>218</v>
      </c>
      <c r="AB82" s="89">
        <v>0</v>
      </c>
      <c r="AC82" s="51">
        <v>46233</v>
      </c>
      <c r="AD82" s="51">
        <v>46242</v>
      </c>
      <c r="AE82" s="22" t="s">
        <v>40</v>
      </c>
      <c r="AF82" s="119" t="s">
        <v>218</v>
      </c>
      <c r="AG82" s="91">
        <v>0</v>
      </c>
      <c r="AH82" s="50">
        <v>46243</v>
      </c>
      <c r="AI82" s="50">
        <v>46250</v>
      </c>
      <c r="AJ82" s="19" t="s">
        <v>165</v>
      </c>
      <c r="AK82" s="102" t="s">
        <v>190</v>
      </c>
      <c r="AL82" s="93">
        <v>0</v>
      </c>
      <c r="AM82" s="49">
        <v>46337</v>
      </c>
      <c r="AN82" s="49">
        <v>46343</v>
      </c>
      <c r="AO82" s="24" t="s">
        <v>40</v>
      </c>
      <c r="AP82" s="94">
        <v>0</v>
      </c>
    </row>
    <row r="83" spans="1:42" ht="15">
      <c r="A83" s="7" t="s">
        <v>16</v>
      </c>
      <c r="B83" s="9" t="s">
        <v>111</v>
      </c>
      <c r="C83" s="6">
        <v>1</v>
      </c>
      <c r="D83" s="46">
        <v>46146</v>
      </c>
      <c r="E83" s="46">
        <v>46157</v>
      </c>
      <c r="F83" s="34" t="s">
        <v>40</v>
      </c>
      <c r="G83" s="34" t="s">
        <v>219</v>
      </c>
      <c r="H83" s="82">
        <v>0</v>
      </c>
      <c r="I83" s="47">
        <v>46184</v>
      </c>
      <c r="J83" s="47">
        <v>46197</v>
      </c>
      <c r="K83" s="13" t="s">
        <v>40</v>
      </c>
      <c r="L83" s="128" t="s">
        <v>218</v>
      </c>
      <c r="M83" s="84">
        <v>0</v>
      </c>
      <c r="N83" s="229">
        <v>46184</v>
      </c>
      <c r="O83" s="229">
        <v>46197</v>
      </c>
      <c r="P83" s="24" t="s">
        <v>40</v>
      </c>
      <c r="Q83" s="271" t="s">
        <v>218</v>
      </c>
      <c r="R83" s="386"/>
      <c r="S83" s="48">
        <v>46209</v>
      </c>
      <c r="T83" s="48">
        <v>46218</v>
      </c>
      <c r="U83" s="16" t="s">
        <v>40</v>
      </c>
      <c r="V83" s="65" t="s">
        <v>218</v>
      </c>
      <c r="W83" s="86">
        <v>0</v>
      </c>
      <c r="X83" s="52">
        <v>46218</v>
      </c>
      <c r="Y83" s="52">
        <v>46222</v>
      </c>
      <c r="Z83" s="18" t="s">
        <v>40</v>
      </c>
      <c r="AA83" s="132" t="s">
        <v>218</v>
      </c>
      <c r="AB83" s="89">
        <v>0</v>
      </c>
      <c r="AC83" s="51">
        <v>46233</v>
      </c>
      <c r="AD83" s="51">
        <v>46242</v>
      </c>
      <c r="AE83" s="22" t="s">
        <v>40</v>
      </c>
      <c r="AF83" s="119" t="s">
        <v>218</v>
      </c>
      <c r="AG83" s="91">
        <v>0</v>
      </c>
      <c r="AH83" s="50">
        <v>46243</v>
      </c>
      <c r="AI83" s="50">
        <v>46250</v>
      </c>
      <c r="AJ83" s="19" t="s">
        <v>165</v>
      </c>
      <c r="AK83" s="102" t="s">
        <v>190</v>
      </c>
      <c r="AL83" s="93">
        <v>0</v>
      </c>
      <c r="AM83" s="49">
        <v>46337</v>
      </c>
      <c r="AN83" s="49">
        <v>46343</v>
      </c>
      <c r="AO83" s="24" t="s">
        <v>40</v>
      </c>
      <c r="AP83" s="94">
        <v>0</v>
      </c>
    </row>
    <row r="84" spans="1:42" ht="15">
      <c r="A84" s="7" t="s">
        <v>16</v>
      </c>
      <c r="B84" s="9" t="s">
        <v>112</v>
      </c>
      <c r="C84" s="6">
        <v>1</v>
      </c>
      <c r="D84" s="46">
        <v>46146</v>
      </c>
      <c r="E84" s="46">
        <v>46157</v>
      </c>
      <c r="F84" s="34" t="s">
        <v>40</v>
      </c>
      <c r="G84" s="34" t="s">
        <v>219</v>
      </c>
      <c r="H84" s="82">
        <v>0</v>
      </c>
      <c r="I84" s="47">
        <v>46184</v>
      </c>
      <c r="J84" s="47">
        <v>46197</v>
      </c>
      <c r="K84" s="13" t="s">
        <v>40</v>
      </c>
      <c r="L84" s="128" t="s">
        <v>218</v>
      </c>
      <c r="M84" s="84">
        <v>0</v>
      </c>
      <c r="N84" s="229">
        <v>46184</v>
      </c>
      <c r="O84" s="229">
        <v>46197</v>
      </c>
      <c r="P84" s="24" t="s">
        <v>40</v>
      </c>
      <c r="Q84" s="271" t="s">
        <v>218</v>
      </c>
      <c r="R84" s="386"/>
      <c r="S84" s="48">
        <v>46209</v>
      </c>
      <c r="T84" s="48">
        <v>46218</v>
      </c>
      <c r="U84" s="16" t="s">
        <v>40</v>
      </c>
      <c r="V84" s="65" t="s">
        <v>218</v>
      </c>
      <c r="W84" s="86">
        <v>0</v>
      </c>
      <c r="X84" s="52">
        <v>46218</v>
      </c>
      <c r="Y84" s="52">
        <v>46222</v>
      </c>
      <c r="Z84" s="18" t="s">
        <v>40</v>
      </c>
      <c r="AA84" s="132" t="s">
        <v>218</v>
      </c>
      <c r="AB84" s="89">
        <v>0</v>
      </c>
      <c r="AC84" s="51">
        <v>46233</v>
      </c>
      <c r="AD84" s="51">
        <v>46242</v>
      </c>
      <c r="AE84" s="22" t="s">
        <v>40</v>
      </c>
      <c r="AF84" s="119" t="s">
        <v>218</v>
      </c>
      <c r="AG84" s="91">
        <v>0</v>
      </c>
      <c r="AH84" s="50">
        <v>46243</v>
      </c>
      <c r="AI84" s="50">
        <v>46250</v>
      </c>
      <c r="AJ84" s="19" t="s">
        <v>165</v>
      </c>
      <c r="AK84" s="102" t="s">
        <v>190</v>
      </c>
      <c r="AL84" s="93">
        <v>0</v>
      </c>
      <c r="AM84" s="49">
        <v>46337</v>
      </c>
      <c r="AN84" s="49">
        <v>46343</v>
      </c>
      <c r="AO84" s="24" t="s">
        <v>40</v>
      </c>
      <c r="AP84" s="94">
        <v>0</v>
      </c>
    </row>
    <row r="85" spans="1:42" ht="15">
      <c r="A85" s="7" t="s">
        <v>16</v>
      </c>
      <c r="B85" s="9" t="s">
        <v>113</v>
      </c>
      <c r="C85" s="6">
        <v>1</v>
      </c>
      <c r="D85" s="46">
        <v>46146</v>
      </c>
      <c r="E85" s="46">
        <v>46157</v>
      </c>
      <c r="F85" s="34" t="s">
        <v>40</v>
      </c>
      <c r="G85" s="34" t="s">
        <v>219</v>
      </c>
      <c r="H85" s="82">
        <v>0</v>
      </c>
      <c r="I85" s="47">
        <v>46184</v>
      </c>
      <c r="J85" s="47">
        <v>46197</v>
      </c>
      <c r="K85" s="13" t="s">
        <v>40</v>
      </c>
      <c r="L85" s="128" t="s">
        <v>218</v>
      </c>
      <c r="M85" s="84">
        <v>0</v>
      </c>
      <c r="N85" s="229">
        <v>46184</v>
      </c>
      <c r="O85" s="229">
        <v>46197</v>
      </c>
      <c r="P85" s="24" t="s">
        <v>40</v>
      </c>
      <c r="Q85" s="271" t="s">
        <v>218</v>
      </c>
      <c r="R85" s="386"/>
      <c r="S85" s="48">
        <v>46209</v>
      </c>
      <c r="T85" s="48">
        <v>46218</v>
      </c>
      <c r="U85" s="16" t="s">
        <v>40</v>
      </c>
      <c r="V85" s="65" t="s">
        <v>218</v>
      </c>
      <c r="W85" s="86">
        <v>0</v>
      </c>
      <c r="X85" s="52">
        <v>46218</v>
      </c>
      <c r="Y85" s="52">
        <v>46222</v>
      </c>
      <c r="Z85" s="18" t="s">
        <v>40</v>
      </c>
      <c r="AA85" s="132" t="s">
        <v>218</v>
      </c>
      <c r="AB85" s="89">
        <v>0</v>
      </c>
      <c r="AC85" s="51">
        <v>46233</v>
      </c>
      <c r="AD85" s="51">
        <v>46242</v>
      </c>
      <c r="AE85" s="22" t="s">
        <v>40</v>
      </c>
      <c r="AF85" s="119" t="s">
        <v>218</v>
      </c>
      <c r="AG85" s="91">
        <v>0</v>
      </c>
      <c r="AH85" s="50">
        <v>46243</v>
      </c>
      <c r="AI85" s="50">
        <v>46250</v>
      </c>
      <c r="AJ85" s="19" t="s">
        <v>165</v>
      </c>
      <c r="AK85" s="102" t="s">
        <v>190</v>
      </c>
      <c r="AL85" s="93">
        <v>0</v>
      </c>
      <c r="AM85" s="49">
        <v>46337</v>
      </c>
      <c r="AN85" s="49">
        <v>46343</v>
      </c>
      <c r="AO85" s="24" t="s">
        <v>40</v>
      </c>
      <c r="AP85" s="94">
        <v>0</v>
      </c>
    </row>
    <row r="86" spans="1:42" ht="15">
      <c r="A86" s="7" t="s">
        <v>16</v>
      </c>
      <c r="B86" s="9" t="s">
        <v>114</v>
      </c>
      <c r="C86" s="6">
        <v>1</v>
      </c>
      <c r="D86" s="46">
        <v>46146</v>
      </c>
      <c r="E86" s="46">
        <v>46157</v>
      </c>
      <c r="F86" s="34" t="s">
        <v>40</v>
      </c>
      <c r="G86" s="34" t="s">
        <v>219</v>
      </c>
      <c r="H86" s="82">
        <v>0</v>
      </c>
      <c r="I86" s="47">
        <v>46184</v>
      </c>
      <c r="J86" s="47">
        <v>46197</v>
      </c>
      <c r="K86" s="13" t="s">
        <v>40</v>
      </c>
      <c r="L86" s="128" t="s">
        <v>218</v>
      </c>
      <c r="M86" s="84">
        <v>0</v>
      </c>
      <c r="N86" s="229">
        <v>46184</v>
      </c>
      <c r="O86" s="229">
        <v>46197</v>
      </c>
      <c r="P86" s="24" t="s">
        <v>40</v>
      </c>
      <c r="Q86" s="271" t="s">
        <v>218</v>
      </c>
      <c r="R86" s="386"/>
      <c r="S86" s="48">
        <v>46209</v>
      </c>
      <c r="T86" s="48">
        <v>46218</v>
      </c>
      <c r="U86" s="16" t="s">
        <v>40</v>
      </c>
      <c r="V86" s="65" t="s">
        <v>218</v>
      </c>
      <c r="W86" s="86">
        <v>0</v>
      </c>
      <c r="X86" s="52">
        <v>46218</v>
      </c>
      <c r="Y86" s="52">
        <v>46222</v>
      </c>
      <c r="Z86" s="18" t="s">
        <v>40</v>
      </c>
      <c r="AA86" s="132" t="s">
        <v>218</v>
      </c>
      <c r="AB86" s="89">
        <v>0</v>
      </c>
      <c r="AC86" s="51">
        <v>46233</v>
      </c>
      <c r="AD86" s="51">
        <v>46242</v>
      </c>
      <c r="AE86" s="22" t="s">
        <v>40</v>
      </c>
      <c r="AF86" s="119" t="s">
        <v>218</v>
      </c>
      <c r="AG86" s="91">
        <v>0</v>
      </c>
      <c r="AH86" s="50">
        <v>46243</v>
      </c>
      <c r="AI86" s="50">
        <v>46250</v>
      </c>
      <c r="AJ86" s="19" t="s">
        <v>165</v>
      </c>
      <c r="AK86" s="102" t="s">
        <v>190</v>
      </c>
      <c r="AL86" s="93">
        <v>0</v>
      </c>
      <c r="AM86" s="49">
        <v>46337</v>
      </c>
      <c r="AN86" s="49">
        <v>46343</v>
      </c>
      <c r="AO86" s="24" t="s">
        <v>40</v>
      </c>
      <c r="AP86" s="94">
        <v>0</v>
      </c>
    </row>
    <row r="87" spans="1:42" ht="15">
      <c r="A87" s="7" t="s">
        <v>16</v>
      </c>
      <c r="B87" s="9" t="s">
        <v>115</v>
      </c>
      <c r="C87" s="6">
        <v>1</v>
      </c>
      <c r="D87" s="46">
        <v>46146</v>
      </c>
      <c r="E87" s="46">
        <v>46157</v>
      </c>
      <c r="F87" s="34" t="s">
        <v>40</v>
      </c>
      <c r="G87" s="34" t="s">
        <v>219</v>
      </c>
      <c r="H87" s="82">
        <v>0</v>
      </c>
      <c r="I87" s="47">
        <v>46184</v>
      </c>
      <c r="J87" s="47">
        <v>46197</v>
      </c>
      <c r="K87" s="13" t="s">
        <v>40</v>
      </c>
      <c r="L87" s="128" t="s">
        <v>218</v>
      </c>
      <c r="M87" s="84">
        <v>0</v>
      </c>
      <c r="N87" s="229">
        <v>46184</v>
      </c>
      <c r="O87" s="229">
        <v>46197</v>
      </c>
      <c r="P87" s="24" t="s">
        <v>40</v>
      </c>
      <c r="Q87" s="271" t="s">
        <v>218</v>
      </c>
      <c r="R87" s="386"/>
      <c r="S87" s="48">
        <v>46209</v>
      </c>
      <c r="T87" s="48">
        <v>46218</v>
      </c>
      <c r="U87" s="16" t="s">
        <v>40</v>
      </c>
      <c r="V87" s="65" t="s">
        <v>218</v>
      </c>
      <c r="W87" s="86">
        <v>0</v>
      </c>
      <c r="X87" s="52">
        <v>46218</v>
      </c>
      <c r="Y87" s="52">
        <v>46222</v>
      </c>
      <c r="Z87" s="18" t="s">
        <v>40</v>
      </c>
      <c r="AA87" s="132" t="s">
        <v>218</v>
      </c>
      <c r="AB87" s="89">
        <v>0</v>
      </c>
      <c r="AC87" s="51">
        <v>46233</v>
      </c>
      <c r="AD87" s="51">
        <v>46242</v>
      </c>
      <c r="AE87" s="22" t="s">
        <v>40</v>
      </c>
      <c r="AF87" s="119" t="s">
        <v>218</v>
      </c>
      <c r="AG87" s="91">
        <v>0</v>
      </c>
      <c r="AH87" s="50">
        <v>46243</v>
      </c>
      <c r="AI87" s="50">
        <v>46250</v>
      </c>
      <c r="AJ87" s="19" t="s">
        <v>165</v>
      </c>
      <c r="AK87" s="102" t="s">
        <v>190</v>
      </c>
      <c r="AL87" s="93">
        <v>0</v>
      </c>
      <c r="AM87" s="49">
        <v>46337</v>
      </c>
      <c r="AN87" s="49">
        <v>46343</v>
      </c>
      <c r="AO87" s="24" t="s">
        <v>40</v>
      </c>
      <c r="AP87" s="94">
        <v>0</v>
      </c>
    </row>
    <row r="88" spans="1:42" ht="15">
      <c r="A88" s="7" t="s">
        <v>16</v>
      </c>
      <c r="B88" s="9" t="s">
        <v>116</v>
      </c>
      <c r="C88" s="6">
        <v>1</v>
      </c>
      <c r="D88" s="46">
        <v>46146</v>
      </c>
      <c r="E88" s="46">
        <v>46157</v>
      </c>
      <c r="F88" s="34" t="s">
        <v>40</v>
      </c>
      <c r="G88" s="34" t="s">
        <v>219</v>
      </c>
      <c r="H88" s="82">
        <v>0</v>
      </c>
      <c r="I88" s="47">
        <v>46184</v>
      </c>
      <c r="J88" s="47">
        <v>46197</v>
      </c>
      <c r="K88" s="13" t="s">
        <v>40</v>
      </c>
      <c r="L88" s="128" t="s">
        <v>218</v>
      </c>
      <c r="M88" s="84">
        <v>0</v>
      </c>
      <c r="N88" s="229">
        <v>46184</v>
      </c>
      <c r="O88" s="229">
        <v>46197</v>
      </c>
      <c r="P88" s="24" t="s">
        <v>40</v>
      </c>
      <c r="Q88" s="271" t="s">
        <v>218</v>
      </c>
      <c r="R88" s="386"/>
      <c r="S88" s="48">
        <v>46209</v>
      </c>
      <c r="T88" s="48">
        <v>46218</v>
      </c>
      <c r="U88" s="16" t="s">
        <v>40</v>
      </c>
      <c r="V88" s="65" t="s">
        <v>218</v>
      </c>
      <c r="W88" s="86">
        <v>0</v>
      </c>
      <c r="X88" s="52">
        <v>46218</v>
      </c>
      <c r="Y88" s="52">
        <v>46222</v>
      </c>
      <c r="Z88" s="18" t="s">
        <v>40</v>
      </c>
      <c r="AA88" s="132" t="s">
        <v>218</v>
      </c>
      <c r="AB88" s="89">
        <v>0</v>
      </c>
      <c r="AC88" s="51">
        <v>46233</v>
      </c>
      <c r="AD88" s="51">
        <v>46242</v>
      </c>
      <c r="AE88" s="22" t="s">
        <v>40</v>
      </c>
      <c r="AF88" s="119" t="s">
        <v>218</v>
      </c>
      <c r="AG88" s="91">
        <v>0</v>
      </c>
      <c r="AH88" s="50">
        <v>46243</v>
      </c>
      <c r="AI88" s="50">
        <v>46250</v>
      </c>
      <c r="AJ88" s="19" t="s">
        <v>165</v>
      </c>
      <c r="AK88" s="102" t="s">
        <v>190</v>
      </c>
      <c r="AL88" s="93">
        <v>0</v>
      </c>
      <c r="AM88" s="49">
        <v>46337</v>
      </c>
      <c r="AN88" s="49">
        <v>46343</v>
      </c>
      <c r="AO88" s="24" t="s">
        <v>40</v>
      </c>
      <c r="AP88" s="94">
        <v>0</v>
      </c>
    </row>
    <row r="89" spans="1:42" ht="15">
      <c r="A89" s="7" t="s">
        <v>16</v>
      </c>
      <c r="B89" s="9" t="s">
        <v>117</v>
      </c>
      <c r="C89" s="6">
        <v>1</v>
      </c>
      <c r="D89" s="46">
        <v>46146</v>
      </c>
      <c r="E89" s="46">
        <v>46157</v>
      </c>
      <c r="F89" s="34" t="s">
        <v>40</v>
      </c>
      <c r="G89" s="34" t="s">
        <v>219</v>
      </c>
      <c r="H89" s="82">
        <v>0</v>
      </c>
      <c r="I89" s="47">
        <v>46184</v>
      </c>
      <c r="J89" s="47">
        <v>46197</v>
      </c>
      <c r="K89" s="13" t="s">
        <v>40</v>
      </c>
      <c r="L89" s="128" t="s">
        <v>218</v>
      </c>
      <c r="M89" s="84">
        <v>0</v>
      </c>
      <c r="N89" s="229">
        <v>46184</v>
      </c>
      <c r="O89" s="229">
        <v>46197</v>
      </c>
      <c r="P89" s="24" t="s">
        <v>40</v>
      </c>
      <c r="Q89" s="271" t="s">
        <v>218</v>
      </c>
      <c r="R89" s="386"/>
      <c r="S89" s="48">
        <v>46209</v>
      </c>
      <c r="T89" s="48">
        <v>46218</v>
      </c>
      <c r="U89" s="16" t="s">
        <v>40</v>
      </c>
      <c r="V89" s="65" t="s">
        <v>218</v>
      </c>
      <c r="W89" s="86">
        <v>0</v>
      </c>
      <c r="X89" s="52">
        <v>46218</v>
      </c>
      <c r="Y89" s="52">
        <v>46222</v>
      </c>
      <c r="Z89" s="18" t="s">
        <v>40</v>
      </c>
      <c r="AA89" s="132" t="s">
        <v>218</v>
      </c>
      <c r="AB89" s="89">
        <v>0</v>
      </c>
      <c r="AC89" s="51">
        <v>46233</v>
      </c>
      <c r="AD89" s="51">
        <v>46242</v>
      </c>
      <c r="AE89" s="22" t="s">
        <v>40</v>
      </c>
      <c r="AF89" s="119" t="s">
        <v>218</v>
      </c>
      <c r="AG89" s="91">
        <v>0</v>
      </c>
      <c r="AH89" s="50">
        <v>46243</v>
      </c>
      <c r="AI89" s="50">
        <v>46250</v>
      </c>
      <c r="AJ89" s="19" t="s">
        <v>165</v>
      </c>
      <c r="AK89" s="102" t="s">
        <v>190</v>
      </c>
      <c r="AL89" s="93">
        <v>0</v>
      </c>
      <c r="AM89" s="49">
        <v>46337</v>
      </c>
      <c r="AN89" s="49">
        <v>46343</v>
      </c>
      <c r="AO89" s="24" t="s">
        <v>40</v>
      </c>
      <c r="AP89" s="94">
        <v>0</v>
      </c>
    </row>
    <row r="90" spans="1:42" ht="15">
      <c r="A90" s="7" t="s">
        <v>16</v>
      </c>
      <c r="B90" s="9" t="s">
        <v>118</v>
      </c>
      <c r="C90" s="6">
        <v>1</v>
      </c>
      <c r="D90" s="46">
        <v>46146</v>
      </c>
      <c r="E90" s="46">
        <v>46157</v>
      </c>
      <c r="F90" s="34" t="s">
        <v>40</v>
      </c>
      <c r="G90" s="34" t="s">
        <v>219</v>
      </c>
      <c r="H90" s="82">
        <v>0</v>
      </c>
      <c r="I90" s="47">
        <v>46184</v>
      </c>
      <c r="J90" s="47">
        <v>46197</v>
      </c>
      <c r="K90" s="13" t="s">
        <v>40</v>
      </c>
      <c r="L90" s="128" t="s">
        <v>218</v>
      </c>
      <c r="M90" s="84">
        <v>0</v>
      </c>
      <c r="N90" s="229">
        <v>46184</v>
      </c>
      <c r="O90" s="229">
        <v>46197</v>
      </c>
      <c r="P90" s="24" t="s">
        <v>40</v>
      </c>
      <c r="Q90" s="271" t="s">
        <v>218</v>
      </c>
      <c r="R90" s="386"/>
      <c r="S90" s="48">
        <v>46209</v>
      </c>
      <c r="T90" s="48">
        <v>46218</v>
      </c>
      <c r="U90" s="16" t="s">
        <v>40</v>
      </c>
      <c r="V90" s="65" t="s">
        <v>218</v>
      </c>
      <c r="W90" s="86">
        <v>0</v>
      </c>
      <c r="X90" s="52">
        <v>46218</v>
      </c>
      <c r="Y90" s="52">
        <v>46222</v>
      </c>
      <c r="Z90" s="18" t="s">
        <v>40</v>
      </c>
      <c r="AA90" s="132" t="s">
        <v>218</v>
      </c>
      <c r="AB90" s="89">
        <v>0</v>
      </c>
      <c r="AC90" s="51">
        <v>46233</v>
      </c>
      <c r="AD90" s="51">
        <v>46242</v>
      </c>
      <c r="AE90" s="22" t="s">
        <v>40</v>
      </c>
      <c r="AF90" s="119" t="s">
        <v>218</v>
      </c>
      <c r="AG90" s="91">
        <v>0</v>
      </c>
      <c r="AH90" s="50">
        <v>46243</v>
      </c>
      <c r="AI90" s="50">
        <v>46250</v>
      </c>
      <c r="AJ90" s="19" t="s">
        <v>165</v>
      </c>
      <c r="AK90" s="102" t="s">
        <v>190</v>
      </c>
      <c r="AL90" s="93">
        <v>0</v>
      </c>
      <c r="AM90" s="49">
        <v>46337</v>
      </c>
      <c r="AN90" s="49">
        <v>46343</v>
      </c>
      <c r="AO90" s="24" t="s">
        <v>40</v>
      </c>
      <c r="AP90" s="94">
        <v>0</v>
      </c>
    </row>
    <row r="91" spans="1:42" ht="15">
      <c r="A91" s="7" t="s">
        <v>16</v>
      </c>
      <c r="B91" s="9" t="s">
        <v>119</v>
      </c>
      <c r="C91" s="6">
        <v>1</v>
      </c>
      <c r="D91" s="46">
        <v>46146</v>
      </c>
      <c r="E91" s="46">
        <v>46157</v>
      </c>
      <c r="F91" s="34" t="s">
        <v>40</v>
      </c>
      <c r="G91" s="34" t="s">
        <v>219</v>
      </c>
      <c r="H91" s="82">
        <v>0</v>
      </c>
      <c r="I91" s="47">
        <v>46184</v>
      </c>
      <c r="J91" s="47">
        <v>46197</v>
      </c>
      <c r="K91" s="13" t="s">
        <v>40</v>
      </c>
      <c r="L91" s="128" t="s">
        <v>218</v>
      </c>
      <c r="M91" s="84">
        <v>0</v>
      </c>
      <c r="N91" s="229">
        <v>46184</v>
      </c>
      <c r="O91" s="229">
        <v>46197</v>
      </c>
      <c r="P91" s="24" t="s">
        <v>40</v>
      </c>
      <c r="Q91" s="271" t="s">
        <v>218</v>
      </c>
      <c r="R91" s="386"/>
      <c r="S91" s="48">
        <v>46209</v>
      </c>
      <c r="T91" s="48">
        <v>46218</v>
      </c>
      <c r="U91" s="16" t="s">
        <v>40</v>
      </c>
      <c r="V91" s="65" t="s">
        <v>218</v>
      </c>
      <c r="W91" s="86">
        <v>0</v>
      </c>
      <c r="X91" s="52">
        <v>46218</v>
      </c>
      <c r="Y91" s="52">
        <v>46222</v>
      </c>
      <c r="Z91" s="18" t="s">
        <v>40</v>
      </c>
      <c r="AA91" s="132" t="s">
        <v>218</v>
      </c>
      <c r="AB91" s="89">
        <v>0</v>
      </c>
      <c r="AC91" s="51">
        <v>46233</v>
      </c>
      <c r="AD91" s="51">
        <v>46242</v>
      </c>
      <c r="AE91" s="22" t="s">
        <v>40</v>
      </c>
      <c r="AF91" s="119" t="s">
        <v>218</v>
      </c>
      <c r="AG91" s="91">
        <v>0</v>
      </c>
      <c r="AH91" s="50">
        <v>46243</v>
      </c>
      <c r="AI91" s="50">
        <v>46250</v>
      </c>
      <c r="AJ91" s="19" t="s">
        <v>165</v>
      </c>
      <c r="AK91" s="102" t="s">
        <v>190</v>
      </c>
      <c r="AL91" s="93">
        <v>0</v>
      </c>
      <c r="AM91" s="49">
        <v>46337</v>
      </c>
      <c r="AN91" s="49">
        <v>46343</v>
      </c>
      <c r="AO91" s="24" t="s">
        <v>40</v>
      </c>
      <c r="AP91" s="94">
        <v>0</v>
      </c>
    </row>
    <row r="92" spans="1:42" ht="15">
      <c r="A92" s="7" t="s">
        <v>16</v>
      </c>
      <c r="B92" s="9" t="s">
        <v>120</v>
      </c>
      <c r="C92" s="6">
        <v>1</v>
      </c>
      <c r="D92" s="46">
        <v>46146</v>
      </c>
      <c r="E92" s="46">
        <v>46157</v>
      </c>
      <c r="F92" s="34" t="s">
        <v>40</v>
      </c>
      <c r="G92" s="34" t="s">
        <v>219</v>
      </c>
      <c r="H92" s="82">
        <v>0</v>
      </c>
      <c r="I92" s="47">
        <v>46184</v>
      </c>
      <c r="J92" s="47">
        <v>46197</v>
      </c>
      <c r="K92" s="13" t="s">
        <v>40</v>
      </c>
      <c r="L92" s="128" t="s">
        <v>218</v>
      </c>
      <c r="M92" s="84">
        <v>0</v>
      </c>
      <c r="N92" s="229">
        <v>46184</v>
      </c>
      <c r="O92" s="229">
        <v>46197</v>
      </c>
      <c r="P92" s="24" t="s">
        <v>40</v>
      </c>
      <c r="Q92" s="271" t="s">
        <v>218</v>
      </c>
      <c r="R92" s="386"/>
      <c r="S92" s="48">
        <v>46209</v>
      </c>
      <c r="T92" s="48">
        <v>46218</v>
      </c>
      <c r="U92" s="16" t="s">
        <v>40</v>
      </c>
      <c r="V92" s="65" t="s">
        <v>218</v>
      </c>
      <c r="W92" s="86">
        <v>0</v>
      </c>
      <c r="X92" s="52">
        <v>46218</v>
      </c>
      <c r="Y92" s="52">
        <v>46222</v>
      </c>
      <c r="Z92" s="18" t="s">
        <v>40</v>
      </c>
      <c r="AA92" s="132" t="s">
        <v>218</v>
      </c>
      <c r="AB92" s="89">
        <v>0</v>
      </c>
      <c r="AC92" s="51">
        <v>46233</v>
      </c>
      <c r="AD92" s="51">
        <v>46242</v>
      </c>
      <c r="AE92" s="22" t="s">
        <v>40</v>
      </c>
      <c r="AF92" s="119" t="s">
        <v>218</v>
      </c>
      <c r="AG92" s="91">
        <v>0</v>
      </c>
      <c r="AH92" s="50">
        <v>46243</v>
      </c>
      <c r="AI92" s="50">
        <v>46250</v>
      </c>
      <c r="AJ92" s="19" t="s">
        <v>165</v>
      </c>
      <c r="AK92" s="102" t="s">
        <v>190</v>
      </c>
      <c r="AL92" s="93">
        <v>0</v>
      </c>
      <c r="AM92" s="49">
        <v>46337</v>
      </c>
      <c r="AN92" s="49">
        <v>46343</v>
      </c>
      <c r="AO92" s="24" t="s">
        <v>40</v>
      </c>
      <c r="AP92" s="94">
        <v>0</v>
      </c>
    </row>
    <row r="93" spans="1:42" ht="15">
      <c r="A93" s="7" t="s">
        <v>16</v>
      </c>
      <c r="B93" s="9" t="s">
        <v>121</v>
      </c>
      <c r="C93" s="6">
        <v>1</v>
      </c>
      <c r="D93" s="46">
        <v>46146</v>
      </c>
      <c r="E93" s="46">
        <v>46157</v>
      </c>
      <c r="F93" s="34" t="s">
        <v>40</v>
      </c>
      <c r="G93" s="34" t="s">
        <v>219</v>
      </c>
      <c r="H93" s="82">
        <v>0</v>
      </c>
      <c r="I93" s="47">
        <v>46184</v>
      </c>
      <c r="J93" s="47">
        <v>46197</v>
      </c>
      <c r="K93" s="13" t="s">
        <v>40</v>
      </c>
      <c r="L93" s="128" t="s">
        <v>218</v>
      </c>
      <c r="M93" s="84">
        <v>0</v>
      </c>
      <c r="N93" s="229">
        <v>46184</v>
      </c>
      <c r="O93" s="229">
        <v>46197</v>
      </c>
      <c r="P93" s="24" t="s">
        <v>40</v>
      </c>
      <c r="Q93" s="271" t="s">
        <v>218</v>
      </c>
      <c r="R93" s="386"/>
      <c r="S93" s="48">
        <v>46209</v>
      </c>
      <c r="T93" s="48">
        <v>46218</v>
      </c>
      <c r="U93" s="16" t="s">
        <v>40</v>
      </c>
      <c r="V93" s="65" t="s">
        <v>218</v>
      </c>
      <c r="W93" s="86">
        <v>0</v>
      </c>
      <c r="X93" s="52">
        <v>46218</v>
      </c>
      <c r="Y93" s="52">
        <v>46222</v>
      </c>
      <c r="Z93" s="18" t="s">
        <v>40</v>
      </c>
      <c r="AA93" s="132" t="s">
        <v>218</v>
      </c>
      <c r="AB93" s="89">
        <v>0</v>
      </c>
      <c r="AC93" s="51">
        <v>46233</v>
      </c>
      <c r="AD93" s="51">
        <v>46242</v>
      </c>
      <c r="AE93" s="22" t="s">
        <v>40</v>
      </c>
      <c r="AF93" s="119" t="s">
        <v>218</v>
      </c>
      <c r="AG93" s="91">
        <v>0</v>
      </c>
      <c r="AH93" s="50">
        <v>46243</v>
      </c>
      <c r="AI93" s="50">
        <v>46250</v>
      </c>
      <c r="AJ93" s="19" t="s">
        <v>165</v>
      </c>
      <c r="AK93" s="102" t="s">
        <v>190</v>
      </c>
      <c r="AL93" s="93">
        <v>0</v>
      </c>
      <c r="AM93" s="49">
        <v>46337</v>
      </c>
      <c r="AN93" s="49">
        <v>46343</v>
      </c>
      <c r="AO93" s="24" t="s">
        <v>40</v>
      </c>
      <c r="AP93" s="94">
        <v>0</v>
      </c>
    </row>
    <row r="94" spans="1:42" ht="15">
      <c r="A94" s="7" t="s">
        <v>16</v>
      </c>
      <c r="B94" s="9" t="s">
        <v>122</v>
      </c>
      <c r="C94" s="6">
        <v>1</v>
      </c>
      <c r="D94" s="46">
        <v>46146</v>
      </c>
      <c r="E94" s="46">
        <v>46157</v>
      </c>
      <c r="F94" s="34" t="s">
        <v>40</v>
      </c>
      <c r="G94" s="34" t="s">
        <v>219</v>
      </c>
      <c r="H94" s="82">
        <v>0</v>
      </c>
      <c r="I94" s="47">
        <v>46184</v>
      </c>
      <c r="J94" s="47">
        <v>46197</v>
      </c>
      <c r="K94" s="13" t="s">
        <v>40</v>
      </c>
      <c r="L94" s="128" t="s">
        <v>218</v>
      </c>
      <c r="M94" s="84">
        <v>0</v>
      </c>
      <c r="N94" s="229">
        <v>46184</v>
      </c>
      <c r="O94" s="229">
        <v>46197</v>
      </c>
      <c r="P94" s="24" t="s">
        <v>40</v>
      </c>
      <c r="Q94" s="271" t="s">
        <v>218</v>
      </c>
      <c r="R94" s="386"/>
      <c r="S94" s="48">
        <v>46209</v>
      </c>
      <c r="T94" s="48">
        <v>46218</v>
      </c>
      <c r="U94" s="16" t="s">
        <v>40</v>
      </c>
      <c r="V94" s="65" t="s">
        <v>218</v>
      </c>
      <c r="W94" s="86">
        <v>0</v>
      </c>
      <c r="X94" s="52">
        <v>46218</v>
      </c>
      <c r="Y94" s="52">
        <v>46222</v>
      </c>
      <c r="Z94" s="18" t="s">
        <v>40</v>
      </c>
      <c r="AA94" s="132" t="s">
        <v>218</v>
      </c>
      <c r="AB94" s="89">
        <v>0</v>
      </c>
      <c r="AC94" s="51">
        <v>46233</v>
      </c>
      <c r="AD94" s="51">
        <v>46242</v>
      </c>
      <c r="AE94" s="22" t="s">
        <v>40</v>
      </c>
      <c r="AF94" s="119" t="s">
        <v>218</v>
      </c>
      <c r="AG94" s="91">
        <v>0</v>
      </c>
      <c r="AH94" s="50">
        <v>46243</v>
      </c>
      <c r="AI94" s="50">
        <v>46250</v>
      </c>
      <c r="AJ94" s="19" t="s">
        <v>165</v>
      </c>
      <c r="AK94" s="102" t="s">
        <v>190</v>
      </c>
      <c r="AL94" s="93">
        <v>0</v>
      </c>
      <c r="AM94" s="49">
        <v>46337</v>
      </c>
      <c r="AN94" s="49">
        <v>46343</v>
      </c>
      <c r="AO94" s="24" t="s">
        <v>40</v>
      </c>
      <c r="AP94" s="94">
        <v>0</v>
      </c>
    </row>
    <row r="95" spans="1:42" ht="15">
      <c r="A95" s="7" t="s">
        <v>16</v>
      </c>
      <c r="B95" s="9" t="s">
        <v>123</v>
      </c>
      <c r="C95" s="6">
        <v>1</v>
      </c>
      <c r="D95" s="46">
        <v>46146</v>
      </c>
      <c r="E95" s="46">
        <v>46157</v>
      </c>
      <c r="F95" s="34" t="s">
        <v>40</v>
      </c>
      <c r="G95" s="34" t="s">
        <v>219</v>
      </c>
      <c r="H95" s="82">
        <v>0</v>
      </c>
      <c r="I95" s="47">
        <v>46184</v>
      </c>
      <c r="J95" s="47">
        <v>46197</v>
      </c>
      <c r="K95" s="13" t="s">
        <v>40</v>
      </c>
      <c r="L95" s="128" t="s">
        <v>218</v>
      </c>
      <c r="M95" s="84">
        <v>0</v>
      </c>
      <c r="N95" s="229">
        <v>46184</v>
      </c>
      <c r="O95" s="229">
        <v>46197</v>
      </c>
      <c r="P95" s="24" t="s">
        <v>40</v>
      </c>
      <c r="Q95" s="271" t="s">
        <v>218</v>
      </c>
      <c r="R95" s="386"/>
      <c r="S95" s="48">
        <v>46209</v>
      </c>
      <c r="T95" s="48">
        <v>46218</v>
      </c>
      <c r="U95" s="16" t="s">
        <v>40</v>
      </c>
      <c r="V95" s="65" t="s">
        <v>218</v>
      </c>
      <c r="W95" s="86">
        <v>0</v>
      </c>
      <c r="X95" s="52">
        <v>46218</v>
      </c>
      <c r="Y95" s="52">
        <v>46222</v>
      </c>
      <c r="Z95" s="18" t="s">
        <v>40</v>
      </c>
      <c r="AA95" s="132" t="s">
        <v>218</v>
      </c>
      <c r="AB95" s="89">
        <v>0</v>
      </c>
      <c r="AC95" s="51">
        <v>46233</v>
      </c>
      <c r="AD95" s="51">
        <v>46242</v>
      </c>
      <c r="AE95" s="22" t="s">
        <v>40</v>
      </c>
      <c r="AF95" s="119" t="s">
        <v>218</v>
      </c>
      <c r="AG95" s="91">
        <v>0</v>
      </c>
      <c r="AH95" s="50">
        <v>46243</v>
      </c>
      <c r="AI95" s="50">
        <v>46250</v>
      </c>
      <c r="AJ95" s="19" t="s">
        <v>165</v>
      </c>
      <c r="AK95" s="102" t="s">
        <v>190</v>
      </c>
      <c r="AL95" s="93">
        <v>0</v>
      </c>
      <c r="AM95" s="49">
        <v>46337</v>
      </c>
      <c r="AN95" s="49">
        <v>46343</v>
      </c>
      <c r="AO95" s="24" t="s">
        <v>40</v>
      </c>
      <c r="AP95" s="94">
        <v>0</v>
      </c>
    </row>
    <row r="96" spans="1:42" ht="15">
      <c r="A96" s="7" t="s">
        <v>16</v>
      </c>
      <c r="B96" s="9" t="s">
        <v>124</v>
      </c>
      <c r="C96" s="6">
        <v>1</v>
      </c>
      <c r="D96" s="46">
        <v>46146</v>
      </c>
      <c r="E96" s="46">
        <v>46157</v>
      </c>
      <c r="F96" s="34" t="s">
        <v>40</v>
      </c>
      <c r="G96" s="34" t="s">
        <v>219</v>
      </c>
      <c r="H96" s="82">
        <v>0</v>
      </c>
      <c r="I96" s="47">
        <v>46184</v>
      </c>
      <c r="J96" s="47">
        <v>46197</v>
      </c>
      <c r="K96" s="13" t="s">
        <v>40</v>
      </c>
      <c r="L96" s="128" t="s">
        <v>218</v>
      </c>
      <c r="M96" s="84">
        <v>0</v>
      </c>
      <c r="N96" s="229">
        <v>46184</v>
      </c>
      <c r="O96" s="229">
        <v>46197</v>
      </c>
      <c r="P96" s="24" t="s">
        <v>40</v>
      </c>
      <c r="Q96" s="271" t="s">
        <v>218</v>
      </c>
      <c r="R96" s="386"/>
      <c r="S96" s="48">
        <v>46209</v>
      </c>
      <c r="T96" s="48">
        <v>46218</v>
      </c>
      <c r="U96" s="16" t="s">
        <v>40</v>
      </c>
      <c r="V96" s="65" t="s">
        <v>218</v>
      </c>
      <c r="W96" s="86">
        <v>0</v>
      </c>
      <c r="X96" s="52">
        <v>46218</v>
      </c>
      <c r="Y96" s="52">
        <v>46222</v>
      </c>
      <c r="Z96" s="18" t="s">
        <v>40</v>
      </c>
      <c r="AA96" s="132" t="s">
        <v>218</v>
      </c>
      <c r="AB96" s="89">
        <v>0</v>
      </c>
      <c r="AC96" s="51">
        <v>46233</v>
      </c>
      <c r="AD96" s="51">
        <v>46242</v>
      </c>
      <c r="AE96" s="22" t="s">
        <v>40</v>
      </c>
      <c r="AF96" s="119" t="s">
        <v>218</v>
      </c>
      <c r="AG96" s="91">
        <v>0</v>
      </c>
      <c r="AH96" s="50">
        <v>46243</v>
      </c>
      <c r="AI96" s="50">
        <v>46250</v>
      </c>
      <c r="AJ96" s="19" t="s">
        <v>165</v>
      </c>
      <c r="AK96" s="102" t="s">
        <v>190</v>
      </c>
      <c r="AL96" s="93">
        <v>0</v>
      </c>
      <c r="AM96" s="49">
        <v>46337</v>
      </c>
      <c r="AN96" s="49">
        <v>46343</v>
      </c>
      <c r="AO96" s="24" t="s">
        <v>40</v>
      </c>
      <c r="AP96" s="94">
        <v>0</v>
      </c>
    </row>
    <row r="97" spans="1:42" ht="15">
      <c r="A97" s="7" t="s">
        <v>16</v>
      </c>
      <c r="B97" s="9" t="s">
        <v>125</v>
      </c>
      <c r="C97" s="6">
        <v>1</v>
      </c>
      <c r="D97" s="46">
        <v>46146</v>
      </c>
      <c r="E97" s="46">
        <v>46157</v>
      </c>
      <c r="F97" s="34" t="s">
        <v>40</v>
      </c>
      <c r="G97" s="34" t="s">
        <v>219</v>
      </c>
      <c r="H97" s="82">
        <v>0</v>
      </c>
      <c r="I97" s="47">
        <v>46184</v>
      </c>
      <c r="J97" s="47">
        <v>46197</v>
      </c>
      <c r="K97" s="13" t="s">
        <v>40</v>
      </c>
      <c r="L97" s="128" t="s">
        <v>218</v>
      </c>
      <c r="M97" s="84">
        <v>0</v>
      </c>
      <c r="N97" s="229">
        <v>46184</v>
      </c>
      <c r="O97" s="229">
        <v>46197</v>
      </c>
      <c r="P97" s="24" t="s">
        <v>40</v>
      </c>
      <c r="Q97" s="271" t="s">
        <v>218</v>
      </c>
      <c r="R97" s="386"/>
      <c r="S97" s="48">
        <v>46209</v>
      </c>
      <c r="T97" s="48">
        <v>46218</v>
      </c>
      <c r="U97" s="16" t="s">
        <v>40</v>
      </c>
      <c r="V97" s="65" t="s">
        <v>218</v>
      </c>
      <c r="W97" s="86">
        <v>0</v>
      </c>
      <c r="X97" s="52">
        <v>46218</v>
      </c>
      <c r="Y97" s="52">
        <v>46222</v>
      </c>
      <c r="Z97" s="18" t="s">
        <v>40</v>
      </c>
      <c r="AA97" s="132" t="s">
        <v>218</v>
      </c>
      <c r="AB97" s="89">
        <v>0</v>
      </c>
      <c r="AC97" s="51">
        <v>46233</v>
      </c>
      <c r="AD97" s="51">
        <v>46242</v>
      </c>
      <c r="AE97" s="22" t="s">
        <v>40</v>
      </c>
      <c r="AF97" s="119" t="s">
        <v>218</v>
      </c>
      <c r="AG97" s="91">
        <v>0</v>
      </c>
      <c r="AH97" s="50">
        <v>46243</v>
      </c>
      <c r="AI97" s="50">
        <v>46250</v>
      </c>
      <c r="AJ97" s="19" t="s">
        <v>165</v>
      </c>
      <c r="AK97" s="102" t="s">
        <v>190</v>
      </c>
      <c r="AL97" s="93">
        <v>0</v>
      </c>
      <c r="AM97" s="49">
        <v>46337</v>
      </c>
      <c r="AN97" s="49">
        <v>46343</v>
      </c>
      <c r="AO97" s="24" t="s">
        <v>40</v>
      </c>
      <c r="AP97" s="94">
        <v>0</v>
      </c>
    </row>
    <row r="98" spans="1:42" ht="15">
      <c r="A98" s="7" t="s">
        <v>16</v>
      </c>
      <c r="B98" s="9" t="s">
        <v>126</v>
      </c>
      <c r="C98" s="6">
        <v>1</v>
      </c>
      <c r="D98" s="46">
        <v>46146</v>
      </c>
      <c r="E98" s="46">
        <v>46157</v>
      </c>
      <c r="F98" s="34" t="s">
        <v>40</v>
      </c>
      <c r="G98" s="34" t="s">
        <v>219</v>
      </c>
      <c r="H98" s="82">
        <v>0</v>
      </c>
      <c r="I98" s="47">
        <v>46184</v>
      </c>
      <c r="J98" s="47">
        <v>46197</v>
      </c>
      <c r="K98" s="13" t="s">
        <v>40</v>
      </c>
      <c r="L98" s="128" t="s">
        <v>218</v>
      </c>
      <c r="M98" s="84">
        <v>0</v>
      </c>
      <c r="N98" s="229">
        <v>46184</v>
      </c>
      <c r="O98" s="229">
        <v>46197</v>
      </c>
      <c r="P98" s="24" t="s">
        <v>40</v>
      </c>
      <c r="Q98" s="271" t="s">
        <v>218</v>
      </c>
      <c r="R98" s="386"/>
      <c r="S98" s="48">
        <v>46209</v>
      </c>
      <c r="T98" s="48">
        <v>46218</v>
      </c>
      <c r="U98" s="16" t="s">
        <v>40</v>
      </c>
      <c r="V98" s="65" t="s">
        <v>218</v>
      </c>
      <c r="W98" s="86">
        <v>0</v>
      </c>
      <c r="X98" s="52">
        <v>46218</v>
      </c>
      <c r="Y98" s="52">
        <v>46222</v>
      </c>
      <c r="Z98" s="18" t="s">
        <v>40</v>
      </c>
      <c r="AA98" s="132" t="s">
        <v>218</v>
      </c>
      <c r="AB98" s="89">
        <v>0</v>
      </c>
      <c r="AC98" s="51">
        <v>46233</v>
      </c>
      <c r="AD98" s="51">
        <v>46242</v>
      </c>
      <c r="AE98" s="22" t="s">
        <v>40</v>
      </c>
      <c r="AF98" s="119" t="s">
        <v>218</v>
      </c>
      <c r="AG98" s="91">
        <v>0</v>
      </c>
      <c r="AH98" s="50">
        <v>46243</v>
      </c>
      <c r="AI98" s="50">
        <v>46250</v>
      </c>
      <c r="AJ98" s="19" t="s">
        <v>165</v>
      </c>
      <c r="AK98" s="102" t="s">
        <v>190</v>
      </c>
      <c r="AL98" s="93">
        <v>0</v>
      </c>
      <c r="AM98" s="49">
        <v>46337</v>
      </c>
      <c r="AN98" s="49">
        <v>46343</v>
      </c>
      <c r="AO98" s="24" t="s">
        <v>40</v>
      </c>
      <c r="AP98" s="94">
        <v>0</v>
      </c>
    </row>
    <row r="99" spans="1:42" ht="15">
      <c r="A99" s="7" t="s">
        <v>16</v>
      </c>
      <c r="B99" s="9" t="s">
        <v>127</v>
      </c>
      <c r="C99" s="6">
        <v>1</v>
      </c>
      <c r="D99" s="46">
        <v>46146</v>
      </c>
      <c r="E99" s="46">
        <v>46157</v>
      </c>
      <c r="F99" s="34" t="s">
        <v>40</v>
      </c>
      <c r="G99" s="34" t="s">
        <v>219</v>
      </c>
      <c r="H99" s="82">
        <v>0</v>
      </c>
      <c r="I99" s="47">
        <v>46184</v>
      </c>
      <c r="J99" s="47">
        <v>46197</v>
      </c>
      <c r="K99" s="13" t="s">
        <v>40</v>
      </c>
      <c r="L99" s="128" t="s">
        <v>218</v>
      </c>
      <c r="M99" s="84">
        <v>0</v>
      </c>
      <c r="N99" s="229">
        <v>46184</v>
      </c>
      <c r="O99" s="229">
        <v>46197</v>
      </c>
      <c r="P99" s="24" t="s">
        <v>40</v>
      </c>
      <c r="Q99" s="271" t="s">
        <v>218</v>
      </c>
      <c r="R99" s="386"/>
      <c r="S99" s="48">
        <v>46209</v>
      </c>
      <c r="T99" s="48">
        <v>46218</v>
      </c>
      <c r="U99" s="16" t="s">
        <v>40</v>
      </c>
      <c r="V99" s="65" t="s">
        <v>218</v>
      </c>
      <c r="W99" s="86">
        <v>0</v>
      </c>
      <c r="X99" s="52">
        <v>46218</v>
      </c>
      <c r="Y99" s="52">
        <v>46222</v>
      </c>
      <c r="Z99" s="18" t="s">
        <v>40</v>
      </c>
      <c r="AA99" s="132" t="s">
        <v>218</v>
      </c>
      <c r="AB99" s="89">
        <v>0</v>
      </c>
      <c r="AC99" s="51">
        <v>46233</v>
      </c>
      <c r="AD99" s="51">
        <v>46242</v>
      </c>
      <c r="AE99" s="22" t="s">
        <v>40</v>
      </c>
      <c r="AF99" s="119" t="s">
        <v>218</v>
      </c>
      <c r="AG99" s="91">
        <v>0</v>
      </c>
      <c r="AH99" s="50">
        <v>46243</v>
      </c>
      <c r="AI99" s="50">
        <v>46250</v>
      </c>
      <c r="AJ99" s="19" t="s">
        <v>165</v>
      </c>
      <c r="AK99" s="102" t="s">
        <v>190</v>
      </c>
      <c r="AL99" s="93">
        <v>0</v>
      </c>
      <c r="AM99" s="49">
        <v>46337</v>
      </c>
      <c r="AN99" s="49">
        <v>46343</v>
      </c>
      <c r="AO99" s="24" t="s">
        <v>40</v>
      </c>
      <c r="AP99" s="94">
        <v>0</v>
      </c>
    </row>
    <row r="100" spans="1:42" ht="15">
      <c r="A100" s="7" t="s">
        <v>16</v>
      </c>
      <c r="B100" s="9" t="s">
        <v>128</v>
      </c>
      <c r="C100" s="6">
        <v>1</v>
      </c>
      <c r="D100" s="46">
        <v>46146</v>
      </c>
      <c r="E100" s="46">
        <v>46157</v>
      </c>
      <c r="F100" s="34" t="s">
        <v>40</v>
      </c>
      <c r="G100" s="34" t="s">
        <v>219</v>
      </c>
      <c r="H100" s="82">
        <v>0</v>
      </c>
      <c r="I100" s="47">
        <v>46184</v>
      </c>
      <c r="J100" s="47">
        <v>46197</v>
      </c>
      <c r="K100" s="13" t="s">
        <v>40</v>
      </c>
      <c r="L100" s="128" t="s">
        <v>218</v>
      </c>
      <c r="M100" s="84">
        <v>0</v>
      </c>
      <c r="N100" s="229">
        <v>46184</v>
      </c>
      <c r="O100" s="229">
        <v>46197</v>
      </c>
      <c r="P100" s="24" t="s">
        <v>40</v>
      </c>
      <c r="Q100" s="271" t="s">
        <v>218</v>
      </c>
      <c r="R100" s="386"/>
      <c r="S100" s="48">
        <v>46209</v>
      </c>
      <c r="T100" s="48">
        <v>46218</v>
      </c>
      <c r="U100" s="16" t="s">
        <v>40</v>
      </c>
      <c r="V100" s="65" t="s">
        <v>218</v>
      </c>
      <c r="W100" s="86">
        <v>0</v>
      </c>
      <c r="X100" s="52">
        <v>46218</v>
      </c>
      <c r="Y100" s="52">
        <v>46222</v>
      </c>
      <c r="Z100" s="18" t="s">
        <v>40</v>
      </c>
      <c r="AA100" s="132" t="s">
        <v>218</v>
      </c>
      <c r="AB100" s="89">
        <v>0</v>
      </c>
      <c r="AC100" s="51">
        <v>46233</v>
      </c>
      <c r="AD100" s="51">
        <v>46242</v>
      </c>
      <c r="AE100" s="22" t="s">
        <v>40</v>
      </c>
      <c r="AF100" s="119" t="s">
        <v>218</v>
      </c>
      <c r="AG100" s="91">
        <v>0</v>
      </c>
      <c r="AH100" s="50">
        <v>46243</v>
      </c>
      <c r="AI100" s="50">
        <v>46250</v>
      </c>
      <c r="AJ100" s="19" t="s">
        <v>165</v>
      </c>
      <c r="AK100" s="102" t="s">
        <v>190</v>
      </c>
      <c r="AL100" s="93">
        <v>0</v>
      </c>
      <c r="AM100" s="49">
        <v>46337</v>
      </c>
      <c r="AN100" s="49">
        <v>46343</v>
      </c>
      <c r="AO100" s="24" t="s">
        <v>40</v>
      </c>
      <c r="AP100" s="94">
        <v>0</v>
      </c>
    </row>
    <row r="101" spans="1:42" ht="15">
      <c r="A101" s="7" t="s">
        <v>16</v>
      </c>
      <c r="B101" s="9" t="s">
        <v>129</v>
      </c>
      <c r="C101" s="6">
        <v>1</v>
      </c>
      <c r="D101" s="46">
        <v>46146</v>
      </c>
      <c r="E101" s="46">
        <v>46157</v>
      </c>
      <c r="F101" s="34" t="s">
        <v>40</v>
      </c>
      <c r="G101" s="34" t="s">
        <v>219</v>
      </c>
      <c r="H101" s="82">
        <v>0</v>
      </c>
      <c r="I101" s="47">
        <v>46198</v>
      </c>
      <c r="J101" s="47">
        <v>46211</v>
      </c>
      <c r="K101" s="13" t="s">
        <v>40</v>
      </c>
      <c r="L101" s="128" t="s">
        <v>218</v>
      </c>
      <c r="M101" s="84">
        <v>0</v>
      </c>
      <c r="N101" s="229">
        <v>46198</v>
      </c>
      <c r="O101" s="229">
        <v>46211</v>
      </c>
      <c r="P101" s="24" t="s">
        <v>40</v>
      </c>
      <c r="Q101" s="271" t="s">
        <v>218</v>
      </c>
      <c r="R101" s="386"/>
      <c r="S101" s="48">
        <v>46209</v>
      </c>
      <c r="T101" s="48">
        <v>46218</v>
      </c>
      <c r="U101" s="16" t="s">
        <v>40</v>
      </c>
      <c r="V101" s="65" t="s">
        <v>218</v>
      </c>
      <c r="W101" s="86">
        <v>0</v>
      </c>
      <c r="X101" s="52">
        <v>46218</v>
      </c>
      <c r="Y101" s="52">
        <v>46222</v>
      </c>
      <c r="Z101" s="18" t="s">
        <v>40</v>
      </c>
      <c r="AA101" s="132" t="s">
        <v>218</v>
      </c>
      <c r="AB101" s="89">
        <v>0</v>
      </c>
      <c r="AC101" s="51">
        <v>46233</v>
      </c>
      <c r="AD101" s="51">
        <v>46242</v>
      </c>
      <c r="AE101" s="22" t="s">
        <v>40</v>
      </c>
      <c r="AF101" s="119" t="s">
        <v>218</v>
      </c>
      <c r="AG101" s="91">
        <v>0</v>
      </c>
      <c r="AH101" s="50">
        <v>46243</v>
      </c>
      <c r="AI101" s="50">
        <v>46250</v>
      </c>
      <c r="AJ101" s="19" t="s">
        <v>165</v>
      </c>
      <c r="AK101" s="102" t="s">
        <v>190</v>
      </c>
      <c r="AL101" s="93">
        <v>0</v>
      </c>
      <c r="AM101" s="49">
        <v>46337</v>
      </c>
      <c r="AN101" s="49">
        <v>46343</v>
      </c>
      <c r="AO101" s="24" t="s">
        <v>40</v>
      </c>
      <c r="AP101" s="94">
        <v>0</v>
      </c>
    </row>
    <row r="102" spans="1:42" ht="15">
      <c r="A102" s="7" t="s">
        <v>16</v>
      </c>
      <c r="B102" s="9" t="s">
        <v>130</v>
      </c>
      <c r="C102" s="6">
        <v>1</v>
      </c>
      <c r="D102" s="46">
        <v>46146</v>
      </c>
      <c r="E102" s="46">
        <v>46157</v>
      </c>
      <c r="F102" s="34" t="s">
        <v>40</v>
      </c>
      <c r="G102" s="34" t="s">
        <v>219</v>
      </c>
      <c r="H102" s="82">
        <v>0</v>
      </c>
      <c r="I102" s="47">
        <v>46198</v>
      </c>
      <c r="J102" s="47">
        <v>46211</v>
      </c>
      <c r="K102" s="13" t="s">
        <v>40</v>
      </c>
      <c r="L102" s="128" t="s">
        <v>218</v>
      </c>
      <c r="M102" s="84">
        <v>0</v>
      </c>
      <c r="N102" s="229">
        <v>46198</v>
      </c>
      <c r="O102" s="229">
        <v>46211</v>
      </c>
      <c r="P102" s="24" t="s">
        <v>40</v>
      </c>
      <c r="Q102" s="271" t="s">
        <v>218</v>
      </c>
      <c r="R102" s="386"/>
      <c r="S102" s="48">
        <v>46209</v>
      </c>
      <c r="T102" s="48">
        <v>46218</v>
      </c>
      <c r="U102" s="16" t="s">
        <v>40</v>
      </c>
      <c r="V102" s="65" t="s">
        <v>218</v>
      </c>
      <c r="W102" s="86">
        <v>0</v>
      </c>
      <c r="X102" s="52">
        <v>46218</v>
      </c>
      <c r="Y102" s="52">
        <v>46222</v>
      </c>
      <c r="Z102" s="18" t="s">
        <v>40</v>
      </c>
      <c r="AA102" s="132" t="s">
        <v>218</v>
      </c>
      <c r="AB102" s="89">
        <v>0</v>
      </c>
      <c r="AC102" s="51">
        <v>46233</v>
      </c>
      <c r="AD102" s="51">
        <v>46242</v>
      </c>
      <c r="AE102" s="22" t="s">
        <v>40</v>
      </c>
      <c r="AF102" s="119" t="s">
        <v>218</v>
      </c>
      <c r="AG102" s="91">
        <v>0</v>
      </c>
      <c r="AH102" s="50">
        <v>46243</v>
      </c>
      <c r="AI102" s="50">
        <v>46250</v>
      </c>
      <c r="AJ102" s="19" t="s">
        <v>165</v>
      </c>
      <c r="AK102" s="102" t="s">
        <v>190</v>
      </c>
      <c r="AL102" s="93">
        <v>0</v>
      </c>
      <c r="AM102" s="49">
        <v>46337</v>
      </c>
      <c r="AN102" s="49">
        <v>46343</v>
      </c>
      <c r="AO102" s="24" t="s">
        <v>40</v>
      </c>
      <c r="AP102" s="94">
        <v>0</v>
      </c>
    </row>
    <row r="103" spans="1:42" ht="15">
      <c r="A103" s="7" t="s">
        <v>16</v>
      </c>
      <c r="B103" s="9" t="s">
        <v>131</v>
      </c>
      <c r="C103" s="6">
        <v>1</v>
      </c>
      <c r="D103" s="46">
        <v>46146</v>
      </c>
      <c r="E103" s="46">
        <v>46157</v>
      </c>
      <c r="F103" s="34" t="s">
        <v>40</v>
      </c>
      <c r="G103" s="34" t="s">
        <v>219</v>
      </c>
      <c r="H103" s="82">
        <v>0</v>
      </c>
      <c r="I103" s="47">
        <v>46198</v>
      </c>
      <c r="J103" s="47">
        <v>46211</v>
      </c>
      <c r="K103" s="13" t="s">
        <v>40</v>
      </c>
      <c r="L103" s="128" t="s">
        <v>218</v>
      </c>
      <c r="M103" s="84">
        <v>0</v>
      </c>
      <c r="N103" s="229">
        <v>46198</v>
      </c>
      <c r="O103" s="229">
        <v>46211</v>
      </c>
      <c r="P103" s="24" t="s">
        <v>40</v>
      </c>
      <c r="Q103" s="271" t="s">
        <v>218</v>
      </c>
      <c r="R103" s="386"/>
      <c r="S103" s="48">
        <v>46209</v>
      </c>
      <c r="T103" s="48">
        <v>46218</v>
      </c>
      <c r="U103" s="16" t="s">
        <v>40</v>
      </c>
      <c r="V103" s="65" t="s">
        <v>218</v>
      </c>
      <c r="W103" s="86">
        <v>0</v>
      </c>
      <c r="X103" s="52">
        <v>46218</v>
      </c>
      <c r="Y103" s="52">
        <v>46222</v>
      </c>
      <c r="Z103" s="18" t="s">
        <v>40</v>
      </c>
      <c r="AA103" s="132" t="s">
        <v>218</v>
      </c>
      <c r="AB103" s="89">
        <v>0</v>
      </c>
      <c r="AC103" s="51">
        <v>46233</v>
      </c>
      <c r="AD103" s="51">
        <v>46242</v>
      </c>
      <c r="AE103" s="22" t="s">
        <v>40</v>
      </c>
      <c r="AF103" s="119" t="s">
        <v>218</v>
      </c>
      <c r="AG103" s="91">
        <v>0</v>
      </c>
      <c r="AH103" s="50">
        <v>46243</v>
      </c>
      <c r="AI103" s="50">
        <v>46250</v>
      </c>
      <c r="AJ103" s="19" t="s">
        <v>165</v>
      </c>
      <c r="AK103" s="102" t="s">
        <v>190</v>
      </c>
      <c r="AL103" s="93">
        <v>0</v>
      </c>
      <c r="AM103" s="49">
        <v>46337</v>
      </c>
      <c r="AN103" s="49">
        <v>46343</v>
      </c>
      <c r="AO103" s="24" t="s">
        <v>40</v>
      </c>
      <c r="AP103" s="94">
        <v>0</v>
      </c>
    </row>
    <row r="104" spans="1:42" ht="15">
      <c r="A104" s="7" t="s">
        <v>16</v>
      </c>
      <c r="B104" s="9" t="s">
        <v>132</v>
      </c>
      <c r="C104" s="6">
        <v>1</v>
      </c>
      <c r="D104" s="46">
        <v>46146</v>
      </c>
      <c r="E104" s="46">
        <v>46157</v>
      </c>
      <c r="F104" s="34" t="s">
        <v>40</v>
      </c>
      <c r="G104" s="34" t="s">
        <v>219</v>
      </c>
      <c r="H104" s="82">
        <v>0</v>
      </c>
      <c r="I104" s="47">
        <v>46198</v>
      </c>
      <c r="J104" s="47">
        <v>46211</v>
      </c>
      <c r="K104" s="13" t="s">
        <v>40</v>
      </c>
      <c r="L104" s="128" t="s">
        <v>218</v>
      </c>
      <c r="M104" s="84">
        <v>0</v>
      </c>
      <c r="N104" s="229">
        <v>46198</v>
      </c>
      <c r="O104" s="229">
        <v>46211</v>
      </c>
      <c r="P104" s="24" t="s">
        <v>40</v>
      </c>
      <c r="Q104" s="271" t="s">
        <v>218</v>
      </c>
      <c r="R104" s="386"/>
      <c r="S104" s="48">
        <v>46209</v>
      </c>
      <c r="T104" s="48">
        <v>46218</v>
      </c>
      <c r="U104" s="16" t="s">
        <v>40</v>
      </c>
      <c r="V104" s="65" t="s">
        <v>218</v>
      </c>
      <c r="W104" s="86">
        <v>0</v>
      </c>
      <c r="X104" s="52">
        <v>46218</v>
      </c>
      <c r="Y104" s="52">
        <v>46222</v>
      </c>
      <c r="Z104" s="18" t="s">
        <v>40</v>
      </c>
      <c r="AA104" s="132" t="s">
        <v>218</v>
      </c>
      <c r="AB104" s="89">
        <v>0</v>
      </c>
      <c r="AC104" s="51">
        <v>46233</v>
      </c>
      <c r="AD104" s="51">
        <v>46242</v>
      </c>
      <c r="AE104" s="22" t="s">
        <v>40</v>
      </c>
      <c r="AF104" s="119" t="s">
        <v>218</v>
      </c>
      <c r="AG104" s="91">
        <v>0</v>
      </c>
      <c r="AH104" s="50">
        <v>46243</v>
      </c>
      <c r="AI104" s="50">
        <v>46250</v>
      </c>
      <c r="AJ104" s="19" t="s">
        <v>165</v>
      </c>
      <c r="AK104" s="102" t="s">
        <v>190</v>
      </c>
      <c r="AL104" s="93">
        <v>0</v>
      </c>
      <c r="AM104" s="49">
        <v>46337</v>
      </c>
      <c r="AN104" s="49">
        <v>46343</v>
      </c>
      <c r="AO104" s="24" t="s">
        <v>40</v>
      </c>
      <c r="AP104" s="94">
        <v>0</v>
      </c>
    </row>
    <row r="105" spans="1:42" ht="15">
      <c r="A105" s="7" t="s">
        <v>16</v>
      </c>
      <c r="B105" s="9" t="s">
        <v>133</v>
      </c>
      <c r="C105" s="6">
        <v>1</v>
      </c>
      <c r="D105" s="46">
        <v>46146</v>
      </c>
      <c r="E105" s="46">
        <v>46157</v>
      </c>
      <c r="F105" s="34" t="s">
        <v>40</v>
      </c>
      <c r="G105" s="34" t="s">
        <v>219</v>
      </c>
      <c r="H105" s="82">
        <v>0</v>
      </c>
      <c r="I105" s="47">
        <v>46198</v>
      </c>
      <c r="J105" s="47">
        <v>46211</v>
      </c>
      <c r="K105" s="13" t="s">
        <v>40</v>
      </c>
      <c r="L105" s="128" t="s">
        <v>218</v>
      </c>
      <c r="M105" s="84">
        <v>0</v>
      </c>
      <c r="N105" s="229">
        <v>46198</v>
      </c>
      <c r="O105" s="229">
        <v>46211</v>
      </c>
      <c r="P105" s="24" t="s">
        <v>40</v>
      </c>
      <c r="Q105" s="271" t="s">
        <v>218</v>
      </c>
      <c r="R105" s="386"/>
      <c r="S105" s="48">
        <v>46209</v>
      </c>
      <c r="T105" s="48">
        <v>46218</v>
      </c>
      <c r="U105" s="16" t="s">
        <v>40</v>
      </c>
      <c r="V105" s="65" t="s">
        <v>218</v>
      </c>
      <c r="W105" s="86">
        <v>0</v>
      </c>
      <c r="X105" s="52">
        <v>46218</v>
      </c>
      <c r="Y105" s="52">
        <v>46222</v>
      </c>
      <c r="Z105" s="18" t="s">
        <v>40</v>
      </c>
      <c r="AA105" s="132" t="s">
        <v>218</v>
      </c>
      <c r="AB105" s="89">
        <v>0</v>
      </c>
      <c r="AC105" s="51">
        <v>46233</v>
      </c>
      <c r="AD105" s="51">
        <v>46242</v>
      </c>
      <c r="AE105" s="22" t="s">
        <v>40</v>
      </c>
      <c r="AF105" s="119" t="s">
        <v>218</v>
      </c>
      <c r="AG105" s="91">
        <v>0</v>
      </c>
      <c r="AH105" s="50">
        <v>46243</v>
      </c>
      <c r="AI105" s="50">
        <v>46250</v>
      </c>
      <c r="AJ105" s="19" t="s">
        <v>165</v>
      </c>
      <c r="AK105" s="102" t="s">
        <v>190</v>
      </c>
      <c r="AL105" s="93">
        <v>0</v>
      </c>
      <c r="AM105" s="49">
        <v>46337</v>
      </c>
      <c r="AN105" s="49">
        <v>46343</v>
      </c>
      <c r="AO105" s="24" t="s">
        <v>40</v>
      </c>
      <c r="AP105" s="94">
        <v>0</v>
      </c>
    </row>
    <row r="106" spans="1:42" ht="15">
      <c r="A106" s="7" t="s">
        <v>16</v>
      </c>
      <c r="B106" s="9" t="s">
        <v>134</v>
      </c>
      <c r="C106" s="6">
        <v>1</v>
      </c>
      <c r="D106" s="46">
        <v>46146</v>
      </c>
      <c r="E106" s="46">
        <v>46157</v>
      </c>
      <c r="F106" s="34" t="s">
        <v>40</v>
      </c>
      <c r="G106" s="34" t="s">
        <v>219</v>
      </c>
      <c r="H106" s="82">
        <v>0</v>
      </c>
      <c r="I106" s="47">
        <v>46198</v>
      </c>
      <c r="J106" s="47">
        <v>46211</v>
      </c>
      <c r="K106" s="13" t="s">
        <v>40</v>
      </c>
      <c r="L106" s="128" t="s">
        <v>218</v>
      </c>
      <c r="M106" s="84">
        <v>0</v>
      </c>
      <c r="N106" s="229">
        <v>46198</v>
      </c>
      <c r="O106" s="229">
        <v>46211</v>
      </c>
      <c r="P106" s="24" t="s">
        <v>40</v>
      </c>
      <c r="Q106" s="271" t="s">
        <v>218</v>
      </c>
      <c r="R106" s="386"/>
      <c r="S106" s="48">
        <v>46209</v>
      </c>
      <c r="T106" s="48">
        <v>46218</v>
      </c>
      <c r="U106" s="16" t="s">
        <v>40</v>
      </c>
      <c r="V106" s="65" t="s">
        <v>218</v>
      </c>
      <c r="W106" s="86">
        <v>0</v>
      </c>
      <c r="X106" s="52">
        <v>46218</v>
      </c>
      <c r="Y106" s="52">
        <v>46222</v>
      </c>
      <c r="Z106" s="18" t="s">
        <v>40</v>
      </c>
      <c r="AA106" s="132" t="s">
        <v>218</v>
      </c>
      <c r="AB106" s="89">
        <v>0</v>
      </c>
      <c r="AC106" s="51">
        <v>46233</v>
      </c>
      <c r="AD106" s="51">
        <v>46242</v>
      </c>
      <c r="AE106" s="22" t="s">
        <v>40</v>
      </c>
      <c r="AF106" s="119" t="s">
        <v>218</v>
      </c>
      <c r="AG106" s="91">
        <v>0</v>
      </c>
      <c r="AH106" s="50">
        <v>46243</v>
      </c>
      <c r="AI106" s="50">
        <v>46250</v>
      </c>
      <c r="AJ106" s="19" t="s">
        <v>165</v>
      </c>
      <c r="AK106" s="102" t="s">
        <v>190</v>
      </c>
      <c r="AL106" s="93">
        <v>0</v>
      </c>
      <c r="AM106" s="49">
        <v>46337</v>
      </c>
      <c r="AN106" s="49">
        <v>46343</v>
      </c>
      <c r="AO106" s="24" t="s">
        <v>40</v>
      </c>
      <c r="AP106" s="94">
        <v>0</v>
      </c>
    </row>
    <row r="107" spans="1:42" ht="15">
      <c r="A107" s="7" t="s">
        <v>16</v>
      </c>
      <c r="B107" s="9" t="s">
        <v>135</v>
      </c>
      <c r="C107" s="6">
        <v>1</v>
      </c>
      <c r="D107" s="46">
        <v>46146</v>
      </c>
      <c r="E107" s="46">
        <v>46157</v>
      </c>
      <c r="F107" s="34" t="s">
        <v>40</v>
      </c>
      <c r="G107" s="34" t="s">
        <v>219</v>
      </c>
      <c r="H107" s="82">
        <v>0</v>
      </c>
      <c r="I107" s="47">
        <v>46198</v>
      </c>
      <c r="J107" s="47">
        <v>46211</v>
      </c>
      <c r="K107" s="13" t="s">
        <v>40</v>
      </c>
      <c r="L107" s="128" t="s">
        <v>218</v>
      </c>
      <c r="M107" s="84">
        <v>0</v>
      </c>
      <c r="N107" s="229">
        <v>46198</v>
      </c>
      <c r="O107" s="229">
        <v>46211</v>
      </c>
      <c r="P107" s="24" t="s">
        <v>40</v>
      </c>
      <c r="Q107" s="271" t="s">
        <v>218</v>
      </c>
      <c r="R107" s="386"/>
      <c r="S107" s="48">
        <v>46209</v>
      </c>
      <c r="T107" s="48">
        <v>46218</v>
      </c>
      <c r="U107" s="16" t="s">
        <v>40</v>
      </c>
      <c r="V107" s="65" t="s">
        <v>218</v>
      </c>
      <c r="W107" s="86">
        <v>0</v>
      </c>
      <c r="X107" s="52">
        <v>46218</v>
      </c>
      <c r="Y107" s="52">
        <v>46222</v>
      </c>
      <c r="Z107" s="18" t="s">
        <v>40</v>
      </c>
      <c r="AA107" s="132" t="s">
        <v>218</v>
      </c>
      <c r="AB107" s="89">
        <v>0</v>
      </c>
      <c r="AC107" s="51">
        <v>46233</v>
      </c>
      <c r="AD107" s="51">
        <v>46242</v>
      </c>
      <c r="AE107" s="22" t="s">
        <v>40</v>
      </c>
      <c r="AF107" s="119" t="s">
        <v>218</v>
      </c>
      <c r="AG107" s="91">
        <v>0</v>
      </c>
      <c r="AH107" s="50">
        <v>46243</v>
      </c>
      <c r="AI107" s="50">
        <v>46250</v>
      </c>
      <c r="AJ107" s="19" t="s">
        <v>165</v>
      </c>
      <c r="AK107" s="102" t="s">
        <v>190</v>
      </c>
      <c r="AL107" s="93">
        <v>0</v>
      </c>
      <c r="AM107" s="49">
        <v>46337</v>
      </c>
      <c r="AN107" s="49">
        <v>46343</v>
      </c>
      <c r="AO107" s="24" t="s">
        <v>40</v>
      </c>
      <c r="AP107" s="94">
        <v>0</v>
      </c>
    </row>
    <row r="108" spans="1:42" ht="15">
      <c r="A108" s="7" t="s">
        <v>16</v>
      </c>
      <c r="B108" s="9" t="s">
        <v>136</v>
      </c>
      <c r="C108" s="6">
        <v>1</v>
      </c>
      <c r="D108" s="46">
        <v>46146</v>
      </c>
      <c r="E108" s="46">
        <v>46157</v>
      </c>
      <c r="F108" s="34" t="s">
        <v>40</v>
      </c>
      <c r="G108" s="34" t="s">
        <v>219</v>
      </c>
      <c r="H108" s="82">
        <v>0</v>
      </c>
      <c r="I108" s="47">
        <v>46198</v>
      </c>
      <c r="J108" s="47">
        <v>46211</v>
      </c>
      <c r="K108" s="13" t="s">
        <v>40</v>
      </c>
      <c r="L108" s="128" t="s">
        <v>218</v>
      </c>
      <c r="M108" s="84">
        <v>0</v>
      </c>
      <c r="N108" s="229">
        <v>46198</v>
      </c>
      <c r="O108" s="229">
        <v>46211</v>
      </c>
      <c r="P108" s="24" t="s">
        <v>40</v>
      </c>
      <c r="Q108" s="271" t="s">
        <v>218</v>
      </c>
      <c r="R108" s="386"/>
      <c r="S108" s="48">
        <v>46209</v>
      </c>
      <c r="T108" s="48">
        <v>46218</v>
      </c>
      <c r="U108" s="16" t="s">
        <v>40</v>
      </c>
      <c r="V108" s="65" t="s">
        <v>218</v>
      </c>
      <c r="W108" s="86">
        <v>0</v>
      </c>
      <c r="X108" s="52">
        <v>46218</v>
      </c>
      <c r="Y108" s="52">
        <v>46222</v>
      </c>
      <c r="Z108" s="18" t="s">
        <v>40</v>
      </c>
      <c r="AA108" s="132" t="s">
        <v>218</v>
      </c>
      <c r="AB108" s="89">
        <v>0</v>
      </c>
      <c r="AC108" s="51">
        <v>46233</v>
      </c>
      <c r="AD108" s="51">
        <v>46242</v>
      </c>
      <c r="AE108" s="22" t="s">
        <v>40</v>
      </c>
      <c r="AF108" s="119" t="s">
        <v>218</v>
      </c>
      <c r="AG108" s="91">
        <v>0</v>
      </c>
      <c r="AH108" s="50">
        <v>46243</v>
      </c>
      <c r="AI108" s="50">
        <v>46250</v>
      </c>
      <c r="AJ108" s="19" t="s">
        <v>165</v>
      </c>
      <c r="AK108" s="102" t="s">
        <v>190</v>
      </c>
      <c r="AL108" s="93">
        <v>0</v>
      </c>
      <c r="AM108" s="49">
        <v>46337</v>
      </c>
      <c r="AN108" s="49">
        <v>46343</v>
      </c>
      <c r="AO108" s="24" t="s">
        <v>40</v>
      </c>
      <c r="AP108" s="94">
        <v>0</v>
      </c>
    </row>
    <row r="109" spans="1:42" ht="15">
      <c r="A109" s="7" t="s">
        <v>16</v>
      </c>
      <c r="B109" s="9" t="s">
        <v>137</v>
      </c>
      <c r="C109" s="6">
        <v>1</v>
      </c>
      <c r="D109" s="46">
        <v>46146</v>
      </c>
      <c r="E109" s="46">
        <v>46157</v>
      </c>
      <c r="F109" s="34" t="s">
        <v>40</v>
      </c>
      <c r="G109" s="34" t="s">
        <v>219</v>
      </c>
      <c r="H109" s="82">
        <v>0</v>
      </c>
      <c r="I109" s="47">
        <v>46198</v>
      </c>
      <c r="J109" s="47">
        <v>46211</v>
      </c>
      <c r="K109" s="13" t="s">
        <v>40</v>
      </c>
      <c r="L109" s="128" t="s">
        <v>218</v>
      </c>
      <c r="M109" s="84">
        <v>0</v>
      </c>
      <c r="N109" s="229">
        <v>46198</v>
      </c>
      <c r="O109" s="229">
        <v>46211</v>
      </c>
      <c r="P109" s="24" t="s">
        <v>40</v>
      </c>
      <c r="Q109" s="271" t="s">
        <v>218</v>
      </c>
      <c r="R109" s="386"/>
      <c r="S109" s="48">
        <v>46209</v>
      </c>
      <c r="T109" s="48">
        <v>46218</v>
      </c>
      <c r="U109" s="16" t="s">
        <v>40</v>
      </c>
      <c r="V109" s="65" t="s">
        <v>218</v>
      </c>
      <c r="W109" s="86">
        <v>0</v>
      </c>
      <c r="X109" s="52">
        <v>46218</v>
      </c>
      <c r="Y109" s="52">
        <v>46222</v>
      </c>
      <c r="Z109" s="18" t="s">
        <v>40</v>
      </c>
      <c r="AA109" s="132" t="s">
        <v>218</v>
      </c>
      <c r="AB109" s="89">
        <v>0</v>
      </c>
      <c r="AC109" s="51">
        <v>46233</v>
      </c>
      <c r="AD109" s="51">
        <v>46242</v>
      </c>
      <c r="AE109" s="22" t="s">
        <v>40</v>
      </c>
      <c r="AF109" s="119" t="s">
        <v>218</v>
      </c>
      <c r="AG109" s="91">
        <v>0</v>
      </c>
      <c r="AH109" s="50">
        <v>46243</v>
      </c>
      <c r="AI109" s="50">
        <v>46250</v>
      </c>
      <c r="AJ109" s="19" t="s">
        <v>165</v>
      </c>
      <c r="AK109" s="102" t="s">
        <v>190</v>
      </c>
      <c r="AL109" s="93">
        <v>0</v>
      </c>
      <c r="AM109" s="49">
        <v>46337</v>
      </c>
      <c r="AN109" s="49">
        <v>46343</v>
      </c>
      <c r="AO109" s="24" t="s">
        <v>40</v>
      </c>
      <c r="AP109" s="94">
        <v>0</v>
      </c>
    </row>
    <row r="110" spans="1:42" ht="15">
      <c r="A110" s="7" t="s">
        <v>16</v>
      </c>
      <c r="B110" s="9" t="s">
        <v>138</v>
      </c>
      <c r="C110" s="6">
        <v>1</v>
      </c>
      <c r="D110" s="46">
        <v>46146</v>
      </c>
      <c r="E110" s="46">
        <v>46157</v>
      </c>
      <c r="F110" s="34" t="s">
        <v>40</v>
      </c>
      <c r="G110" s="34" t="s">
        <v>219</v>
      </c>
      <c r="H110" s="82">
        <v>0</v>
      </c>
      <c r="I110" s="47">
        <v>46198</v>
      </c>
      <c r="J110" s="47">
        <v>46211</v>
      </c>
      <c r="K110" s="13" t="s">
        <v>40</v>
      </c>
      <c r="L110" s="128" t="s">
        <v>218</v>
      </c>
      <c r="M110" s="84">
        <v>0</v>
      </c>
      <c r="N110" s="229">
        <v>46198</v>
      </c>
      <c r="O110" s="229">
        <v>46211</v>
      </c>
      <c r="P110" s="24" t="s">
        <v>40</v>
      </c>
      <c r="Q110" s="271" t="s">
        <v>218</v>
      </c>
      <c r="R110" s="386"/>
      <c r="S110" s="48">
        <v>46209</v>
      </c>
      <c r="T110" s="48">
        <v>46218</v>
      </c>
      <c r="U110" s="16" t="s">
        <v>40</v>
      </c>
      <c r="V110" s="65" t="s">
        <v>218</v>
      </c>
      <c r="W110" s="86">
        <v>0</v>
      </c>
      <c r="X110" s="52">
        <v>46218</v>
      </c>
      <c r="Y110" s="52">
        <v>46222</v>
      </c>
      <c r="Z110" s="18" t="s">
        <v>40</v>
      </c>
      <c r="AA110" s="132" t="s">
        <v>218</v>
      </c>
      <c r="AB110" s="89">
        <v>0</v>
      </c>
      <c r="AC110" s="51">
        <v>46233</v>
      </c>
      <c r="AD110" s="51">
        <v>46242</v>
      </c>
      <c r="AE110" s="22" t="s">
        <v>40</v>
      </c>
      <c r="AF110" s="119" t="s">
        <v>218</v>
      </c>
      <c r="AG110" s="91">
        <v>0</v>
      </c>
      <c r="AH110" s="50">
        <v>46243</v>
      </c>
      <c r="AI110" s="50">
        <v>46250</v>
      </c>
      <c r="AJ110" s="19" t="s">
        <v>165</v>
      </c>
      <c r="AK110" s="102" t="s">
        <v>190</v>
      </c>
      <c r="AL110" s="93">
        <v>0</v>
      </c>
      <c r="AM110" s="49">
        <v>46337</v>
      </c>
      <c r="AN110" s="49">
        <v>46343</v>
      </c>
      <c r="AO110" s="24" t="s">
        <v>40</v>
      </c>
      <c r="AP110" s="94">
        <v>0</v>
      </c>
    </row>
    <row r="111" spans="1:42" ht="15">
      <c r="A111" s="7" t="s">
        <v>16</v>
      </c>
      <c r="B111" s="9" t="s">
        <v>139</v>
      </c>
      <c r="C111" s="6">
        <v>1</v>
      </c>
      <c r="D111" s="46">
        <v>46146</v>
      </c>
      <c r="E111" s="46">
        <v>46157</v>
      </c>
      <c r="F111" s="34" t="s">
        <v>40</v>
      </c>
      <c r="G111" s="34" t="s">
        <v>219</v>
      </c>
      <c r="H111" s="82">
        <v>0</v>
      </c>
      <c r="I111" s="47">
        <v>46198</v>
      </c>
      <c r="J111" s="47">
        <v>46211</v>
      </c>
      <c r="K111" s="13" t="s">
        <v>40</v>
      </c>
      <c r="L111" s="128" t="s">
        <v>218</v>
      </c>
      <c r="M111" s="84">
        <v>0</v>
      </c>
      <c r="N111" s="229">
        <v>46198</v>
      </c>
      <c r="O111" s="229">
        <v>46211</v>
      </c>
      <c r="P111" s="24" t="s">
        <v>40</v>
      </c>
      <c r="Q111" s="271" t="s">
        <v>218</v>
      </c>
      <c r="R111" s="386"/>
      <c r="S111" s="48">
        <v>46209</v>
      </c>
      <c r="T111" s="48">
        <v>46218</v>
      </c>
      <c r="U111" s="16" t="s">
        <v>40</v>
      </c>
      <c r="V111" s="65" t="s">
        <v>218</v>
      </c>
      <c r="W111" s="86">
        <v>0</v>
      </c>
      <c r="X111" s="52">
        <v>46218</v>
      </c>
      <c r="Y111" s="52">
        <v>46222</v>
      </c>
      <c r="Z111" s="18" t="s">
        <v>40</v>
      </c>
      <c r="AA111" s="132" t="s">
        <v>218</v>
      </c>
      <c r="AB111" s="89">
        <v>0</v>
      </c>
      <c r="AC111" s="51">
        <v>46233</v>
      </c>
      <c r="AD111" s="51">
        <v>46242</v>
      </c>
      <c r="AE111" s="22" t="s">
        <v>40</v>
      </c>
      <c r="AF111" s="119" t="s">
        <v>218</v>
      </c>
      <c r="AG111" s="91">
        <v>0</v>
      </c>
      <c r="AH111" s="50">
        <v>46243</v>
      </c>
      <c r="AI111" s="50">
        <v>46250</v>
      </c>
      <c r="AJ111" s="19" t="s">
        <v>165</v>
      </c>
      <c r="AK111" s="102" t="s">
        <v>190</v>
      </c>
      <c r="AL111" s="93">
        <v>0</v>
      </c>
      <c r="AM111" s="49">
        <v>46337</v>
      </c>
      <c r="AN111" s="49">
        <v>46343</v>
      </c>
      <c r="AO111" s="24" t="s">
        <v>40</v>
      </c>
      <c r="AP111" s="94">
        <v>0</v>
      </c>
    </row>
    <row r="112" spans="1:42" ht="15">
      <c r="A112" s="7" t="s">
        <v>16</v>
      </c>
      <c r="B112" s="9" t="s">
        <v>140</v>
      </c>
      <c r="C112" s="6">
        <v>1</v>
      </c>
      <c r="D112" s="46">
        <v>46146</v>
      </c>
      <c r="E112" s="46">
        <v>46157</v>
      </c>
      <c r="F112" s="34" t="s">
        <v>40</v>
      </c>
      <c r="G112" s="34" t="s">
        <v>219</v>
      </c>
      <c r="H112" s="82">
        <v>0</v>
      </c>
      <c r="I112" s="47">
        <v>46198</v>
      </c>
      <c r="J112" s="47">
        <v>46211</v>
      </c>
      <c r="K112" s="13" t="s">
        <v>40</v>
      </c>
      <c r="L112" s="128" t="s">
        <v>218</v>
      </c>
      <c r="M112" s="84">
        <v>0</v>
      </c>
      <c r="N112" s="229">
        <v>46198</v>
      </c>
      <c r="O112" s="229">
        <v>46211</v>
      </c>
      <c r="P112" s="24" t="s">
        <v>40</v>
      </c>
      <c r="Q112" s="271" t="s">
        <v>218</v>
      </c>
      <c r="R112" s="386"/>
      <c r="S112" s="48">
        <v>46209</v>
      </c>
      <c r="T112" s="48">
        <v>46218</v>
      </c>
      <c r="U112" s="16" t="s">
        <v>40</v>
      </c>
      <c r="V112" s="65" t="s">
        <v>218</v>
      </c>
      <c r="W112" s="86">
        <v>0</v>
      </c>
      <c r="X112" s="52">
        <v>46218</v>
      </c>
      <c r="Y112" s="52">
        <v>46222</v>
      </c>
      <c r="Z112" s="18" t="s">
        <v>40</v>
      </c>
      <c r="AA112" s="132" t="s">
        <v>218</v>
      </c>
      <c r="AB112" s="89">
        <v>0</v>
      </c>
      <c r="AC112" s="51">
        <v>46233</v>
      </c>
      <c r="AD112" s="51">
        <v>46242</v>
      </c>
      <c r="AE112" s="22" t="s">
        <v>40</v>
      </c>
      <c r="AF112" s="119" t="s">
        <v>218</v>
      </c>
      <c r="AG112" s="91">
        <v>0</v>
      </c>
      <c r="AH112" s="50">
        <v>46243</v>
      </c>
      <c r="AI112" s="50">
        <v>46250</v>
      </c>
      <c r="AJ112" s="19" t="s">
        <v>165</v>
      </c>
      <c r="AK112" s="102" t="s">
        <v>190</v>
      </c>
      <c r="AL112" s="93">
        <v>0</v>
      </c>
      <c r="AM112" s="49">
        <v>46337</v>
      </c>
      <c r="AN112" s="49">
        <v>46343</v>
      </c>
      <c r="AO112" s="24" t="s">
        <v>40</v>
      </c>
      <c r="AP112" s="94">
        <v>0</v>
      </c>
    </row>
    <row r="113" spans="1:42" ht="15">
      <c r="A113" s="7" t="s">
        <v>16</v>
      </c>
      <c r="B113" s="9" t="s">
        <v>141</v>
      </c>
      <c r="C113" s="6">
        <v>1</v>
      </c>
      <c r="D113" s="46">
        <v>46146</v>
      </c>
      <c r="E113" s="46">
        <v>46157</v>
      </c>
      <c r="F113" s="34" t="s">
        <v>40</v>
      </c>
      <c r="G113" s="34" t="s">
        <v>219</v>
      </c>
      <c r="H113" s="82">
        <v>0</v>
      </c>
      <c r="I113" s="47">
        <v>46198</v>
      </c>
      <c r="J113" s="47">
        <v>46211</v>
      </c>
      <c r="K113" s="13" t="s">
        <v>40</v>
      </c>
      <c r="L113" s="128" t="s">
        <v>218</v>
      </c>
      <c r="M113" s="84">
        <v>0</v>
      </c>
      <c r="N113" s="229">
        <v>46198</v>
      </c>
      <c r="O113" s="229">
        <v>46211</v>
      </c>
      <c r="P113" s="24" t="s">
        <v>40</v>
      </c>
      <c r="Q113" s="271" t="s">
        <v>218</v>
      </c>
      <c r="R113" s="386"/>
      <c r="S113" s="48">
        <v>46209</v>
      </c>
      <c r="T113" s="48">
        <v>46218</v>
      </c>
      <c r="U113" s="16" t="s">
        <v>40</v>
      </c>
      <c r="V113" s="65" t="s">
        <v>218</v>
      </c>
      <c r="W113" s="86">
        <v>0</v>
      </c>
      <c r="X113" s="52">
        <v>46218</v>
      </c>
      <c r="Y113" s="52">
        <v>46222</v>
      </c>
      <c r="Z113" s="18" t="s">
        <v>40</v>
      </c>
      <c r="AA113" s="132" t="s">
        <v>218</v>
      </c>
      <c r="AB113" s="89">
        <v>0</v>
      </c>
      <c r="AC113" s="51">
        <v>46233</v>
      </c>
      <c r="AD113" s="51">
        <v>46242</v>
      </c>
      <c r="AE113" s="22" t="s">
        <v>40</v>
      </c>
      <c r="AF113" s="119" t="s">
        <v>218</v>
      </c>
      <c r="AG113" s="91">
        <v>0</v>
      </c>
      <c r="AH113" s="50">
        <v>46243</v>
      </c>
      <c r="AI113" s="50">
        <v>46250</v>
      </c>
      <c r="AJ113" s="19" t="s">
        <v>165</v>
      </c>
      <c r="AK113" s="102" t="s">
        <v>190</v>
      </c>
      <c r="AL113" s="93">
        <v>0</v>
      </c>
      <c r="AM113" s="49">
        <v>46337</v>
      </c>
      <c r="AN113" s="49">
        <v>46343</v>
      </c>
      <c r="AO113" s="24" t="s">
        <v>40</v>
      </c>
      <c r="AP113" s="94">
        <v>0</v>
      </c>
    </row>
    <row r="114" spans="1:42" ht="15">
      <c r="A114" s="7" t="s">
        <v>16</v>
      </c>
      <c r="B114" s="9" t="s">
        <v>142</v>
      </c>
      <c r="C114" s="6">
        <v>1</v>
      </c>
      <c r="D114" s="46">
        <v>46146</v>
      </c>
      <c r="E114" s="46">
        <v>46157</v>
      </c>
      <c r="F114" s="34" t="s">
        <v>40</v>
      </c>
      <c r="G114" s="34" t="s">
        <v>219</v>
      </c>
      <c r="H114" s="82">
        <v>0</v>
      </c>
      <c r="I114" s="47">
        <v>46198</v>
      </c>
      <c r="J114" s="47">
        <v>46211</v>
      </c>
      <c r="K114" s="13" t="s">
        <v>40</v>
      </c>
      <c r="L114" s="128" t="s">
        <v>218</v>
      </c>
      <c r="M114" s="84">
        <v>0</v>
      </c>
      <c r="N114" s="229">
        <v>46198</v>
      </c>
      <c r="O114" s="229">
        <v>46211</v>
      </c>
      <c r="P114" s="24" t="s">
        <v>40</v>
      </c>
      <c r="Q114" s="271" t="s">
        <v>218</v>
      </c>
      <c r="R114" s="386"/>
      <c r="S114" s="48">
        <v>46209</v>
      </c>
      <c r="T114" s="48">
        <v>46218</v>
      </c>
      <c r="U114" s="16" t="s">
        <v>40</v>
      </c>
      <c r="V114" s="65" t="s">
        <v>218</v>
      </c>
      <c r="W114" s="86">
        <v>0</v>
      </c>
      <c r="X114" s="52">
        <v>46218</v>
      </c>
      <c r="Y114" s="52">
        <v>46222</v>
      </c>
      <c r="Z114" s="18" t="s">
        <v>40</v>
      </c>
      <c r="AA114" s="132" t="s">
        <v>218</v>
      </c>
      <c r="AB114" s="89">
        <v>0</v>
      </c>
      <c r="AC114" s="51">
        <v>46233</v>
      </c>
      <c r="AD114" s="51">
        <v>46242</v>
      </c>
      <c r="AE114" s="22" t="s">
        <v>40</v>
      </c>
      <c r="AF114" s="119" t="s">
        <v>218</v>
      </c>
      <c r="AG114" s="91">
        <v>0</v>
      </c>
      <c r="AH114" s="50">
        <v>46243</v>
      </c>
      <c r="AI114" s="50">
        <v>46250</v>
      </c>
      <c r="AJ114" s="19" t="s">
        <v>165</v>
      </c>
      <c r="AK114" s="102" t="s">
        <v>190</v>
      </c>
      <c r="AL114" s="93">
        <v>0</v>
      </c>
      <c r="AM114" s="49">
        <v>46337</v>
      </c>
      <c r="AN114" s="49">
        <v>46343</v>
      </c>
      <c r="AO114" s="24" t="s">
        <v>40</v>
      </c>
      <c r="AP114" s="94">
        <v>0</v>
      </c>
    </row>
    <row r="115" spans="1:42" ht="15">
      <c r="A115" s="7" t="s">
        <v>16</v>
      </c>
      <c r="B115" s="9" t="s">
        <v>143</v>
      </c>
      <c r="C115" s="6">
        <v>1</v>
      </c>
      <c r="D115" s="46">
        <v>46146</v>
      </c>
      <c r="E115" s="46">
        <v>46157</v>
      </c>
      <c r="F115" s="34" t="s">
        <v>40</v>
      </c>
      <c r="G115" s="34" t="s">
        <v>219</v>
      </c>
      <c r="H115" s="82">
        <v>0</v>
      </c>
      <c r="I115" s="47">
        <v>46198</v>
      </c>
      <c r="J115" s="47">
        <v>46211</v>
      </c>
      <c r="K115" s="13" t="s">
        <v>40</v>
      </c>
      <c r="L115" s="128" t="s">
        <v>218</v>
      </c>
      <c r="M115" s="84">
        <v>0</v>
      </c>
      <c r="N115" s="229">
        <v>46198</v>
      </c>
      <c r="O115" s="229">
        <v>46211</v>
      </c>
      <c r="P115" s="24" t="s">
        <v>40</v>
      </c>
      <c r="Q115" s="271" t="s">
        <v>218</v>
      </c>
      <c r="R115" s="386"/>
      <c r="S115" s="48">
        <v>46209</v>
      </c>
      <c r="T115" s="48">
        <v>46218</v>
      </c>
      <c r="U115" s="16" t="s">
        <v>40</v>
      </c>
      <c r="V115" s="65" t="s">
        <v>218</v>
      </c>
      <c r="W115" s="86">
        <v>0</v>
      </c>
      <c r="X115" s="52">
        <v>46218</v>
      </c>
      <c r="Y115" s="52">
        <v>46222</v>
      </c>
      <c r="Z115" s="18" t="s">
        <v>40</v>
      </c>
      <c r="AA115" s="132" t="s">
        <v>218</v>
      </c>
      <c r="AB115" s="89">
        <v>0</v>
      </c>
      <c r="AC115" s="51">
        <v>46233</v>
      </c>
      <c r="AD115" s="51">
        <v>46242</v>
      </c>
      <c r="AE115" s="22" t="s">
        <v>40</v>
      </c>
      <c r="AF115" s="119" t="s">
        <v>218</v>
      </c>
      <c r="AG115" s="91">
        <v>0</v>
      </c>
      <c r="AH115" s="50">
        <v>46243</v>
      </c>
      <c r="AI115" s="50">
        <v>46250</v>
      </c>
      <c r="AJ115" s="19" t="s">
        <v>165</v>
      </c>
      <c r="AK115" s="102" t="s">
        <v>190</v>
      </c>
      <c r="AL115" s="93">
        <v>0</v>
      </c>
      <c r="AM115" s="49">
        <v>46337</v>
      </c>
      <c r="AN115" s="49">
        <v>46343</v>
      </c>
      <c r="AO115" s="24" t="s">
        <v>40</v>
      </c>
      <c r="AP115" s="94">
        <v>0</v>
      </c>
    </row>
    <row r="116" spans="1:42" ht="15">
      <c r="A116" s="7" t="s">
        <v>16</v>
      </c>
      <c r="B116" s="9" t="s">
        <v>144</v>
      </c>
      <c r="C116" s="6">
        <v>1</v>
      </c>
      <c r="D116" s="46">
        <v>46146</v>
      </c>
      <c r="E116" s="46">
        <v>46157</v>
      </c>
      <c r="F116" s="34" t="s">
        <v>40</v>
      </c>
      <c r="G116" s="34" t="s">
        <v>219</v>
      </c>
      <c r="H116" s="82">
        <v>0</v>
      </c>
      <c r="I116" s="47">
        <v>46198</v>
      </c>
      <c r="J116" s="47">
        <v>46211</v>
      </c>
      <c r="K116" s="13" t="s">
        <v>40</v>
      </c>
      <c r="L116" s="128" t="s">
        <v>218</v>
      </c>
      <c r="M116" s="84">
        <v>0</v>
      </c>
      <c r="N116" s="229">
        <v>46198</v>
      </c>
      <c r="O116" s="229">
        <v>46211</v>
      </c>
      <c r="P116" s="24" t="s">
        <v>40</v>
      </c>
      <c r="Q116" s="271" t="s">
        <v>218</v>
      </c>
      <c r="R116" s="386"/>
      <c r="S116" s="48">
        <v>46209</v>
      </c>
      <c r="T116" s="48">
        <v>46218</v>
      </c>
      <c r="U116" s="16" t="s">
        <v>40</v>
      </c>
      <c r="V116" s="65" t="s">
        <v>218</v>
      </c>
      <c r="W116" s="86">
        <v>0</v>
      </c>
      <c r="X116" s="52">
        <v>46218</v>
      </c>
      <c r="Y116" s="52">
        <v>46222</v>
      </c>
      <c r="Z116" s="18" t="s">
        <v>40</v>
      </c>
      <c r="AA116" s="132" t="s">
        <v>218</v>
      </c>
      <c r="AB116" s="89">
        <v>0</v>
      </c>
      <c r="AC116" s="51">
        <v>46233</v>
      </c>
      <c r="AD116" s="51">
        <v>46242</v>
      </c>
      <c r="AE116" s="22" t="s">
        <v>40</v>
      </c>
      <c r="AF116" s="119" t="s">
        <v>218</v>
      </c>
      <c r="AG116" s="91">
        <v>0</v>
      </c>
      <c r="AH116" s="50">
        <v>46243</v>
      </c>
      <c r="AI116" s="50">
        <v>46250</v>
      </c>
      <c r="AJ116" s="19" t="s">
        <v>165</v>
      </c>
      <c r="AK116" s="102" t="s">
        <v>190</v>
      </c>
      <c r="AL116" s="93">
        <v>0</v>
      </c>
      <c r="AM116" s="49">
        <v>46337</v>
      </c>
      <c r="AN116" s="49">
        <v>46343</v>
      </c>
      <c r="AO116" s="24" t="s">
        <v>40</v>
      </c>
      <c r="AP116" s="94">
        <v>0</v>
      </c>
    </row>
    <row r="117" spans="1:42" ht="15">
      <c r="A117" s="7" t="s">
        <v>16</v>
      </c>
      <c r="B117" s="9" t="s">
        <v>145</v>
      </c>
      <c r="C117" s="6">
        <v>1</v>
      </c>
      <c r="D117" s="46">
        <v>46146</v>
      </c>
      <c r="E117" s="46">
        <v>46157</v>
      </c>
      <c r="F117" s="34" t="s">
        <v>40</v>
      </c>
      <c r="G117" s="34" t="s">
        <v>219</v>
      </c>
      <c r="H117" s="82">
        <v>0</v>
      </c>
      <c r="I117" s="47">
        <v>46198</v>
      </c>
      <c r="J117" s="47">
        <v>46211</v>
      </c>
      <c r="K117" s="13" t="s">
        <v>40</v>
      </c>
      <c r="L117" s="128" t="s">
        <v>218</v>
      </c>
      <c r="M117" s="84">
        <v>0</v>
      </c>
      <c r="N117" s="229">
        <v>46198</v>
      </c>
      <c r="O117" s="229">
        <v>46211</v>
      </c>
      <c r="P117" s="24" t="s">
        <v>40</v>
      </c>
      <c r="Q117" s="271" t="s">
        <v>218</v>
      </c>
      <c r="R117" s="386"/>
      <c r="S117" s="48">
        <v>46209</v>
      </c>
      <c r="T117" s="48">
        <v>46218</v>
      </c>
      <c r="U117" s="16" t="s">
        <v>40</v>
      </c>
      <c r="V117" s="65" t="s">
        <v>218</v>
      </c>
      <c r="W117" s="86">
        <v>0</v>
      </c>
      <c r="X117" s="52">
        <v>46218</v>
      </c>
      <c r="Y117" s="52">
        <v>46222</v>
      </c>
      <c r="Z117" s="18" t="s">
        <v>40</v>
      </c>
      <c r="AA117" s="132" t="s">
        <v>218</v>
      </c>
      <c r="AB117" s="89">
        <v>0</v>
      </c>
      <c r="AC117" s="51">
        <v>46233</v>
      </c>
      <c r="AD117" s="51">
        <v>46242</v>
      </c>
      <c r="AE117" s="22" t="s">
        <v>40</v>
      </c>
      <c r="AF117" s="119" t="s">
        <v>218</v>
      </c>
      <c r="AG117" s="91">
        <v>0</v>
      </c>
      <c r="AH117" s="50">
        <v>46243</v>
      </c>
      <c r="AI117" s="50">
        <v>46250</v>
      </c>
      <c r="AJ117" s="19" t="s">
        <v>165</v>
      </c>
      <c r="AK117" s="102" t="s">
        <v>190</v>
      </c>
      <c r="AL117" s="93">
        <v>0</v>
      </c>
      <c r="AM117" s="49">
        <v>46337</v>
      </c>
      <c r="AN117" s="49">
        <v>46343</v>
      </c>
      <c r="AO117" s="24" t="s">
        <v>40</v>
      </c>
      <c r="AP117" s="94">
        <v>0</v>
      </c>
    </row>
    <row r="118" spans="1:42" ht="15">
      <c r="A118" s="7" t="s">
        <v>16</v>
      </c>
      <c r="B118" s="9" t="s">
        <v>146</v>
      </c>
      <c r="C118" s="6">
        <v>1</v>
      </c>
      <c r="D118" s="46">
        <v>46146</v>
      </c>
      <c r="E118" s="46">
        <v>46157</v>
      </c>
      <c r="F118" s="34" t="s">
        <v>40</v>
      </c>
      <c r="G118" s="34" t="s">
        <v>219</v>
      </c>
      <c r="H118" s="82">
        <v>0</v>
      </c>
      <c r="I118" s="47">
        <v>46198</v>
      </c>
      <c r="J118" s="47">
        <v>46211</v>
      </c>
      <c r="K118" s="13" t="s">
        <v>40</v>
      </c>
      <c r="L118" s="128" t="s">
        <v>218</v>
      </c>
      <c r="M118" s="84">
        <v>0</v>
      </c>
      <c r="N118" s="229">
        <v>46198</v>
      </c>
      <c r="O118" s="229">
        <v>46211</v>
      </c>
      <c r="P118" s="24" t="s">
        <v>40</v>
      </c>
      <c r="Q118" s="271" t="s">
        <v>218</v>
      </c>
      <c r="R118" s="386"/>
      <c r="S118" s="48">
        <v>46209</v>
      </c>
      <c r="T118" s="48">
        <v>46218</v>
      </c>
      <c r="U118" s="16" t="s">
        <v>40</v>
      </c>
      <c r="V118" s="65" t="s">
        <v>218</v>
      </c>
      <c r="W118" s="86">
        <v>0</v>
      </c>
      <c r="X118" s="52">
        <v>46218</v>
      </c>
      <c r="Y118" s="52">
        <v>46222</v>
      </c>
      <c r="Z118" s="18" t="s">
        <v>40</v>
      </c>
      <c r="AA118" s="132" t="s">
        <v>218</v>
      </c>
      <c r="AB118" s="89">
        <v>0</v>
      </c>
      <c r="AC118" s="51">
        <v>46233</v>
      </c>
      <c r="AD118" s="51">
        <v>46242</v>
      </c>
      <c r="AE118" s="22" t="s">
        <v>40</v>
      </c>
      <c r="AF118" s="119" t="s">
        <v>218</v>
      </c>
      <c r="AG118" s="91">
        <v>0</v>
      </c>
      <c r="AH118" s="50">
        <v>46243</v>
      </c>
      <c r="AI118" s="50">
        <v>46250</v>
      </c>
      <c r="AJ118" s="19" t="s">
        <v>165</v>
      </c>
      <c r="AK118" s="102" t="s">
        <v>190</v>
      </c>
      <c r="AL118" s="93">
        <v>0</v>
      </c>
      <c r="AM118" s="49">
        <v>46337</v>
      </c>
      <c r="AN118" s="49">
        <v>46343</v>
      </c>
      <c r="AO118" s="24" t="s">
        <v>40</v>
      </c>
      <c r="AP118" s="94">
        <v>0</v>
      </c>
    </row>
    <row r="119" spans="1:42" ht="15">
      <c r="A119" s="7" t="s">
        <v>16</v>
      </c>
      <c r="B119" s="9" t="s">
        <v>147</v>
      </c>
      <c r="C119" s="6">
        <v>1</v>
      </c>
      <c r="D119" s="46">
        <v>46146</v>
      </c>
      <c r="E119" s="46">
        <v>46157</v>
      </c>
      <c r="F119" s="34" t="s">
        <v>40</v>
      </c>
      <c r="G119" s="34" t="s">
        <v>219</v>
      </c>
      <c r="H119" s="82">
        <v>0</v>
      </c>
      <c r="I119" s="47">
        <v>46198</v>
      </c>
      <c r="J119" s="47">
        <v>46211</v>
      </c>
      <c r="K119" s="13" t="s">
        <v>40</v>
      </c>
      <c r="L119" s="128" t="s">
        <v>218</v>
      </c>
      <c r="M119" s="84">
        <v>0</v>
      </c>
      <c r="N119" s="229">
        <v>46198</v>
      </c>
      <c r="O119" s="229">
        <v>46211</v>
      </c>
      <c r="P119" s="24" t="s">
        <v>40</v>
      </c>
      <c r="Q119" s="271" t="s">
        <v>218</v>
      </c>
      <c r="R119" s="386"/>
      <c r="S119" s="48">
        <v>46209</v>
      </c>
      <c r="T119" s="48">
        <v>46218</v>
      </c>
      <c r="U119" s="16" t="s">
        <v>40</v>
      </c>
      <c r="V119" s="65" t="s">
        <v>218</v>
      </c>
      <c r="W119" s="86">
        <v>0</v>
      </c>
      <c r="X119" s="52">
        <v>46218</v>
      </c>
      <c r="Y119" s="52">
        <v>46222</v>
      </c>
      <c r="Z119" s="18" t="s">
        <v>40</v>
      </c>
      <c r="AA119" s="132" t="s">
        <v>218</v>
      </c>
      <c r="AB119" s="89">
        <v>0</v>
      </c>
      <c r="AC119" s="51">
        <v>46233</v>
      </c>
      <c r="AD119" s="51">
        <v>46242</v>
      </c>
      <c r="AE119" s="22" t="s">
        <v>40</v>
      </c>
      <c r="AF119" s="119" t="s">
        <v>218</v>
      </c>
      <c r="AG119" s="91">
        <v>0</v>
      </c>
      <c r="AH119" s="50">
        <v>46243</v>
      </c>
      <c r="AI119" s="50">
        <v>46250</v>
      </c>
      <c r="AJ119" s="19" t="s">
        <v>165</v>
      </c>
      <c r="AK119" s="102" t="s">
        <v>190</v>
      </c>
      <c r="AL119" s="93">
        <v>0</v>
      </c>
      <c r="AM119" s="49">
        <v>46337</v>
      </c>
      <c r="AN119" s="49">
        <v>46343</v>
      </c>
      <c r="AO119" s="24" t="s">
        <v>40</v>
      </c>
      <c r="AP119" s="94">
        <v>0</v>
      </c>
    </row>
    <row r="120" spans="1:42" ht="15">
      <c r="A120" s="7" t="s">
        <v>16</v>
      </c>
      <c r="B120" s="9" t="s">
        <v>148</v>
      </c>
      <c r="C120" s="6">
        <v>1</v>
      </c>
      <c r="D120" s="46">
        <v>46146</v>
      </c>
      <c r="E120" s="46">
        <v>46157</v>
      </c>
      <c r="F120" s="34" t="s">
        <v>40</v>
      </c>
      <c r="G120" s="34" t="s">
        <v>219</v>
      </c>
      <c r="H120" s="82">
        <v>0</v>
      </c>
      <c r="I120" s="47">
        <v>46198</v>
      </c>
      <c r="J120" s="47">
        <v>46211</v>
      </c>
      <c r="K120" s="13" t="s">
        <v>40</v>
      </c>
      <c r="L120" s="128" t="s">
        <v>218</v>
      </c>
      <c r="M120" s="84">
        <v>0</v>
      </c>
      <c r="N120" s="229">
        <v>46198</v>
      </c>
      <c r="O120" s="229">
        <v>46211</v>
      </c>
      <c r="P120" s="24" t="s">
        <v>40</v>
      </c>
      <c r="Q120" s="271" t="s">
        <v>218</v>
      </c>
      <c r="R120" s="386"/>
      <c r="S120" s="48">
        <v>46209</v>
      </c>
      <c r="T120" s="48">
        <v>46218</v>
      </c>
      <c r="U120" s="16" t="s">
        <v>40</v>
      </c>
      <c r="V120" s="65" t="s">
        <v>218</v>
      </c>
      <c r="W120" s="86">
        <v>0</v>
      </c>
      <c r="X120" s="52">
        <v>46218</v>
      </c>
      <c r="Y120" s="52">
        <v>46222</v>
      </c>
      <c r="Z120" s="18" t="s">
        <v>40</v>
      </c>
      <c r="AA120" s="132" t="s">
        <v>218</v>
      </c>
      <c r="AB120" s="89">
        <v>0</v>
      </c>
      <c r="AC120" s="51">
        <v>46233</v>
      </c>
      <c r="AD120" s="51">
        <v>46242</v>
      </c>
      <c r="AE120" s="22" t="s">
        <v>40</v>
      </c>
      <c r="AF120" s="119" t="s">
        <v>218</v>
      </c>
      <c r="AG120" s="91">
        <v>0</v>
      </c>
      <c r="AH120" s="50">
        <v>46243</v>
      </c>
      <c r="AI120" s="50">
        <v>46250</v>
      </c>
      <c r="AJ120" s="19" t="s">
        <v>165</v>
      </c>
      <c r="AK120" s="102" t="s">
        <v>190</v>
      </c>
      <c r="AL120" s="93">
        <v>0</v>
      </c>
      <c r="AM120" s="49">
        <v>46337</v>
      </c>
      <c r="AN120" s="49">
        <v>46343</v>
      </c>
      <c r="AO120" s="24" t="s">
        <v>40</v>
      </c>
      <c r="AP120" s="94">
        <v>0</v>
      </c>
    </row>
    <row r="121" spans="1:42" ht="15">
      <c r="A121" s="7" t="s">
        <v>16</v>
      </c>
      <c r="B121" s="9" t="s">
        <v>149</v>
      </c>
      <c r="C121" s="6">
        <v>1</v>
      </c>
      <c r="D121" s="46">
        <v>46146</v>
      </c>
      <c r="E121" s="46">
        <v>46157</v>
      </c>
      <c r="F121" s="34" t="s">
        <v>40</v>
      </c>
      <c r="G121" s="34" t="s">
        <v>219</v>
      </c>
      <c r="H121" s="82">
        <v>0</v>
      </c>
      <c r="I121" s="47">
        <v>46198</v>
      </c>
      <c r="J121" s="47">
        <v>46211</v>
      </c>
      <c r="K121" s="13" t="s">
        <v>40</v>
      </c>
      <c r="L121" s="128" t="s">
        <v>218</v>
      </c>
      <c r="M121" s="84">
        <v>0</v>
      </c>
      <c r="N121" s="229">
        <v>46198</v>
      </c>
      <c r="O121" s="229">
        <v>46211</v>
      </c>
      <c r="P121" s="24" t="s">
        <v>40</v>
      </c>
      <c r="Q121" s="271" t="s">
        <v>218</v>
      </c>
      <c r="R121" s="386"/>
      <c r="S121" s="48">
        <v>46209</v>
      </c>
      <c r="T121" s="48">
        <v>46218</v>
      </c>
      <c r="U121" s="16" t="s">
        <v>40</v>
      </c>
      <c r="V121" s="65" t="s">
        <v>218</v>
      </c>
      <c r="W121" s="86">
        <v>0</v>
      </c>
      <c r="X121" s="52">
        <v>46218</v>
      </c>
      <c r="Y121" s="52">
        <v>46222</v>
      </c>
      <c r="Z121" s="18" t="s">
        <v>40</v>
      </c>
      <c r="AA121" s="132" t="s">
        <v>218</v>
      </c>
      <c r="AB121" s="89">
        <v>0</v>
      </c>
      <c r="AC121" s="51">
        <v>46233</v>
      </c>
      <c r="AD121" s="51">
        <v>46242</v>
      </c>
      <c r="AE121" s="22" t="s">
        <v>40</v>
      </c>
      <c r="AF121" s="119" t="s">
        <v>218</v>
      </c>
      <c r="AG121" s="91">
        <v>0</v>
      </c>
      <c r="AH121" s="50">
        <v>46243</v>
      </c>
      <c r="AI121" s="50">
        <v>46250</v>
      </c>
      <c r="AJ121" s="19" t="s">
        <v>165</v>
      </c>
      <c r="AK121" s="102" t="s">
        <v>190</v>
      </c>
      <c r="AL121" s="93">
        <v>0</v>
      </c>
      <c r="AM121" s="49">
        <v>46337</v>
      </c>
      <c r="AN121" s="49">
        <v>46343</v>
      </c>
      <c r="AO121" s="24" t="s">
        <v>40</v>
      </c>
      <c r="AP121" s="94">
        <v>0</v>
      </c>
    </row>
    <row r="122" spans="1:42" ht="15">
      <c r="A122" s="7" t="s">
        <v>16</v>
      </c>
      <c r="B122" s="9" t="s">
        <v>150</v>
      </c>
      <c r="C122" s="6">
        <v>1</v>
      </c>
      <c r="D122" s="46">
        <v>46146</v>
      </c>
      <c r="E122" s="46">
        <v>46157</v>
      </c>
      <c r="F122" s="34" t="s">
        <v>40</v>
      </c>
      <c r="G122" s="34" t="s">
        <v>219</v>
      </c>
      <c r="H122" s="82">
        <v>0</v>
      </c>
      <c r="I122" s="47">
        <v>46198</v>
      </c>
      <c r="J122" s="47">
        <v>46211</v>
      </c>
      <c r="K122" s="13" t="s">
        <v>40</v>
      </c>
      <c r="L122" s="128" t="s">
        <v>218</v>
      </c>
      <c r="M122" s="84">
        <v>0</v>
      </c>
      <c r="N122" s="229">
        <v>46198</v>
      </c>
      <c r="O122" s="229">
        <v>46211</v>
      </c>
      <c r="P122" s="24" t="s">
        <v>40</v>
      </c>
      <c r="Q122" s="271" t="s">
        <v>218</v>
      </c>
      <c r="R122" s="386"/>
      <c r="S122" s="48">
        <v>46209</v>
      </c>
      <c r="T122" s="48">
        <v>46218</v>
      </c>
      <c r="U122" s="16" t="s">
        <v>40</v>
      </c>
      <c r="V122" s="65" t="s">
        <v>218</v>
      </c>
      <c r="W122" s="86">
        <v>0</v>
      </c>
      <c r="X122" s="52">
        <v>46218</v>
      </c>
      <c r="Y122" s="52">
        <v>46222</v>
      </c>
      <c r="Z122" s="18" t="s">
        <v>40</v>
      </c>
      <c r="AA122" s="132" t="s">
        <v>218</v>
      </c>
      <c r="AB122" s="89">
        <v>0</v>
      </c>
      <c r="AC122" s="51">
        <v>46233</v>
      </c>
      <c r="AD122" s="51">
        <v>46242</v>
      </c>
      <c r="AE122" s="22" t="s">
        <v>40</v>
      </c>
      <c r="AF122" s="119" t="s">
        <v>218</v>
      </c>
      <c r="AG122" s="91">
        <v>0</v>
      </c>
      <c r="AH122" s="50">
        <v>46243</v>
      </c>
      <c r="AI122" s="50">
        <v>46250</v>
      </c>
      <c r="AJ122" s="19" t="s">
        <v>165</v>
      </c>
      <c r="AK122" s="102" t="s">
        <v>190</v>
      </c>
      <c r="AL122" s="93">
        <v>0</v>
      </c>
      <c r="AM122" s="49">
        <v>46337</v>
      </c>
      <c r="AN122" s="49">
        <v>46343</v>
      </c>
      <c r="AO122" s="24" t="s">
        <v>40</v>
      </c>
      <c r="AP122" s="94">
        <v>0</v>
      </c>
    </row>
    <row r="123" spans="1:42" ht="15">
      <c r="A123" s="7" t="s">
        <v>16</v>
      </c>
      <c r="B123" s="9" t="s">
        <v>151</v>
      </c>
      <c r="C123" s="6">
        <v>1</v>
      </c>
      <c r="D123" s="46">
        <v>46146</v>
      </c>
      <c r="E123" s="46">
        <v>46157</v>
      </c>
      <c r="F123" s="34" t="s">
        <v>40</v>
      </c>
      <c r="G123" s="34" t="s">
        <v>219</v>
      </c>
      <c r="H123" s="82">
        <v>0</v>
      </c>
      <c r="I123" s="47">
        <v>46198</v>
      </c>
      <c r="J123" s="47">
        <v>46211</v>
      </c>
      <c r="K123" s="13" t="s">
        <v>40</v>
      </c>
      <c r="L123" s="128" t="s">
        <v>218</v>
      </c>
      <c r="M123" s="84">
        <v>0</v>
      </c>
      <c r="N123" s="229">
        <v>46198</v>
      </c>
      <c r="O123" s="229">
        <v>46211</v>
      </c>
      <c r="P123" s="24" t="s">
        <v>40</v>
      </c>
      <c r="Q123" s="271" t="s">
        <v>218</v>
      </c>
      <c r="R123" s="386"/>
      <c r="S123" s="48">
        <v>46209</v>
      </c>
      <c r="T123" s="48">
        <v>46218</v>
      </c>
      <c r="U123" s="16" t="s">
        <v>40</v>
      </c>
      <c r="V123" s="65" t="s">
        <v>218</v>
      </c>
      <c r="W123" s="86">
        <v>0</v>
      </c>
      <c r="X123" s="52">
        <v>46218</v>
      </c>
      <c r="Y123" s="52">
        <v>46222</v>
      </c>
      <c r="Z123" s="18" t="s">
        <v>40</v>
      </c>
      <c r="AA123" s="132" t="s">
        <v>218</v>
      </c>
      <c r="AB123" s="89">
        <v>0</v>
      </c>
      <c r="AC123" s="51">
        <v>46233</v>
      </c>
      <c r="AD123" s="51">
        <v>46242</v>
      </c>
      <c r="AE123" s="22" t="s">
        <v>40</v>
      </c>
      <c r="AF123" s="119" t="s">
        <v>218</v>
      </c>
      <c r="AG123" s="91">
        <v>0</v>
      </c>
      <c r="AH123" s="50">
        <v>46243</v>
      </c>
      <c r="AI123" s="50">
        <v>46250</v>
      </c>
      <c r="AJ123" s="19" t="s">
        <v>165</v>
      </c>
      <c r="AK123" s="102" t="s">
        <v>190</v>
      </c>
      <c r="AL123" s="93">
        <v>0</v>
      </c>
      <c r="AM123" s="49">
        <v>46337</v>
      </c>
      <c r="AN123" s="49">
        <v>46343</v>
      </c>
      <c r="AO123" s="24" t="s">
        <v>40</v>
      </c>
      <c r="AP123" s="94">
        <v>0</v>
      </c>
    </row>
    <row r="124" spans="1:42" ht="15">
      <c r="A124" s="7" t="s">
        <v>16</v>
      </c>
      <c r="B124" s="9" t="s">
        <v>152</v>
      </c>
      <c r="C124" s="6">
        <v>1</v>
      </c>
      <c r="D124" s="46">
        <v>46146</v>
      </c>
      <c r="E124" s="46">
        <v>46157</v>
      </c>
      <c r="F124" s="34" t="s">
        <v>40</v>
      </c>
      <c r="G124" s="34" t="s">
        <v>219</v>
      </c>
      <c r="H124" s="82">
        <v>0</v>
      </c>
      <c r="I124" s="47">
        <v>46198</v>
      </c>
      <c r="J124" s="47">
        <v>46211</v>
      </c>
      <c r="K124" s="13" t="s">
        <v>40</v>
      </c>
      <c r="L124" s="128" t="s">
        <v>218</v>
      </c>
      <c r="M124" s="84">
        <v>0</v>
      </c>
      <c r="N124" s="229">
        <v>46198</v>
      </c>
      <c r="O124" s="229">
        <v>46211</v>
      </c>
      <c r="P124" s="24" t="s">
        <v>40</v>
      </c>
      <c r="Q124" s="271" t="s">
        <v>218</v>
      </c>
      <c r="R124" s="386"/>
      <c r="S124" s="48">
        <v>46209</v>
      </c>
      <c r="T124" s="48">
        <v>46218</v>
      </c>
      <c r="U124" s="16" t="s">
        <v>40</v>
      </c>
      <c r="V124" s="65" t="s">
        <v>218</v>
      </c>
      <c r="W124" s="86">
        <v>0</v>
      </c>
      <c r="X124" s="52">
        <v>46218</v>
      </c>
      <c r="Y124" s="52">
        <v>46222</v>
      </c>
      <c r="Z124" s="18" t="s">
        <v>40</v>
      </c>
      <c r="AA124" s="132" t="s">
        <v>218</v>
      </c>
      <c r="AB124" s="89">
        <v>0</v>
      </c>
      <c r="AC124" s="51">
        <v>46233</v>
      </c>
      <c r="AD124" s="51">
        <v>46242</v>
      </c>
      <c r="AE124" s="22" t="s">
        <v>40</v>
      </c>
      <c r="AF124" s="119" t="s">
        <v>218</v>
      </c>
      <c r="AG124" s="91">
        <v>0</v>
      </c>
      <c r="AH124" s="50">
        <v>46243</v>
      </c>
      <c r="AI124" s="50">
        <v>46250</v>
      </c>
      <c r="AJ124" s="19" t="s">
        <v>165</v>
      </c>
      <c r="AK124" s="102" t="s">
        <v>190</v>
      </c>
      <c r="AL124" s="93">
        <v>0</v>
      </c>
      <c r="AM124" s="49">
        <v>46337</v>
      </c>
      <c r="AN124" s="49">
        <v>46343</v>
      </c>
      <c r="AO124" s="24" t="s">
        <v>40</v>
      </c>
      <c r="AP124" s="94">
        <v>0</v>
      </c>
    </row>
    <row r="125" spans="1:42" ht="15">
      <c r="A125" s="7" t="s">
        <v>16</v>
      </c>
      <c r="B125" s="9" t="s">
        <v>153</v>
      </c>
      <c r="C125" s="6">
        <v>1</v>
      </c>
      <c r="D125" s="46">
        <v>46146</v>
      </c>
      <c r="E125" s="46">
        <v>46157</v>
      </c>
      <c r="F125" s="34" t="s">
        <v>40</v>
      </c>
      <c r="G125" s="34" t="s">
        <v>219</v>
      </c>
      <c r="H125" s="82">
        <v>0</v>
      </c>
      <c r="I125" s="47">
        <v>46198</v>
      </c>
      <c r="J125" s="47">
        <v>46211</v>
      </c>
      <c r="K125" s="13" t="s">
        <v>40</v>
      </c>
      <c r="L125" s="128" t="s">
        <v>218</v>
      </c>
      <c r="M125" s="84">
        <v>0</v>
      </c>
      <c r="N125" s="229">
        <v>46198</v>
      </c>
      <c r="O125" s="229">
        <v>46211</v>
      </c>
      <c r="P125" s="24" t="s">
        <v>40</v>
      </c>
      <c r="Q125" s="271" t="s">
        <v>218</v>
      </c>
      <c r="R125" s="386"/>
      <c r="S125" s="48">
        <v>46209</v>
      </c>
      <c r="T125" s="48">
        <v>46218</v>
      </c>
      <c r="U125" s="16" t="s">
        <v>40</v>
      </c>
      <c r="V125" s="65" t="s">
        <v>218</v>
      </c>
      <c r="W125" s="86">
        <v>0</v>
      </c>
      <c r="X125" s="52">
        <v>46218</v>
      </c>
      <c r="Y125" s="52">
        <v>46222</v>
      </c>
      <c r="Z125" s="18" t="s">
        <v>40</v>
      </c>
      <c r="AA125" s="132" t="s">
        <v>218</v>
      </c>
      <c r="AB125" s="89">
        <v>0</v>
      </c>
      <c r="AC125" s="51">
        <v>46233</v>
      </c>
      <c r="AD125" s="51">
        <v>46242</v>
      </c>
      <c r="AE125" s="22" t="s">
        <v>40</v>
      </c>
      <c r="AF125" s="119" t="s">
        <v>218</v>
      </c>
      <c r="AG125" s="91">
        <v>0</v>
      </c>
      <c r="AH125" s="50">
        <v>46243</v>
      </c>
      <c r="AI125" s="50">
        <v>46250</v>
      </c>
      <c r="AJ125" s="19" t="s">
        <v>165</v>
      </c>
      <c r="AK125" s="102" t="s">
        <v>190</v>
      </c>
      <c r="AL125" s="93">
        <v>0</v>
      </c>
      <c r="AM125" s="49">
        <v>46337</v>
      </c>
      <c r="AN125" s="49">
        <v>46343</v>
      </c>
      <c r="AO125" s="24" t="s">
        <v>40</v>
      </c>
      <c r="AP125" s="94">
        <v>0</v>
      </c>
    </row>
    <row r="126" spans="1:42" ht="15">
      <c r="A126" s="7" t="s">
        <v>16</v>
      </c>
      <c r="B126" s="9" t="s">
        <v>154</v>
      </c>
      <c r="C126" s="6">
        <v>1</v>
      </c>
      <c r="D126" s="46">
        <v>46146</v>
      </c>
      <c r="E126" s="46">
        <v>46157</v>
      </c>
      <c r="F126" s="34" t="s">
        <v>40</v>
      </c>
      <c r="G126" s="382" t="s">
        <v>220</v>
      </c>
      <c r="H126" s="82">
        <v>0.5</v>
      </c>
      <c r="I126" s="47">
        <v>46198</v>
      </c>
      <c r="J126" s="47">
        <v>46211</v>
      </c>
      <c r="K126" s="13" t="s">
        <v>40</v>
      </c>
      <c r="L126" s="128" t="s">
        <v>214</v>
      </c>
      <c r="M126" s="84">
        <v>1</v>
      </c>
      <c r="N126" s="229">
        <v>46198</v>
      </c>
      <c r="O126" s="229">
        <v>46211</v>
      </c>
      <c r="P126" s="24" t="s">
        <v>40</v>
      </c>
      <c r="Q126" s="271" t="s">
        <v>214</v>
      </c>
      <c r="R126" s="386"/>
      <c r="S126" s="48">
        <v>46209</v>
      </c>
      <c r="T126" s="48">
        <v>46218</v>
      </c>
      <c r="U126" s="16" t="s">
        <v>40</v>
      </c>
      <c r="V126" s="125" t="s">
        <v>214</v>
      </c>
      <c r="W126" s="86">
        <v>0</v>
      </c>
      <c r="X126" s="52">
        <v>46218</v>
      </c>
      <c r="Y126" s="52">
        <v>46222</v>
      </c>
      <c r="Z126" s="18" t="s">
        <v>40</v>
      </c>
      <c r="AA126" s="123" t="s">
        <v>214</v>
      </c>
      <c r="AB126" s="89">
        <v>0</v>
      </c>
      <c r="AC126" s="51">
        <v>46233</v>
      </c>
      <c r="AD126" s="51">
        <v>46242</v>
      </c>
      <c r="AE126" s="22" t="s">
        <v>40</v>
      </c>
      <c r="AF126" s="22" t="s">
        <v>214</v>
      </c>
      <c r="AG126" s="91">
        <v>0</v>
      </c>
      <c r="AH126" s="50">
        <v>46243</v>
      </c>
      <c r="AI126" s="50">
        <v>46250</v>
      </c>
      <c r="AJ126" s="19" t="s">
        <v>165</v>
      </c>
      <c r="AK126" s="102" t="s">
        <v>214</v>
      </c>
      <c r="AL126" s="93">
        <v>0</v>
      </c>
      <c r="AM126" s="49">
        <v>46337</v>
      </c>
      <c r="AN126" s="49">
        <v>46343</v>
      </c>
      <c r="AO126" s="24" t="s">
        <v>40</v>
      </c>
      <c r="AP126" s="94">
        <v>0</v>
      </c>
    </row>
    <row r="127" spans="1:42" ht="15">
      <c r="A127" s="7"/>
      <c r="B127" s="9"/>
      <c r="C127" s="6"/>
      <c r="D127" s="46"/>
      <c r="E127" s="46"/>
      <c r="F127" s="34"/>
      <c r="G127" s="382" t="s">
        <v>221</v>
      </c>
      <c r="H127" s="82"/>
      <c r="I127" s="47"/>
      <c r="J127" s="47"/>
      <c r="K127" s="13"/>
      <c r="L127" s="128"/>
      <c r="M127" s="84"/>
      <c r="N127" s="229"/>
      <c r="O127" s="229"/>
      <c r="P127" s="24"/>
      <c r="Q127" s="271"/>
      <c r="R127" s="385">
        <v>0</v>
      </c>
      <c r="S127" s="48"/>
      <c r="T127" s="48"/>
      <c r="U127" s="16"/>
      <c r="V127" s="125"/>
      <c r="W127" s="86"/>
      <c r="X127" s="52"/>
      <c r="Y127" s="52"/>
      <c r="Z127" s="18"/>
      <c r="AA127" s="123"/>
      <c r="AB127" s="89"/>
      <c r="AC127" s="51"/>
      <c r="AD127" s="51"/>
      <c r="AE127" s="22"/>
      <c r="AF127" s="22"/>
      <c r="AG127" s="91"/>
      <c r="AH127" s="50"/>
      <c r="AI127" s="50"/>
      <c r="AJ127" s="19"/>
      <c r="AK127" s="102"/>
      <c r="AL127" s="93"/>
      <c r="AM127" s="49"/>
      <c r="AN127" s="49"/>
      <c r="AO127" s="24"/>
      <c r="AP127" s="94"/>
    </row>
    <row r="128" spans="1:42" ht="15">
      <c r="A128" s="7" t="s">
        <v>16</v>
      </c>
      <c r="B128" s="9" t="s">
        <v>155</v>
      </c>
      <c r="C128" s="6">
        <v>1</v>
      </c>
      <c r="D128" s="46">
        <v>46146</v>
      </c>
      <c r="E128" s="46">
        <v>46157</v>
      </c>
      <c r="F128" s="34" t="s">
        <v>222</v>
      </c>
      <c r="G128" s="382" t="s">
        <v>223</v>
      </c>
      <c r="H128" s="82">
        <v>0.5</v>
      </c>
      <c r="I128" s="47">
        <v>46198</v>
      </c>
      <c r="J128" s="47">
        <v>46211</v>
      </c>
      <c r="K128" s="13" t="s">
        <v>40</v>
      </c>
      <c r="L128" s="128" t="s">
        <v>214</v>
      </c>
      <c r="M128" s="84">
        <v>0</v>
      </c>
      <c r="N128" s="229">
        <v>46198</v>
      </c>
      <c r="O128" s="229">
        <v>46211</v>
      </c>
      <c r="P128" s="24" t="s">
        <v>40</v>
      </c>
      <c r="Q128" s="271" t="s">
        <v>214</v>
      </c>
      <c r="R128" s="385"/>
      <c r="S128" s="48">
        <v>46209</v>
      </c>
      <c r="T128" s="48">
        <v>46218</v>
      </c>
      <c r="U128" s="16" t="s">
        <v>40</v>
      </c>
      <c r="V128" s="125" t="s">
        <v>214</v>
      </c>
      <c r="W128" s="86">
        <v>0</v>
      </c>
      <c r="X128" s="52">
        <v>46218</v>
      </c>
      <c r="Y128" s="52">
        <v>46222</v>
      </c>
      <c r="Z128" s="18" t="s">
        <v>40</v>
      </c>
      <c r="AA128" s="132" t="s">
        <v>214</v>
      </c>
      <c r="AB128" s="89">
        <v>0</v>
      </c>
      <c r="AC128" s="51">
        <v>46233</v>
      </c>
      <c r="AD128" s="51">
        <v>46242</v>
      </c>
      <c r="AE128" s="22" t="s">
        <v>40</v>
      </c>
      <c r="AF128" s="119" t="s">
        <v>214</v>
      </c>
      <c r="AG128" s="91">
        <v>0</v>
      </c>
      <c r="AH128" s="50">
        <v>46243</v>
      </c>
      <c r="AI128" s="50">
        <v>46250</v>
      </c>
      <c r="AJ128" s="19" t="s">
        <v>165</v>
      </c>
      <c r="AK128" s="102" t="s">
        <v>214</v>
      </c>
      <c r="AL128" s="93">
        <v>0</v>
      </c>
      <c r="AM128" s="49">
        <v>46337</v>
      </c>
      <c r="AN128" s="49">
        <v>46343</v>
      </c>
      <c r="AO128" s="24" t="s">
        <v>40</v>
      </c>
      <c r="AP128" s="94">
        <v>0</v>
      </c>
    </row>
    <row r="129" spans="1:42" ht="15">
      <c r="A129" s="7" t="s">
        <v>16</v>
      </c>
      <c r="B129" s="9" t="s">
        <v>156</v>
      </c>
      <c r="C129" s="6">
        <v>1</v>
      </c>
      <c r="D129" s="46">
        <v>46146</v>
      </c>
      <c r="E129" s="46">
        <v>46157</v>
      </c>
      <c r="F129" s="34" t="s">
        <v>222</v>
      </c>
      <c r="G129" s="382" t="s">
        <v>224</v>
      </c>
      <c r="H129" s="82">
        <v>0.5</v>
      </c>
      <c r="I129" s="47">
        <v>46198</v>
      </c>
      <c r="J129" s="47">
        <v>46211</v>
      </c>
      <c r="K129" s="13" t="s">
        <v>40</v>
      </c>
      <c r="L129" s="128" t="s">
        <v>214</v>
      </c>
      <c r="M129" s="84">
        <v>0</v>
      </c>
      <c r="N129" s="229">
        <v>46198</v>
      </c>
      <c r="O129" s="229">
        <v>46211</v>
      </c>
      <c r="P129" s="24" t="s">
        <v>40</v>
      </c>
      <c r="Q129" s="271" t="s">
        <v>214</v>
      </c>
      <c r="R129" s="385">
        <v>0</v>
      </c>
      <c r="S129" s="48">
        <v>46209</v>
      </c>
      <c r="T129" s="48">
        <v>46218</v>
      </c>
      <c r="U129" s="16" t="s">
        <v>40</v>
      </c>
      <c r="V129" s="65" t="s">
        <v>214</v>
      </c>
      <c r="W129" s="86">
        <v>0</v>
      </c>
      <c r="X129" s="52">
        <v>46218</v>
      </c>
      <c r="Y129" s="52">
        <v>46222</v>
      </c>
      <c r="Z129" s="18" t="s">
        <v>40</v>
      </c>
      <c r="AA129" s="132" t="s">
        <v>214</v>
      </c>
      <c r="AB129" s="89">
        <v>0</v>
      </c>
      <c r="AC129" s="51">
        <v>46233</v>
      </c>
      <c r="AD129" s="51">
        <v>46242</v>
      </c>
      <c r="AE129" s="22" t="s">
        <v>40</v>
      </c>
      <c r="AF129" s="101" t="s">
        <v>214</v>
      </c>
      <c r="AG129" s="91">
        <v>0</v>
      </c>
      <c r="AH129" s="50">
        <v>46243</v>
      </c>
      <c r="AI129" s="50">
        <v>46250</v>
      </c>
      <c r="AJ129" s="19" t="s">
        <v>165</v>
      </c>
      <c r="AK129" s="126" t="s">
        <v>225</v>
      </c>
      <c r="AL129" s="93">
        <v>0</v>
      </c>
      <c r="AM129" s="49">
        <v>46337</v>
      </c>
      <c r="AN129" s="49">
        <v>46343</v>
      </c>
      <c r="AO129" s="24" t="s">
        <v>40</v>
      </c>
      <c r="AP129" s="94">
        <v>0</v>
      </c>
    </row>
    <row r="130" spans="1:42" ht="15">
      <c r="A130" s="7"/>
      <c r="B130" s="9"/>
      <c r="C130" s="6"/>
      <c r="D130" s="46"/>
      <c r="E130" s="46"/>
      <c r="F130" s="34"/>
      <c r="G130" s="382" t="s">
        <v>226</v>
      </c>
      <c r="H130" s="82"/>
      <c r="I130" s="47"/>
      <c r="J130" s="47"/>
      <c r="K130" s="13"/>
      <c r="L130" s="128"/>
      <c r="M130" s="84"/>
      <c r="N130" s="229"/>
      <c r="O130" s="229"/>
      <c r="P130" s="24"/>
      <c r="Q130" s="271"/>
      <c r="R130" s="385">
        <v>0</v>
      </c>
      <c r="S130" s="48"/>
      <c r="T130" s="48"/>
      <c r="U130" s="16"/>
      <c r="V130" s="65"/>
      <c r="W130" s="86"/>
      <c r="X130" s="52"/>
      <c r="Y130" s="52"/>
      <c r="Z130" s="18"/>
      <c r="AA130" s="132"/>
      <c r="AB130" s="89"/>
      <c r="AC130" s="51"/>
      <c r="AD130" s="51"/>
      <c r="AE130" s="22"/>
      <c r="AF130" s="101"/>
      <c r="AG130" s="91"/>
      <c r="AH130" s="50"/>
      <c r="AI130" s="50"/>
      <c r="AJ130" s="19"/>
      <c r="AK130" s="126"/>
      <c r="AL130" s="93"/>
      <c r="AM130" s="49"/>
      <c r="AN130" s="49"/>
      <c r="AO130" s="24"/>
      <c r="AP130" s="94"/>
    </row>
    <row r="131" spans="1:42" ht="15">
      <c r="A131" s="7" t="s">
        <v>16</v>
      </c>
      <c r="B131" s="9" t="s">
        <v>157</v>
      </c>
      <c r="C131" s="6">
        <v>1</v>
      </c>
      <c r="D131" s="46">
        <v>46146</v>
      </c>
      <c r="E131" s="46">
        <v>46157</v>
      </c>
      <c r="F131" s="100" t="s">
        <v>34</v>
      </c>
      <c r="G131" s="382" t="s">
        <v>34</v>
      </c>
      <c r="H131" s="82">
        <v>1</v>
      </c>
      <c r="I131" s="47">
        <v>46198</v>
      </c>
      <c r="J131" s="47">
        <v>46211</v>
      </c>
      <c r="K131" s="13" t="s">
        <v>34</v>
      </c>
      <c r="L131" s="128" t="s">
        <v>34</v>
      </c>
      <c r="M131" s="84">
        <v>1</v>
      </c>
      <c r="N131" s="229">
        <v>46198</v>
      </c>
      <c r="O131" s="229">
        <v>46211</v>
      </c>
      <c r="P131" s="24" t="s">
        <v>40</v>
      </c>
      <c r="Q131" s="271" t="s">
        <v>227</v>
      </c>
      <c r="R131" s="385">
        <v>0</v>
      </c>
      <c r="S131" s="48">
        <v>46209</v>
      </c>
      <c r="T131" s="48">
        <v>46218</v>
      </c>
      <c r="U131" s="65" t="s">
        <v>34</v>
      </c>
      <c r="V131" s="65" t="s">
        <v>34</v>
      </c>
      <c r="W131" s="86">
        <v>1</v>
      </c>
      <c r="X131" s="52">
        <v>46218</v>
      </c>
      <c r="Y131" s="52">
        <v>46222</v>
      </c>
      <c r="Z131" s="87" t="s">
        <v>34</v>
      </c>
      <c r="AA131" s="132" t="s">
        <v>34</v>
      </c>
      <c r="AB131" s="89">
        <v>1</v>
      </c>
      <c r="AC131" s="51">
        <v>46233</v>
      </c>
      <c r="AD131" s="51">
        <v>46242</v>
      </c>
      <c r="AE131" s="101" t="s">
        <v>34</v>
      </c>
      <c r="AF131" s="101" t="s">
        <v>34</v>
      </c>
      <c r="AG131" s="91">
        <v>1</v>
      </c>
      <c r="AH131" s="50">
        <v>46243</v>
      </c>
      <c r="AI131" s="50">
        <v>46250</v>
      </c>
      <c r="AJ131" s="19" t="s">
        <v>165</v>
      </c>
      <c r="AK131" s="102" t="s">
        <v>190</v>
      </c>
      <c r="AL131" s="93">
        <v>1</v>
      </c>
      <c r="AM131" s="49">
        <v>46337</v>
      </c>
      <c r="AN131" s="49">
        <v>46343</v>
      </c>
      <c r="AO131" s="24" t="s">
        <v>40</v>
      </c>
      <c r="AP131" s="94">
        <v>0</v>
      </c>
    </row>
    <row r="132" spans="1:42" ht="15">
      <c r="A132" s="7" t="s">
        <v>16</v>
      </c>
      <c r="B132" s="9" t="s">
        <v>158</v>
      </c>
      <c r="C132" s="6">
        <v>1</v>
      </c>
      <c r="D132" s="46">
        <v>46146</v>
      </c>
      <c r="E132" s="46">
        <v>46157</v>
      </c>
      <c r="F132" s="100" t="s">
        <v>34</v>
      </c>
      <c r="G132" s="382" t="s">
        <v>34</v>
      </c>
      <c r="H132" s="82">
        <v>1</v>
      </c>
      <c r="I132" s="47">
        <v>46198</v>
      </c>
      <c r="J132" s="47">
        <v>46211</v>
      </c>
      <c r="K132" s="13" t="s">
        <v>34</v>
      </c>
      <c r="L132" s="128" t="s">
        <v>34</v>
      </c>
      <c r="M132" s="84">
        <v>1</v>
      </c>
      <c r="N132" s="229">
        <v>46198</v>
      </c>
      <c r="O132" s="229">
        <v>46211</v>
      </c>
      <c r="P132" s="24" t="s">
        <v>40</v>
      </c>
      <c r="Q132" s="271" t="s">
        <v>227</v>
      </c>
      <c r="R132" s="385">
        <v>0</v>
      </c>
      <c r="S132" s="48">
        <v>46209</v>
      </c>
      <c r="T132" s="48">
        <v>46218</v>
      </c>
      <c r="U132" s="65" t="s">
        <v>34</v>
      </c>
      <c r="V132" s="65" t="s">
        <v>34</v>
      </c>
      <c r="W132" s="86">
        <v>1</v>
      </c>
      <c r="X132" s="52">
        <v>46218</v>
      </c>
      <c r="Y132" s="52">
        <v>46222</v>
      </c>
      <c r="Z132" s="87" t="s">
        <v>34</v>
      </c>
      <c r="AA132" s="132" t="s">
        <v>34</v>
      </c>
      <c r="AB132" s="89">
        <v>1</v>
      </c>
      <c r="AC132" s="51">
        <v>46233</v>
      </c>
      <c r="AD132" s="51">
        <v>46242</v>
      </c>
      <c r="AE132" s="22" t="s">
        <v>40</v>
      </c>
      <c r="AF132" s="101" t="s">
        <v>214</v>
      </c>
      <c r="AG132" s="91">
        <v>0</v>
      </c>
      <c r="AH132" s="50">
        <v>46243</v>
      </c>
      <c r="AI132" s="50">
        <v>46250</v>
      </c>
      <c r="AJ132" s="19" t="s">
        <v>165</v>
      </c>
      <c r="AK132" s="102" t="s">
        <v>190</v>
      </c>
      <c r="AL132" s="93">
        <v>1</v>
      </c>
      <c r="AM132" s="49">
        <v>46337</v>
      </c>
      <c r="AN132" s="49">
        <v>46343</v>
      </c>
      <c r="AO132" s="24" t="s">
        <v>40</v>
      </c>
      <c r="AP132" s="94">
        <v>0</v>
      </c>
    </row>
    <row r="133" spans="1:42" s="451" customFormat="1" ht="15">
      <c r="A133" s="459" t="s">
        <v>16</v>
      </c>
      <c r="B133" s="458" t="s">
        <v>159</v>
      </c>
      <c r="C133" s="457">
        <v>1</v>
      </c>
      <c r="D133" s="456">
        <v>46146</v>
      </c>
      <c r="E133" s="456">
        <v>46157</v>
      </c>
      <c r="F133" s="390" t="s">
        <v>34</v>
      </c>
      <c r="G133" s="455" t="s">
        <v>34</v>
      </c>
      <c r="H133" s="387">
        <v>1</v>
      </c>
      <c r="I133" s="456">
        <v>46198</v>
      </c>
      <c r="J133" s="456">
        <v>46211</v>
      </c>
      <c r="K133" s="390" t="s">
        <v>40</v>
      </c>
      <c r="L133" s="454" t="s">
        <v>34</v>
      </c>
      <c r="M133" s="387">
        <v>1</v>
      </c>
      <c r="N133" s="456">
        <v>46198</v>
      </c>
      <c r="O133" s="456">
        <v>46211</v>
      </c>
      <c r="P133" s="390" t="s">
        <v>40</v>
      </c>
      <c r="Q133" s="454"/>
      <c r="R133" s="387">
        <v>0</v>
      </c>
      <c r="S133" s="453">
        <v>46209</v>
      </c>
      <c r="T133" s="453">
        <v>46218</v>
      </c>
      <c r="U133" s="390" t="s">
        <v>40</v>
      </c>
      <c r="V133" s="454" t="s">
        <v>34</v>
      </c>
      <c r="W133" s="387">
        <v>1</v>
      </c>
      <c r="X133" s="453">
        <v>46218</v>
      </c>
      <c r="Y133" s="453">
        <v>46222</v>
      </c>
      <c r="Z133" s="390" t="s">
        <v>34</v>
      </c>
      <c r="AA133" s="454" t="s">
        <v>34</v>
      </c>
      <c r="AB133" s="387">
        <v>1</v>
      </c>
      <c r="AC133" s="453">
        <v>46233</v>
      </c>
      <c r="AD133" s="453">
        <v>46242</v>
      </c>
      <c r="AE133" s="390" t="s">
        <v>34</v>
      </c>
      <c r="AF133" s="452" t="s">
        <v>34</v>
      </c>
      <c r="AG133" s="387">
        <v>1</v>
      </c>
      <c r="AH133" s="453">
        <v>46243</v>
      </c>
      <c r="AI133" s="453">
        <v>46250</v>
      </c>
      <c r="AJ133" s="415" t="s">
        <v>165</v>
      </c>
      <c r="AK133" s="452" t="s">
        <v>201</v>
      </c>
      <c r="AL133" s="387">
        <v>0</v>
      </c>
      <c r="AM133" s="453">
        <v>46337</v>
      </c>
      <c r="AN133" s="453">
        <v>46343</v>
      </c>
      <c r="AO133" s="390" t="s">
        <v>40</v>
      </c>
      <c r="AP133" s="387">
        <v>0</v>
      </c>
    </row>
    <row r="134" spans="1:42" ht="18" customHeight="1">
      <c r="A134" s="5" t="s">
        <v>10</v>
      </c>
      <c r="B134" s="40"/>
      <c r="C134" s="4">
        <f>SUM(C3:C133)</f>
        <v>126</v>
      </c>
      <c r="D134" s="38"/>
      <c r="E134" s="38"/>
      <c r="F134" s="35"/>
      <c r="G134" s="382"/>
      <c r="H134" s="39">
        <f>AVERAGE(H3:H133)</f>
        <v>0.33928571428571425</v>
      </c>
      <c r="I134" s="14"/>
      <c r="J134" s="14"/>
      <c r="K134" s="12"/>
      <c r="L134" s="130"/>
      <c r="M134" s="36">
        <f>AVERAGE(M3:M133)</f>
        <v>6.19047619047619E-2</v>
      </c>
      <c r="N134" s="272"/>
      <c r="O134" s="272"/>
      <c r="P134" s="23"/>
      <c r="Q134" s="273"/>
      <c r="R134" s="385">
        <v>0</v>
      </c>
      <c r="S134" s="15"/>
      <c r="T134" s="15"/>
      <c r="U134" s="15"/>
      <c r="V134" s="15"/>
      <c r="W134" s="42">
        <f>AVERAGE(W3:W133)</f>
        <v>5.5555555555555552E-2</v>
      </c>
      <c r="X134" s="17"/>
      <c r="Y134" s="17"/>
      <c r="Z134" s="17"/>
      <c r="AA134" s="133"/>
      <c r="AB134" s="44">
        <f>AVERAGE(AB3:AB133)</f>
        <v>5.5555555555555552E-2</v>
      </c>
      <c r="AC134" s="21"/>
      <c r="AD134" s="21"/>
      <c r="AE134" s="21"/>
      <c r="AF134" s="21"/>
      <c r="AG134" s="43">
        <f>AVERAGE(AG3:AG133)</f>
        <v>4.7619047619047616E-2</v>
      </c>
      <c r="AH134" s="19"/>
      <c r="AI134" s="19"/>
      <c r="AJ134" s="19"/>
      <c r="AK134" s="102"/>
      <c r="AL134" s="37">
        <f>AVERAGE(AL3:AL133)</f>
        <v>4.7619047619047616E-2</v>
      </c>
      <c r="AM134" s="23"/>
      <c r="AN134" s="23"/>
      <c r="AO134" s="23"/>
      <c r="AP134" s="54">
        <f>AVERAGE(AP3:AP133)</f>
        <v>0</v>
      </c>
    </row>
    <row r="135" spans="1:42" ht="15">
      <c r="G135" s="382"/>
      <c r="R135" s="71"/>
    </row>
    <row r="136" spans="1:42" ht="18.75">
      <c r="A136" s="64" t="s">
        <v>228</v>
      </c>
      <c r="G136" s="384"/>
      <c r="R136" s="71"/>
    </row>
    <row r="137" spans="1:42" ht="15">
      <c r="A137" s="5" t="s">
        <v>172</v>
      </c>
      <c r="B137" s="3" t="s">
        <v>173</v>
      </c>
      <c r="C137" s="3" t="s">
        <v>174</v>
      </c>
      <c r="D137" s="3" t="s">
        <v>34</v>
      </c>
      <c r="E137" s="3" t="s">
        <v>175</v>
      </c>
      <c r="R137" s="71"/>
    </row>
    <row r="138" spans="1:42" ht="15">
      <c r="A138" s="7" t="s">
        <v>176</v>
      </c>
      <c r="B138" s="266">
        <v>0.1</v>
      </c>
      <c r="C138" s="7">
        <f>126*B138</f>
        <v>12.600000000000001</v>
      </c>
      <c r="D138" s="7">
        <f>SUM(H3:H133)*0.1</f>
        <v>4.2749999999999995</v>
      </c>
      <c r="E138" s="267">
        <f t="shared" ref="E138:E145" si="0">D138/C138</f>
        <v>0.33928571428571419</v>
      </c>
      <c r="R138" s="71"/>
    </row>
    <row r="139" spans="1:42" ht="15">
      <c r="A139" s="274" t="s">
        <v>177</v>
      </c>
      <c r="B139" s="266">
        <v>0.3</v>
      </c>
      <c r="C139" s="7">
        <f t="shared" ref="C139:C144" si="1">126*B139</f>
        <v>37.799999999999997</v>
      </c>
      <c r="D139" s="275">
        <f>SUM(M3:M133)*0.3</f>
        <v>2.34</v>
      </c>
      <c r="E139" s="267">
        <f t="shared" si="0"/>
        <v>6.1904761904761907E-2</v>
      </c>
      <c r="R139" s="71"/>
    </row>
    <row r="140" spans="1:42" ht="15">
      <c r="A140" s="7" t="s">
        <v>178</v>
      </c>
      <c r="B140" s="266">
        <v>0.1</v>
      </c>
      <c r="C140" s="7">
        <f t="shared" si="1"/>
        <v>12.600000000000001</v>
      </c>
      <c r="D140" s="7">
        <f>SUM(R3:R133)*0.1</f>
        <v>0.86</v>
      </c>
      <c r="E140" s="267">
        <f t="shared" si="0"/>
        <v>6.8253968253968247E-2</v>
      </c>
      <c r="R140" s="71"/>
    </row>
    <row r="141" spans="1:42" ht="15">
      <c r="A141" s="7" t="s">
        <v>161</v>
      </c>
      <c r="B141" s="266">
        <v>0.2</v>
      </c>
      <c r="C141" s="7">
        <f t="shared" si="1"/>
        <v>25.200000000000003</v>
      </c>
      <c r="D141" s="7">
        <f>SUM(W3:W133)*0.2</f>
        <v>1.4000000000000001</v>
      </c>
      <c r="E141" s="267">
        <f t="shared" si="0"/>
        <v>5.5555555555555552E-2</v>
      </c>
      <c r="R141" s="71"/>
    </row>
    <row r="142" spans="1:42" ht="15">
      <c r="A142" s="7" t="s">
        <v>162</v>
      </c>
      <c r="B142" s="266">
        <v>0.05</v>
      </c>
      <c r="C142" s="7">
        <f t="shared" si="1"/>
        <v>6.3000000000000007</v>
      </c>
      <c r="D142" s="7">
        <f>SUM(AB3:AB133)*0.05</f>
        <v>0.35000000000000003</v>
      </c>
      <c r="E142" s="267">
        <f t="shared" si="0"/>
        <v>5.5555555555555552E-2</v>
      </c>
      <c r="R142" s="71"/>
    </row>
    <row r="143" spans="1:42" ht="15">
      <c r="A143" s="7" t="s">
        <v>163</v>
      </c>
      <c r="B143" s="266">
        <v>0.2</v>
      </c>
      <c r="C143" s="7">
        <f t="shared" si="1"/>
        <v>25.200000000000003</v>
      </c>
      <c r="D143" s="7">
        <f>SUM(AG3:AG133)*0.2</f>
        <v>1.2000000000000002</v>
      </c>
      <c r="E143" s="267">
        <f t="shared" si="0"/>
        <v>4.7619047619047623E-2</v>
      </c>
      <c r="R143" s="71"/>
    </row>
    <row r="144" spans="1:42" ht="15">
      <c r="A144" s="7" t="s">
        <v>164</v>
      </c>
      <c r="B144" s="266">
        <v>0.05</v>
      </c>
      <c r="C144" s="7">
        <f t="shared" si="1"/>
        <v>6.3000000000000007</v>
      </c>
      <c r="D144" s="7">
        <f>SUM(AL3:AL133)*0.05</f>
        <v>0.30000000000000004</v>
      </c>
      <c r="E144" s="267">
        <f t="shared" si="0"/>
        <v>4.7619047619047623E-2</v>
      </c>
      <c r="R144" s="71"/>
    </row>
    <row r="145" spans="1:18" ht="15">
      <c r="A145" s="5" t="s">
        <v>179</v>
      </c>
      <c r="B145" s="62">
        <f>SUM(B138:B144)</f>
        <v>1</v>
      </c>
      <c r="C145" s="5">
        <f>SUM(C138:C144)</f>
        <v>126</v>
      </c>
      <c r="D145" s="276">
        <f>SUM(D138:D144)</f>
        <v>10.725000000000001</v>
      </c>
      <c r="E145" s="63">
        <f t="shared" si="0"/>
        <v>8.5119047619047636E-2</v>
      </c>
      <c r="R145" s="71"/>
    </row>
    <row r="146" spans="1:18" ht="15">
      <c r="R146" s="71"/>
    </row>
    <row r="147" spans="1:18" ht="15">
      <c r="R147" s="71"/>
    </row>
    <row r="148" spans="1:18" ht="15">
      <c r="R148" s="71"/>
    </row>
    <row r="149" spans="1:18" ht="15">
      <c r="R149" s="71"/>
    </row>
    <row r="164" spans="4:5" ht="15"/>
    <row r="165" spans="4:5" ht="15"/>
    <row r="168" spans="4:5" ht="15">
      <c r="D168" s="45"/>
      <c r="E168" s="45"/>
    </row>
    <row r="169" spans="4:5" ht="15">
      <c r="D169" s="45"/>
      <c r="E169" s="45"/>
    </row>
  </sheetData>
  <autoFilter ref="A2:AQ134" xr:uid="{FD6F1C6D-9FEC-4747-8349-292C41BA9C6E}"/>
  <mergeCells count="8">
    <mergeCell ref="AM1:AP1"/>
    <mergeCell ref="N1:R1"/>
    <mergeCell ref="D1:H1"/>
    <mergeCell ref="S1:W1"/>
    <mergeCell ref="X1:AB1"/>
    <mergeCell ref="AH1:AL1"/>
    <mergeCell ref="AC1:AG1"/>
    <mergeCell ref="I1:M1"/>
  </mergeCells>
  <phoneticPr fontId="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D0EB-FD46-481C-82E5-28E74C9F0AA1}">
  <dimension ref="A1:AQ132"/>
  <sheetViews>
    <sheetView topLeftCell="J5" zoomScaleNormal="100" workbookViewId="0">
      <selection activeCell="Q18" sqref="Q18"/>
    </sheetView>
  </sheetViews>
  <sheetFormatPr defaultColWidth="8.7109375" defaultRowHeight="14.45"/>
  <cols>
    <col min="1" max="1" width="16.7109375" style="2" bestFit="1" customWidth="1"/>
    <col min="2" max="2" width="12.42578125" style="41" customWidth="1"/>
    <col min="3" max="3" width="14.140625" style="2" bestFit="1" customWidth="1"/>
    <col min="4" max="4" width="11.7109375" style="2" bestFit="1" customWidth="1"/>
    <col min="5" max="5" width="12.5703125" style="2" bestFit="1" customWidth="1"/>
    <col min="6" max="6" width="13" style="2" bestFit="1" customWidth="1"/>
    <col min="7" max="7" width="48" style="2" bestFit="1" customWidth="1"/>
    <col min="8" max="8" width="18.140625" style="2" bestFit="1" customWidth="1"/>
    <col min="9" max="11" width="18.140625" style="2" customWidth="1"/>
    <col min="12" max="12" width="43.28515625" style="2" bestFit="1" customWidth="1"/>
    <col min="13" max="13" width="18.140625" style="2" customWidth="1"/>
    <col min="14" max="14" width="11.42578125" style="2" bestFit="1" customWidth="1"/>
    <col min="15" max="15" width="12.5703125" style="2" bestFit="1" customWidth="1"/>
    <col min="16" max="16" width="13" style="2" bestFit="1" customWidth="1"/>
    <col min="17" max="17" width="48" style="2" bestFit="1" customWidth="1"/>
    <col min="18" max="18" width="18.140625" style="2" bestFit="1" customWidth="1"/>
    <col min="19" max="19" width="11.42578125" style="2" bestFit="1" customWidth="1"/>
    <col min="20" max="20" width="12.5703125" style="2" bestFit="1" customWidth="1"/>
    <col min="21" max="21" width="13" style="2" bestFit="1" customWidth="1"/>
    <col min="22" max="22" width="36.42578125" style="2" bestFit="1" customWidth="1"/>
    <col min="23" max="23" width="18.140625" style="2" bestFit="1" customWidth="1"/>
    <col min="24" max="24" width="11.42578125" style="2" bestFit="1" customWidth="1"/>
    <col min="25" max="25" width="12.5703125" style="2" bestFit="1" customWidth="1"/>
    <col min="26" max="26" width="13" style="2" bestFit="1" customWidth="1"/>
    <col min="27" max="27" width="48" style="2" bestFit="1" customWidth="1"/>
    <col min="28" max="28" width="18.140625" style="2" bestFit="1" customWidth="1"/>
    <col min="29" max="29" width="11.42578125" style="2" bestFit="1" customWidth="1"/>
    <col min="30" max="30" width="12.5703125" style="2" bestFit="1" customWidth="1"/>
    <col min="31" max="31" width="13" style="2" bestFit="1" customWidth="1"/>
    <col min="32" max="32" width="36.5703125" style="2" bestFit="1" customWidth="1"/>
    <col min="33" max="33" width="18.140625" style="2" bestFit="1" customWidth="1"/>
    <col min="34" max="34" width="11.42578125" style="2" bestFit="1" customWidth="1"/>
    <col min="35" max="35" width="12.5703125" style="2" bestFit="1" customWidth="1"/>
    <col min="36" max="36" width="13" style="2" bestFit="1" customWidth="1"/>
    <col min="37" max="37" width="23.28515625" style="2" bestFit="1" customWidth="1"/>
    <col min="38" max="38" width="18.140625" style="2" bestFit="1" customWidth="1"/>
    <col min="39" max="39" width="11.42578125" style="2" hidden="1" customWidth="1"/>
    <col min="40" max="40" width="12.5703125" style="2" hidden="1" customWidth="1"/>
    <col min="41" max="41" width="13" style="2" hidden="1" customWidth="1"/>
    <col min="42" max="42" width="18.140625" style="2" hidden="1" customWidth="1"/>
    <col min="43" max="43" width="0" style="2" hidden="1" customWidth="1"/>
    <col min="44" max="16379" width="8.7109375" style="2"/>
    <col min="16380" max="16384" width="8.7109375" style="2" bestFit="1"/>
  </cols>
  <sheetData>
    <row r="1" spans="1:43" ht="18.600000000000001" customHeight="1">
      <c r="A1" s="25" t="s">
        <v>1</v>
      </c>
      <c r="B1" s="294" t="s">
        <v>25</v>
      </c>
      <c r="C1" s="25" t="s">
        <v>26</v>
      </c>
      <c r="D1" s="523" t="s">
        <v>180</v>
      </c>
      <c r="E1" s="524"/>
      <c r="F1" s="524"/>
      <c r="G1" s="524"/>
      <c r="H1" s="525"/>
      <c r="I1" s="502" t="s">
        <v>181</v>
      </c>
      <c r="J1" s="503"/>
      <c r="K1" s="503"/>
      <c r="L1" s="503"/>
      <c r="M1" s="504"/>
      <c r="N1" s="520" t="s">
        <v>182</v>
      </c>
      <c r="O1" s="521"/>
      <c r="P1" s="521"/>
      <c r="Q1" s="521"/>
      <c r="R1" s="522"/>
      <c r="S1" s="508" t="s">
        <v>183</v>
      </c>
      <c r="T1" s="509"/>
      <c r="U1" s="509"/>
      <c r="V1" s="509"/>
      <c r="W1" s="510"/>
      <c r="X1" s="511" t="s">
        <v>184</v>
      </c>
      <c r="Y1" s="512"/>
      <c r="Z1" s="512"/>
      <c r="AA1" s="512"/>
      <c r="AB1" s="513"/>
      <c r="AC1" s="517" t="s">
        <v>185</v>
      </c>
      <c r="AD1" s="518"/>
      <c r="AE1" s="518"/>
      <c r="AF1" s="518"/>
      <c r="AG1" s="519"/>
      <c r="AH1" s="514" t="s">
        <v>229</v>
      </c>
      <c r="AI1" s="515"/>
      <c r="AJ1" s="515"/>
      <c r="AK1" s="515"/>
      <c r="AL1" s="516"/>
      <c r="AM1" s="185" t="s">
        <v>166</v>
      </c>
      <c r="AN1" s="186"/>
      <c r="AO1" s="186"/>
      <c r="AP1" s="187"/>
      <c r="AQ1" s="8"/>
    </row>
    <row r="2" spans="1:43" ht="15.95" customHeight="1">
      <c r="A2" s="5"/>
      <c r="B2" s="40"/>
      <c r="C2" s="5"/>
      <c r="D2" s="188" t="s">
        <v>28</v>
      </c>
      <c r="E2" s="188" t="s">
        <v>29</v>
      </c>
      <c r="F2" s="188" t="s">
        <v>30</v>
      </c>
      <c r="G2" s="188" t="s">
        <v>187</v>
      </c>
      <c r="H2" s="188" t="s">
        <v>31</v>
      </c>
      <c r="I2" s="194" t="s">
        <v>28</v>
      </c>
      <c r="J2" s="194" t="s">
        <v>29</v>
      </c>
      <c r="K2" s="194" t="s">
        <v>30</v>
      </c>
      <c r="L2" s="194" t="s">
        <v>187</v>
      </c>
      <c r="M2" s="194" t="s">
        <v>31</v>
      </c>
      <c r="N2" s="189" t="s">
        <v>28</v>
      </c>
      <c r="O2" s="189" t="s">
        <v>29</v>
      </c>
      <c r="P2" s="189" t="s">
        <v>30</v>
      </c>
      <c r="Q2" s="189" t="s">
        <v>187</v>
      </c>
      <c r="R2" s="189" t="s">
        <v>31</v>
      </c>
      <c r="S2" s="190" t="s">
        <v>28</v>
      </c>
      <c r="T2" s="190" t="s">
        <v>29</v>
      </c>
      <c r="U2" s="190" t="s">
        <v>30</v>
      </c>
      <c r="V2" s="190" t="s">
        <v>230</v>
      </c>
      <c r="W2" s="190" t="s">
        <v>31</v>
      </c>
      <c r="X2" s="191" t="s">
        <v>28</v>
      </c>
      <c r="Y2" s="191" t="s">
        <v>29</v>
      </c>
      <c r="Z2" s="191" t="s">
        <v>30</v>
      </c>
      <c r="AA2" s="191" t="s">
        <v>187</v>
      </c>
      <c r="AB2" s="191" t="s">
        <v>31</v>
      </c>
      <c r="AC2" s="192" t="s">
        <v>28</v>
      </c>
      <c r="AD2" s="192" t="s">
        <v>29</v>
      </c>
      <c r="AE2" s="192" t="s">
        <v>30</v>
      </c>
      <c r="AF2" s="192" t="s">
        <v>187</v>
      </c>
      <c r="AG2" s="192" t="s">
        <v>31</v>
      </c>
      <c r="AH2" s="193" t="s">
        <v>28</v>
      </c>
      <c r="AI2" s="193" t="s">
        <v>29</v>
      </c>
      <c r="AJ2" s="193" t="s">
        <v>30</v>
      </c>
      <c r="AK2" s="193" t="s">
        <v>187</v>
      </c>
      <c r="AL2" s="193" t="s">
        <v>31</v>
      </c>
      <c r="AM2" s="194" t="s">
        <v>28</v>
      </c>
      <c r="AN2" s="194" t="s">
        <v>29</v>
      </c>
      <c r="AO2" s="194" t="s">
        <v>30</v>
      </c>
      <c r="AP2" s="194" t="s">
        <v>31</v>
      </c>
      <c r="AQ2" s="8"/>
    </row>
    <row r="3" spans="1:43" s="124" customFormat="1" ht="15">
      <c r="A3" s="120" t="s">
        <v>231</v>
      </c>
      <c r="B3" s="295">
        <v>41035</v>
      </c>
      <c r="C3" s="195">
        <v>1</v>
      </c>
      <c r="D3" s="121">
        <v>46146</v>
      </c>
      <c r="E3" s="121">
        <v>46157</v>
      </c>
      <c r="F3" s="389" t="s">
        <v>34</v>
      </c>
      <c r="G3" s="34" t="s">
        <v>34</v>
      </c>
      <c r="H3" s="388">
        <v>0.95</v>
      </c>
      <c r="I3" s="210">
        <v>46160</v>
      </c>
      <c r="J3" s="210">
        <v>46169</v>
      </c>
      <c r="K3" s="211" t="s">
        <v>34</v>
      </c>
      <c r="L3" s="212" t="s">
        <v>34</v>
      </c>
      <c r="M3" s="212">
        <v>0.95</v>
      </c>
      <c r="N3" s="122">
        <v>46160</v>
      </c>
      <c r="O3" s="122">
        <v>46169</v>
      </c>
      <c r="P3" s="196" t="s">
        <v>34</v>
      </c>
      <c r="Q3" s="197" t="s">
        <v>34</v>
      </c>
      <c r="R3" s="197">
        <v>1</v>
      </c>
      <c r="S3" s="198">
        <v>46198</v>
      </c>
      <c r="T3" s="198">
        <v>46207</v>
      </c>
      <c r="U3" s="199" t="s">
        <v>232</v>
      </c>
      <c r="V3" s="200" t="s">
        <v>233</v>
      </c>
      <c r="W3" s="201">
        <v>0.5</v>
      </c>
      <c r="X3" s="202">
        <v>46218</v>
      </c>
      <c r="Y3" s="202">
        <v>46222</v>
      </c>
      <c r="Z3" s="203" t="s">
        <v>40</v>
      </c>
      <c r="AA3" s="88" t="s">
        <v>234</v>
      </c>
      <c r="AB3" s="88">
        <v>0</v>
      </c>
      <c r="AC3" s="204">
        <v>46223</v>
      </c>
      <c r="AD3" s="204">
        <v>46232</v>
      </c>
      <c r="AE3" s="205" t="s">
        <v>232</v>
      </c>
      <c r="AF3" s="206" t="s">
        <v>233</v>
      </c>
      <c r="AG3" s="206">
        <v>0.8</v>
      </c>
      <c r="AH3" s="207">
        <v>46243</v>
      </c>
      <c r="AI3" s="207">
        <v>46250</v>
      </c>
      <c r="AJ3" s="208" t="s">
        <v>34</v>
      </c>
      <c r="AK3" s="209" t="s">
        <v>190</v>
      </c>
      <c r="AL3" s="209">
        <v>1</v>
      </c>
      <c r="AM3" s="210">
        <v>46337</v>
      </c>
      <c r="AN3" s="210">
        <v>46343</v>
      </c>
      <c r="AO3" s="211" t="s">
        <v>40</v>
      </c>
      <c r="AP3" s="212">
        <v>0</v>
      </c>
    </row>
    <row r="4" spans="1:43" ht="15">
      <c r="A4" s="7" t="s">
        <v>231</v>
      </c>
      <c r="B4" s="9">
        <v>41055</v>
      </c>
      <c r="C4" s="195">
        <v>1</v>
      </c>
      <c r="D4" s="46">
        <v>46146</v>
      </c>
      <c r="E4" s="46">
        <v>46157</v>
      </c>
      <c r="F4" s="389" t="s">
        <v>34</v>
      </c>
      <c r="G4" s="34" t="s">
        <v>34</v>
      </c>
      <c r="H4" s="388">
        <v>1</v>
      </c>
      <c r="I4" s="229">
        <v>46160</v>
      </c>
      <c r="J4" s="229">
        <v>46169</v>
      </c>
      <c r="K4" s="230" t="s">
        <v>34</v>
      </c>
      <c r="L4" s="212" t="s">
        <v>235</v>
      </c>
      <c r="M4" s="231">
        <v>1</v>
      </c>
      <c r="N4" s="47">
        <v>46160</v>
      </c>
      <c r="O4" s="47">
        <v>46169</v>
      </c>
      <c r="P4" s="214" t="s">
        <v>34</v>
      </c>
      <c r="Q4" s="197" t="s">
        <v>235</v>
      </c>
      <c r="R4" s="215">
        <v>1</v>
      </c>
      <c r="S4" s="216">
        <v>46198</v>
      </c>
      <c r="T4" s="216">
        <v>46207</v>
      </c>
      <c r="U4" s="217" t="s">
        <v>34</v>
      </c>
      <c r="V4" s="218" t="s">
        <v>34</v>
      </c>
      <c r="W4" s="219">
        <v>1</v>
      </c>
      <c r="X4" s="220">
        <v>46218</v>
      </c>
      <c r="Y4" s="220">
        <v>46222</v>
      </c>
      <c r="Z4" s="221" t="s">
        <v>40</v>
      </c>
      <c r="AA4" s="88" t="s">
        <v>214</v>
      </c>
      <c r="AB4" s="222">
        <v>0</v>
      </c>
      <c r="AC4" s="223">
        <v>46223</v>
      </c>
      <c r="AD4" s="223">
        <v>46232</v>
      </c>
      <c r="AE4" s="224" t="s">
        <v>34</v>
      </c>
      <c r="AF4" s="206" t="s">
        <v>34</v>
      </c>
      <c r="AG4" s="225">
        <v>1</v>
      </c>
      <c r="AH4" s="226">
        <v>46243</v>
      </c>
      <c r="AI4" s="226">
        <v>46250</v>
      </c>
      <c r="AJ4" s="227" t="s">
        <v>40</v>
      </c>
      <c r="AK4" s="209" t="s">
        <v>215</v>
      </c>
      <c r="AL4" s="228">
        <v>0</v>
      </c>
      <c r="AM4" s="229">
        <v>46337</v>
      </c>
      <c r="AN4" s="229">
        <v>46343</v>
      </c>
      <c r="AO4" s="230" t="s">
        <v>40</v>
      </c>
      <c r="AP4" s="231">
        <v>0</v>
      </c>
    </row>
    <row r="5" spans="1:43" ht="15">
      <c r="A5" s="7" t="s">
        <v>231</v>
      </c>
      <c r="B5" s="9">
        <v>41080</v>
      </c>
      <c r="C5" s="195">
        <v>1</v>
      </c>
      <c r="D5" s="46">
        <v>46146</v>
      </c>
      <c r="E5" s="46">
        <v>46157</v>
      </c>
      <c r="F5" s="389" t="s">
        <v>34</v>
      </c>
      <c r="G5" s="34" t="s">
        <v>34</v>
      </c>
      <c r="H5" s="388">
        <v>1</v>
      </c>
      <c r="I5" s="229">
        <v>46160</v>
      </c>
      <c r="J5" s="229">
        <v>46169</v>
      </c>
      <c r="K5" s="230" t="s">
        <v>34</v>
      </c>
      <c r="L5" s="212" t="s">
        <v>34</v>
      </c>
      <c r="M5" s="231">
        <v>1</v>
      </c>
      <c r="N5" s="47">
        <v>46160</v>
      </c>
      <c r="O5" s="47">
        <v>46169</v>
      </c>
      <c r="P5" s="214" t="s">
        <v>34</v>
      </c>
      <c r="Q5" s="197" t="s">
        <v>34</v>
      </c>
      <c r="R5" s="215">
        <v>1</v>
      </c>
      <c r="S5" s="216">
        <v>46198</v>
      </c>
      <c r="T5" s="216">
        <v>46207</v>
      </c>
      <c r="U5" s="217" t="s">
        <v>34</v>
      </c>
      <c r="V5" s="218" t="s">
        <v>34</v>
      </c>
      <c r="W5" s="219">
        <v>1</v>
      </c>
      <c r="X5" s="220">
        <v>46218</v>
      </c>
      <c r="Y5" s="220">
        <v>46222</v>
      </c>
      <c r="Z5" s="232" t="s">
        <v>236</v>
      </c>
      <c r="AA5" s="88" t="s">
        <v>214</v>
      </c>
      <c r="AB5" s="222">
        <v>0</v>
      </c>
      <c r="AC5" s="223">
        <v>46223</v>
      </c>
      <c r="AD5" s="223">
        <v>46232</v>
      </c>
      <c r="AE5" s="233" t="s">
        <v>34</v>
      </c>
      <c r="AF5" s="206" t="s">
        <v>34</v>
      </c>
      <c r="AG5" s="225">
        <v>1</v>
      </c>
      <c r="AH5" s="226">
        <v>46243</v>
      </c>
      <c r="AI5" s="226">
        <v>46250</v>
      </c>
      <c r="AJ5" s="227" t="s">
        <v>40</v>
      </c>
      <c r="AK5" s="209" t="s">
        <v>215</v>
      </c>
      <c r="AL5" s="228">
        <v>0</v>
      </c>
      <c r="AM5" s="229">
        <v>46337</v>
      </c>
      <c r="AN5" s="229">
        <v>46343</v>
      </c>
      <c r="AO5" s="230" t="s">
        <v>40</v>
      </c>
      <c r="AP5" s="231">
        <v>0</v>
      </c>
    </row>
    <row r="6" spans="1:43" ht="15">
      <c r="A6" s="7" t="s">
        <v>231</v>
      </c>
      <c r="B6" s="9" t="s">
        <v>237</v>
      </c>
      <c r="C6" s="195">
        <v>1</v>
      </c>
      <c r="D6" s="46">
        <v>46146</v>
      </c>
      <c r="E6" s="46">
        <v>46157</v>
      </c>
      <c r="F6" s="389" t="s">
        <v>34</v>
      </c>
      <c r="G6" s="34" t="s">
        <v>34</v>
      </c>
      <c r="H6" s="388">
        <v>1</v>
      </c>
      <c r="I6" s="229">
        <v>46160</v>
      </c>
      <c r="J6" s="229">
        <v>46169</v>
      </c>
      <c r="K6" s="230" t="s">
        <v>34</v>
      </c>
      <c r="L6" s="212" t="s">
        <v>34</v>
      </c>
      <c r="M6" s="231">
        <v>1</v>
      </c>
      <c r="N6" s="47">
        <v>46160</v>
      </c>
      <c r="O6" s="47">
        <v>46169</v>
      </c>
      <c r="P6" s="214" t="s">
        <v>34</v>
      </c>
      <c r="Q6" s="197" t="s">
        <v>34</v>
      </c>
      <c r="R6" s="215">
        <v>1</v>
      </c>
      <c r="S6" s="216">
        <v>46198</v>
      </c>
      <c r="T6" s="216">
        <v>46207</v>
      </c>
      <c r="U6" s="217" t="s">
        <v>34</v>
      </c>
      <c r="V6" s="218" t="s">
        <v>34</v>
      </c>
      <c r="W6" s="219">
        <v>1</v>
      </c>
      <c r="X6" s="220">
        <v>46218</v>
      </c>
      <c r="Y6" s="220">
        <v>46222</v>
      </c>
      <c r="Z6" s="221" t="s">
        <v>34</v>
      </c>
      <c r="AA6" s="222" t="s">
        <v>34</v>
      </c>
      <c r="AB6" s="222">
        <v>1</v>
      </c>
      <c r="AC6" s="223">
        <v>46223</v>
      </c>
      <c r="AD6" s="223">
        <v>46232</v>
      </c>
      <c r="AE6" s="233" t="s">
        <v>34</v>
      </c>
      <c r="AF6" s="206" t="s">
        <v>34</v>
      </c>
      <c r="AG6" s="225">
        <v>1</v>
      </c>
      <c r="AH6" s="226">
        <v>46243</v>
      </c>
      <c r="AI6" s="226">
        <v>46250</v>
      </c>
      <c r="AJ6" s="227" t="s">
        <v>34</v>
      </c>
      <c r="AK6" s="228" t="s">
        <v>190</v>
      </c>
      <c r="AL6" s="228">
        <v>1</v>
      </c>
      <c r="AM6" s="229">
        <v>46337</v>
      </c>
      <c r="AN6" s="229">
        <v>46343</v>
      </c>
      <c r="AO6" s="230" t="s">
        <v>40</v>
      </c>
      <c r="AP6" s="231">
        <v>0</v>
      </c>
    </row>
    <row r="7" spans="1:43" ht="15">
      <c r="A7" s="7" t="s">
        <v>231</v>
      </c>
      <c r="B7" s="9" t="s">
        <v>238</v>
      </c>
      <c r="C7" s="195">
        <v>1</v>
      </c>
      <c r="D7" s="46">
        <v>46146</v>
      </c>
      <c r="E7" s="46">
        <v>46157</v>
      </c>
      <c r="F7" s="389" t="s">
        <v>34</v>
      </c>
      <c r="G7" s="34" t="s">
        <v>34</v>
      </c>
      <c r="H7" s="388">
        <v>1</v>
      </c>
      <c r="I7" s="229">
        <v>46160</v>
      </c>
      <c r="J7" s="229">
        <v>46169</v>
      </c>
      <c r="K7" s="230" t="s">
        <v>34</v>
      </c>
      <c r="L7" s="212" t="s">
        <v>34</v>
      </c>
      <c r="M7" s="231">
        <v>1</v>
      </c>
      <c r="N7" s="47">
        <v>46160</v>
      </c>
      <c r="O7" s="47">
        <v>46169</v>
      </c>
      <c r="P7" s="214" t="s">
        <v>34</v>
      </c>
      <c r="Q7" s="197" t="s">
        <v>34</v>
      </c>
      <c r="R7" s="215">
        <v>1</v>
      </c>
      <c r="S7" s="216">
        <v>46198</v>
      </c>
      <c r="T7" s="216">
        <v>46207</v>
      </c>
      <c r="U7" s="217" t="s">
        <v>34</v>
      </c>
      <c r="V7" s="218" t="s">
        <v>34</v>
      </c>
      <c r="W7" s="219">
        <v>1</v>
      </c>
      <c r="X7" s="220">
        <v>46218</v>
      </c>
      <c r="Y7" s="220">
        <v>46222</v>
      </c>
      <c r="Z7" s="221" t="s">
        <v>34</v>
      </c>
      <c r="AA7" s="88" t="s">
        <v>34</v>
      </c>
      <c r="AB7" s="222">
        <v>1</v>
      </c>
      <c r="AC7" s="223">
        <v>46223</v>
      </c>
      <c r="AD7" s="223">
        <v>46232</v>
      </c>
      <c r="AE7" s="233" t="s">
        <v>34</v>
      </c>
      <c r="AF7" s="206" t="s">
        <v>34</v>
      </c>
      <c r="AG7" s="225">
        <v>1</v>
      </c>
      <c r="AH7" s="226">
        <v>46243</v>
      </c>
      <c r="AI7" s="226">
        <v>46250</v>
      </c>
      <c r="AJ7" s="227" t="s">
        <v>34</v>
      </c>
      <c r="AK7" s="228" t="s">
        <v>190</v>
      </c>
      <c r="AL7" s="228">
        <v>1</v>
      </c>
      <c r="AM7" s="229">
        <v>46337</v>
      </c>
      <c r="AN7" s="229">
        <v>46343</v>
      </c>
      <c r="AO7" s="230" t="s">
        <v>40</v>
      </c>
      <c r="AP7" s="231">
        <v>0</v>
      </c>
    </row>
    <row r="8" spans="1:43" ht="15">
      <c r="A8" s="7" t="s">
        <v>231</v>
      </c>
      <c r="B8" s="9" t="s">
        <v>239</v>
      </c>
      <c r="C8" s="195">
        <v>1</v>
      </c>
      <c r="D8" s="46">
        <v>46146</v>
      </c>
      <c r="E8" s="46">
        <v>46157</v>
      </c>
      <c r="F8" s="389" t="s">
        <v>34</v>
      </c>
      <c r="G8" s="34" t="s">
        <v>34</v>
      </c>
      <c r="H8" s="388">
        <v>1</v>
      </c>
      <c r="I8" s="229">
        <v>46160</v>
      </c>
      <c r="J8" s="229">
        <v>46169</v>
      </c>
      <c r="K8" s="230" t="s">
        <v>34</v>
      </c>
      <c r="L8" s="212" t="s">
        <v>34</v>
      </c>
      <c r="M8" s="231">
        <v>1</v>
      </c>
      <c r="N8" s="47">
        <v>46160</v>
      </c>
      <c r="O8" s="47">
        <v>46169</v>
      </c>
      <c r="P8" s="214" t="s">
        <v>34</v>
      </c>
      <c r="Q8" s="197" t="s">
        <v>34</v>
      </c>
      <c r="R8" s="215">
        <v>1</v>
      </c>
      <c r="S8" s="216">
        <v>46198</v>
      </c>
      <c r="T8" s="216">
        <v>46207</v>
      </c>
      <c r="U8" s="217" t="s">
        <v>34</v>
      </c>
      <c r="V8" s="218" t="s">
        <v>34</v>
      </c>
      <c r="W8" s="219">
        <v>1</v>
      </c>
      <c r="X8" s="220">
        <v>46218</v>
      </c>
      <c r="Y8" s="220">
        <v>46222</v>
      </c>
      <c r="Z8" s="221" t="s">
        <v>34</v>
      </c>
      <c r="AA8" s="222" t="s">
        <v>34</v>
      </c>
      <c r="AB8" s="222">
        <v>1</v>
      </c>
      <c r="AC8" s="223">
        <v>46223</v>
      </c>
      <c r="AD8" s="223">
        <v>46232</v>
      </c>
      <c r="AE8" s="233" t="s">
        <v>232</v>
      </c>
      <c r="AF8" s="206" t="s">
        <v>240</v>
      </c>
      <c r="AG8" s="225">
        <v>0.7</v>
      </c>
      <c r="AH8" s="226">
        <v>46243</v>
      </c>
      <c r="AI8" s="226">
        <v>46250</v>
      </c>
      <c r="AJ8" s="227" t="s">
        <v>34</v>
      </c>
      <c r="AK8" s="228" t="s">
        <v>190</v>
      </c>
      <c r="AL8" s="228">
        <v>1</v>
      </c>
      <c r="AM8" s="229">
        <v>46337</v>
      </c>
      <c r="AN8" s="229">
        <v>46343</v>
      </c>
      <c r="AO8" s="230" t="s">
        <v>40</v>
      </c>
      <c r="AP8" s="231">
        <v>0</v>
      </c>
    </row>
    <row r="9" spans="1:43" ht="15">
      <c r="A9" s="7" t="s">
        <v>231</v>
      </c>
      <c r="B9" s="9" t="s">
        <v>241</v>
      </c>
      <c r="C9" s="195">
        <v>1</v>
      </c>
      <c r="D9" s="46">
        <v>46146</v>
      </c>
      <c r="E9" s="46">
        <v>46157</v>
      </c>
      <c r="F9" s="389" t="s">
        <v>34</v>
      </c>
      <c r="G9" s="34" t="s">
        <v>34</v>
      </c>
      <c r="H9" s="388">
        <v>1</v>
      </c>
      <c r="I9" s="229">
        <v>46160</v>
      </c>
      <c r="J9" s="229">
        <v>46169</v>
      </c>
      <c r="K9" s="230" t="s">
        <v>34</v>
      </c>
      <c r="L9" s="212" t="s">
        <v>34</v>
      </c>
      <c r="M9" s="231">
        <v>1</v>
      </c>
      <c r="N9" s="47">
        <v>46160</v>
      </c>
      <c r="O9" s="47">
        <v>46169</v>
      </c>
      <c r="P9" s="214" t="s">
        <v>34</v>
      </c>
      <c r="Q9" s="197" t="s">
        <v>34</v>
      </c>
      <c r="R9" s="215">
        <v>1</v>
      </c>
      <c r="S9" s="216">
        <v>46198</v>
      </c>
      <c r="T9" s="216">
        <v>46207</v>
      </c>
      <c r="U9" s="217" t="s">
        <v>34</v>
      </c>
      <c r="V9" s="218" t="s">
        <v>34</v>
      </c>
      <c r="W9" s="219">
        <v>1</v>
      </c>
      <c r="X9" s="220">
        <v>46218</v>
      </c>
      <c r="Y9" s="220">
        <v>46222</v>
      </c>
      <c r="Z9" s="221" t="s">
        <v>34</v>
      </c>
      <c r="AA9" s="222" t="s">
        <v>34</v>
      </c>
      <c r="AB9" s="222">
        <v>1</v>
      </c>
      <c r="AC9" s="223">
        <v>46223</v>
      </c>
      <c r="AD9" s="223">
        <v>46232</v>
      </c>
      <c r="AE9" s="233" t="s">
        <v>232</v>
      </c>
      <c r="AF9" s="206" t="s">
        <v>214</v>
      </c>
      <c r="AG9" s="225">
        <v>0.1</v>
      </c>
      <c r="AH9" s="226">
        <v>46243</v>
      </c>
      <c r="AI9" s="226">
        <v>46250</v>
      </c>
      <c r="AJ9" s="227" t="s">
        <v>34</v>
      </c>
      <c r="AK9" s="228" t="s">
        <v>190</v>
      </c>
      <c r="AL9" s="228">
        <v>1</v>
      </c>
      <c r="AM9" s="229">
        <v>46337</v>
      </c>
      <c r="AN9" s="229">
        <v>46343</v>
      </c>
      <c r="AO9" s="230" t="s">
        <v>40</v>
      </c>
      <c r="AP9" s="231">
        <v>0</v>
      </c>
    </row>
    <row r="10" spans="1:43" ht="15">
      <c r="A10" s="7" t="s">
        <v>231</v>
      </c>
      <c r="B10" s="9" t="s">
        <v>242</v>
      </c>
      <c r="C10" s="195">
        <v>1</v>
      </c>
      <c r="D10" s="46">
        <v>46146</v>
      </c>
      <c r="E10" s="46">
        <v>46157</v>
      </c>
      <c r="F10" s="389" t="s">
        <v>34</v>
      </c>
      <c r="G10" s="34" t="s">
        <v>34</v>
      </c>
      <c r="H10" s="388">
        <v>1</v>
      </c>
      <c r="I10" s="229">
        <v>46160</v>
      </c>
      <c r="J10" s="229">
        <v>46169</v>
      </c>
      <c r="K10" s="277" t="s">
        <v>34</v>
      </c>
      <c r="L10" s="212" t="s">
        <v>34</v>
      </c>
      <c r="M10" s="231">
        <v>1</v>
      </c>
      <c r="N10" s="47">
        <v>46160</v>
      </c>
      <c r="O10" s="47">
        <v>46169</v>
      </c>
      <c r="P10" s="234" t="s">
        <v>34</v>
      </c>
      <c r="Q10" s="197" t="s">
        <v>34</v>
      </c>
      <c r="R10" s="215">
        <v>1</v>
      </c>
      <c r="S10" s="216">
        <v>46198</v>
      </c>
      <c r="T10" s="216">
        <v>46207</v>
      </c>
      <c r="U10" s="217" t="s">
        <v>34</v>
      </c>
      <c r="V10" s="218" t="s">
        <v>34</v>
      </c>
      <c r="W10" s="219">
        <v>1</v>
      </c>
      <c r="X10" s="220">
        <v>46218</v>
      </c>
      <c r="Y10" s="220">
        <v>46222</v>
      </c>
      <c r="Z10" s="221" t="s">
        <v>34</v>
      </c>
      <c r="AA10" s="222" t="s">
        <v>34</v>
      </c>
      <c r="AB10" s="222">
        <v>1</v>
      </c>
      <c r="AC10" s="223">
        <v>46223</v>
      </c>
      <c r="AD10" s="223">
        <v>46232</v>
      </c>
      <c r="AE10" s="224" t="s">
        <v>34</v>
      </c>
      <c r="AF10" s="206" t="s">
        <v>34</v>
      </c>
      <c r="AG10" s="225">
        <v>1</v>
      </c>
      <c r="AH10" s="226">
        <v>46243</v>
      </c>
      <c r="AI10" s="226">
        <v>46250</v>
      </c>
      <c r="AJ10" s="227" t="s">
        <v>34</v>
      </c>
      <c r="AK10" s="228" t="s">
        <v>190</v>
      </c>
      <c r="AL10" s="228">
        <v>1</v>
      </c>
      <c r="AM10" s="229">
        <v>46337</v>
      </c>
      <c r="AN10" s="229">
        <v>46343</v>
      </c>
      <c r="AO10" s="230" t="s">
        <v>40</v>
      </c>
      <c r="AP10" s="231">
        <v>0</v>
      </c>
    </row>
    <row r="11" spans="1:43" ht="15">
      <c r="A11" s="7" t="s">
        <v>231</v>
      </c>
      <c r="B11" s="9">
        <v>41845</v>
      </c>
      <c r="C11" s="195">
        <v>1</v>
      </c>
      <c r="D11" s="46">
        <v>46146</v>
      </c>
      <c r="E11" s="46">
        <v>46157</v>
      </c>
      <c r="F11" s="389" t="s">
        <v>34</v>
      </c>
      <c r="G11" s="34" t="s">
        <v>34</v>
      </c>
      <c r="H11" s="388">
        <v>1</v>
      </c>
      <c r="I11" s="229">
        <v>46160</v>
      </c>
      <c r="J11" s="229">
        <v>46169</v>
      </c>
      <c r="K11" s="230" t="s">
        <v>34</v>
      </c>
      <c r="L11" s="278" t="s">
        <v>243</v>
      </c>
      <c r="M11" s="231">
        <v>0</v>
      </c>
      <c r="N11" s="47">
        <v>46160</v>
      </c>
      <c r="O11" s="47">
        <v>46169</v>
      </c>
      <c r="P11" s="214" t="s">
        <v>34</v>
      </c>
      <c r="Q11" s="235" t="s">
        <v>243</v>
      </c>
      <c r="R11" s="215">
        <v>0</v>
      </c>
      <c r="S11" s="216">
        <v>46198</v>
      </c>
      <c r="T11" s="216">
        <v>46207</v>
      </c>
      <c r="U11" s="217" t="s">
        <v>34</v>
      </c>
      <c r="V11" s="199" t="s">
        <v>214</v>
      </c>
      <c r="W11" s="219">
        <v>0</v>
      </c>
      <c r="X11" s="220">
        <v>46218</v>
      </c>
      <c r="Y11" s="220">
        <v>46222</v>
      </c>
      <c r="Z11" s="232" t="s">
        <v>40</v>
      </c>
      <c r="AA11" s="88" t="s">
        <v>214</v>
      </c>
      <c r="AB11" s="222">
        <v>0</v>
      </c>
      <c r="AC11" s="223">
        <v>46223</v>
      </c>
      <c r="AD11" s="223">
        <v>46232</v>
      </c>
      <c r="AE11" s="233" t="s">
        <v>34</v>
      </c>
      <c r="AF11" s="206" t="s">
        <v>214</v>
      </c>
      <c r="AG11" s="225">
        <v>0.5</v>
      </c>
      <c r="AH11" s="226">
        <v>46243</v>
      </c>
      <c r="AI11" s="226">
        <v>46250</v>
      </c>
      <c r="AJ11" s="227" t="s">
        <v>34</v>
      </c>
      <c r="AK11" s="228" t="s">
        <v>190</v>
      </c>
      <c r="AL11" s="228">
        <v>1</v>
      </c>
      <c r="AM11" s="229">
        <v>46337</v>
      </c>
      <c r="AN11" s="229">
        <v>46343</v>
      </c>
      <c r="AO11" s="230" t="s">
        <v>40</v>
      </c>
      <c r="AP11" s="231">
        <v>0</v>
      </c>
    </row>
    <row r="12" spans="1:43" ht="15">
      <c r="A12" s="7" t="s">
        <v>231</v>
      </c>
      <c r="B12" s="9" t="s">
        <v>244</v>
      </c>
      <c r="C12" s="195">
        <v>1</v>
      </c>
      <c r="D12" s="46">
        <v>46146</v>
      </c>
      <c r="E12" s="46">
        <v>46157</v>
      </c>
      <c r="F12" s="389" t="s">
        <v>34</v>
      </c>
      <c r="G12" s="34" t="s">
        <v>34</v>
      </c>
      <c r="H12" s="388">
        <v>1</v>
      </c>
      <c r="I12" s="229">
        <v>46160</v>
      </c>
      <c r="J12" s="229">
        <v>46169</v>
      </c>
      <c r="K12" s="230" t="s">
        <v>40</v>
      </c>
      <c r="L12" s="278" t="s">
        <v>243</v>
      </c>
      <c r="M12" s="231">
        <v>0.2</v>
      </c>
      <c r="N12" s="47">
        <v>46160</v>
      </c>
      <c r="O12" s="47">
        <v>46169</v>
      </c>
      <c r="P12" s="214" t="s">
        <v>40</v>
      </c>
      <c r="Q12" s="235" t="s">
        <v>243</v>
      </c>
      <c r="R12" s="215">
        <v>0.2</v>
      </c>
      <c r="S12" s="216">
        <v>46198</v>
      </c>
      <c r="T12" s="216">
        <v>46207</v>
      </c>
      <c r="U12" s="217" t="s">
        <v>40</v>
      </c>
      <c r="V12" s="199" t="s">
        <v>245</v>
      </c>
      <c r="W12" s="219">
        <v>0</v>
      </c>
      <c r="X12" s="220">
        <v>46218</v>
      </c>
      <c r="Y12" s="220">
        <v>46222</v>
      </c>
      <c r="Z12" s="221" t="s">
        <v>40</v>
      </c>
      <c r="AA12" s="88" t="s">
        <v>245</v>
      </c>
      <c r="AB12" s="222">
        <v>0</v>
      </c>
      <c r="AC12" s="223">
        <v>46223</v>
      </c>
      <c r="AD12" s="223">
        <v>46232</v>
      </c>
      <c r="AE12" s="233" t="s">
        <v>40</v>
      </c>
      <c r="AF12" s="206" t="s">
        <v>245</v>
      </c>
      <c r="AG12" s="225">
        <v>0</v>
      </c>
      <c r="AH12" s="226">
        <v>46243</v>
      </c>
      <c r="AI12" s="226">
        <v>46250</v>
      </c>
      <c r="AJ12" s="227" t="s">
        <v>34</v>
      </c>
      <c r="AK12" s="228" t="s">
        <v>190</v>
      </c>
      <c r="AL12" s="228">
        <v>1</v>
      </c>
      <c r="AM12" s="229">
        <v>46337</v>
      </c>
      <c r="AN12" s="229">
        <v>46343</v>
      </c>
      <c r="AO12" s="230" t="s">
        <v>40</v>
      </c>
      <c r="AP12" s="231">
        <v>0</v>
      </c>
    </row>
    <row r="13" spans="1:43" s="124" customFormat="1" ht="17.25" customHeight="1">
      <c r="A13" s="120" t="s">
        <v>231</v>
      </c>
      <c r="B13" s="295" t="s">
        <v>246</v>
      </c>
      <c r="C13" s="195">
        <v>1</v>
      </c>
      <c r="D13" s="121">
        <v>46146</v>
      </c>
      <c r="E13" s="121">
        <v>46157</v>
      </c>
      <c r="F13" s="389" t="s">
        <v>34</v>
      </c>
      <c r="G13" s="34" t="s">
        <v>34</v>
      </c>
      <c r="H13" s="388">
        <v>1</v>
      </c>
      <c r="I13" s="210">
        <v>46160</v>
      </c>
      <c r="J13" s="210">
        <v>46169</v>
      </c>
      <c r="K13" s="211" t="s">
        <v>40</v>
      </c>
      <c r="L13" s="278" t="s">
        <v>243</v>
      </c>
      <c r="M13" s="212">
        <v>0</v>
      </c>
      <c r="N13" s="122">
        <v>46160</v>
      </c>
      <c r="O13" s="122">
        <v>46169</v>
      </c>
      <c r="P13" s="196" t="s">
        <v>40</v>
      </c>
      <c r="Q13" s="235" t="s">
        <v>243</v>
      </c>
      <c r="R13" s="197">
        <v>0</v>
      </c>
      <c r="S13" s="198">
        <v>46198</v>
      </c>
      <c r="T13" s="198">
        <v>46207</v>
      </c>
      <c r="U13" s="218" t="s">
        <v>40</v>
      </c>
      <c r="V13" s="200" t="s">
        <v>247</v>
      </c>
      <c r="W13" s="201">
        <v>0</v>
      </c>
      <c r="X13" s="202">
        <v>46218</v>
      </c>
      <c r="Y13" s="202">
        <v>46222</v>
      </c>
      <c r="Z13" s="203" t="s">
        <v>40</v>
      </c>
      <c r="AA13" s="88" t="s">
        <v>234</v>
      </c>
      <c r="AB13" s="88">
        <v>0</v>
      </c>
      <c r="AC13" s="204">
        <v>46223</v>
      </c>
      <c r="AD13" s="204">
        <v>46232</v>
      </c>
      <c r="AE13" s="205" t="s">
        <v>40</v>
      </c>
      <c r="AF13" s="206" t="s">
        <v>247</v>
      </c>
      <c r="AG13" s="206">
        <v>1</v>
      </c>
      <c r="AH13" s="207">
        <v>46243</v>
      </c>
      <c r="AI13" s="207">
        <v>46250</v>
      </c>
      <c r="AJ13" s="208" t="s">
        <v>34</v>
      </c>
      <c r="AK13" s="209" t="s">
        <v>190</v>
      </c>
      <c r="AL13" s="209">
        <v>1</v>
      </c>
      <c r="AM13" s="210">
        <v>46337</v>
      </c>
      <c r="AN13" s="210">
        <v>46343</v>
      </c>
      <c r="AO13" s="211" t="s">
        <v>40</v>
      </c>
      <c r="AP13" s="212">
        <v>0</v>
      </c>
    </row>
    <row r="14" spans="1:43" ht="15">
      <c r="A14" s="7" t="s">
        <v>231</v>
      </c>
      <c r="B14" s="9" t="s">
        <v>248</v>
      </c>
      <c r="C14" s="195">
        <v>1</v>
      </c>
      <c r="D14" s="46">
        <v>46146</v>
      </c>
      <c r="E14" s="46">
        <v>46157</v>
      </c>
      <c r="F14" s="450" t="s">
        <v>34</v>
      </c>
      <c r="G14" s="389" t="s">
        <v>34</v>
      </c>
      <c r="H14" s="449">
        <v>1</v>
      </c>
      <c r="I14" s="229">
        <v>46160</v>
      </c>
      <c r="J14" s="229">
        <v>46169</v>
      </c>
      <c r="K14" s="230" t="s">
        <v>40</v>
      </c>
      <c r="L14" s="212" t="s">
        <v>34</v>
      </c>
      <c r="M14" s="231">
        <v>1</v>
      </c>
      <c r="N14" s="47">
        <v>46160</v>
      </c>
      <c r="O14" s="47">
        <v>46169</v>
      </c>
      <c r="P14" s="214" t="s">
        <v>40</v>
      </c>
      <c r="Q14" s="197" t="s">
        <v>34</v>
      </c>
      <c r="R14" s="215">
        <v>1</v>
      </c>
      <c r="S14" s="216">
        <v>46198</v>
      </c>
      <c r="T14" s="216">
        <v>46207</v>
      </c>
      <c r="U14" s="217" t="s">
        <v>40</v>
      </c>
      <c r="V14" s="218" t="s">
        <v>34</v>
      </c>
      <c r="W14" s="219">
        <v>1</v>
      </c>
      <c r="X14" s="220">
        <v>46218</v>
      </c>
      <c r="Y14" s="220">
        <v>46222</v>
      </c>
      <c r="Z14" s="221" t="s">
        <v>40</v>
      </c>
      <c r="AA14" s="88" t="s">
        <v>234</v>
      </c>
      <c r="AB14" s="222">
        <v>0</v>
      </c>
      <c r="AC14" s="223">
        <v>46223</v>
      </c>
      <c r="AD14" s="223">
        <v>46232</v>
      </c>
      <c r="AE14" s="233" t="s">
        <v>40</v>
      </c>
      <c r="AF14" s="206" t="s">
        <v>34</v>
      </c>
      <c r="AG14" s="225">
        <v>1</v>
      </c>
      <c r="AH14" s="226">
        <v>46243</v>
      </c>
      <c r="AI14" s="226">
        <v>46250</v>
      </c>
      <c r="AJ14" s="227" t="s">
        <v>34</v>
      </c>
      <c r="AK14" s="228" t="s">
        <v>190</v>
      </c>
      <c r="AL14" s="228">
        <v>1</v>
      </c>
      <c r="AM14" s="229">
        <v>46337</v>
      </c>
      <c r="AN14" s="229">
        <v>46343</v>
      </c>
      <c r="AO14" s="230" t="s">
        <v>40</v>
      </c>
      <c r="AP14" s="231">
        <v>0</v>
      </c>
    </row>
    <row r="15" spans="1:43" ht="15">
      <c r="A15" s="7" t="s">
        <v>231</v>
      </c>
      <c r="B15" s="9" t="s">
        <v>249</v>
      </c>
      <c r="C15" s="195">
        <v>1</v>
      </c>
      <c r="D15" s="46">
        <v>46146</v>
      </c>
      <c r="E15" s="46">
        <v>46157</v>
      </c>
      <c r="F15" s="389" t="s">
        <v>34</v>
      </c>
      <c r="G15" s="34" t="s">
        <v>34</v>
      </c>
      <c r="H15" s="388">
        <v>1</v>
      </c>
      <c r="I15" s="229">
        <v>46160</v>
      </c>
      <c r="J15" s="229">
        <v>46169</v>
      </c>
      <c r="K15" s="230" t="s">
        <v>232</v>
      </c>
      <c r="L15" s="212" t="s">
        <v>235</v>
      </c>
      <c r="M15" s="231">
        <v>0.5</v>
      </c>
      <c r="N15" s="47">
        <v>46160</v>
      </c>
      <c r="O15" s="47">
        <v>46169</v>
      </c>
      <c r="P15" s="214" t="s">
        <v>232</v>
      </c>
      <c r="Q15" s="197" t="s">
        <v>235</v>
      </c>
      <c r="R15" s="215">
        <v>0.5</v>
      </c>
      <c r="S15" s="216">
        <v>46198</v>
      </c>
      <c r="T15" s="216">
        <v>46207</v>
      </c>
      <c r="U15" s="217" t="s">
        <v>34</v>
      </c>
      <c r="V15" s="218" t="s">
        <v>34</v>
      </c>
      <c r="W15" s="219">
        <v>1</v>
      </c>
      <c r="X15" s="220">
        <v>46218</v>
      </c>
      <c r="Y15" s="220">
        <v>46222</v>
      </c>
      <c r="Z15" s="221" t="s">
        <v>34</v>
      </c>
      <c r="AA15" s="221" t="s">
        <v>34</v>
      </c>
      <c r="AB15" s="222">
        <v>1</v>
      </c>
      <c r="AC15" s="223">
        <v>46223</v>
      </c>
      <c r="AD15" s="223">
        <v>46232</v>
      </c>
      <c r="AE15" s="224" t="s">
        <v>232</v>
      </c>
      <c r="AF15" s="206" t="s">
        <v>214</v>
      </c>
      <c r="AG15" s="225">
        <v>0.5</v>
      </c>
      <c r="AH15" s="226">
        <v>46243</v>
      </c>
      <c r="AI15" s="226">
        <v>46250</v>
      </c>
      <c r="AJ15" s="227" t="s">
        <v>40</v>
      </c>
      <c r="AK15" s="209" t="s">
        <v>215</v>
      </c>
      <c r="AL15" s="228">
        <v>0</v>
      </c>
      <c r="AM15" s="229">
        <v>46337</v>
      </c>
      <c r="AN15" s="229">
        <v>46343</v>
      </c>
      <c r="AO15" s="230" t="s">
        <v>40</v>
      </c>
      <c r="AP15" s="231">
        <v>0</v>
      </c>
    </row>
    <row r="16" spans="1:43" ht="15">
      <c r="A16" s="7" t="s">
        <v>231</v>
      </c>
      <c r="B16" s="9" t="s">
        <v>250</v>
      </c>
      <c r="C16" s="195">
        <v>1</v>
      </c>
      <c r="D16" s="46">
        <v>46146</v>
      </c>
      <c r="E16" s="46">
        <v>46157</v>
      </c>
      <c r="F16" s="390" t="s">
        <v>219</v>
      </c>
      <c r="G16" s="391" t="s">
        <v>219</v>
      </c>
      <c r="H16" s="387">
        <v>0</v>
      </c>
      <c r="I16" s="229">
        <v>46160</v>
      </c>
      <c r="J16" s="229">
        <v>46169</v>
      </c>
      <c r="K16" s="230" t="s">
        <v>40</v>
      </c>
      <c r="L16" s="212" t="s">
        <v>251</v>
      </c>
      <c r="M16" s="231">
        <v>0</v>
      </c>
      <c r="N16" s="47">
        <v>46160</v>
      </c>
      <c r="O16" s="47">
        <v>46169</v>
      </c>
      <c r="P16" s="214" t="s">
        <v>40</v>
      </c>
      <c r="Q16" s="197" t="s">
        <v>251</v>
      </c>
      <c r="R16" s="215">
        <v>0</v>
      </c>
      <c r="S16" s="216">
        <v>46198</v>
      </c>
      <c r="T16" s="216">
        <v>46207</v>
      </c>
      <c r="U16" s="217" t="s">
        <v>40</v>
      </c>
      <c r="V16" s="218" t="s">
        <v>251</v>
      </c>
      <c r="W16" s="219">
        <v>0</v>
      </c>
      <c r="X16" s="220">
        <v>46218</v>
      </c>
      <c r="Y16" s="220">
        <v>46222</v>
      </c>
      <c r="Z16" s="221" t="s">
        <v>40</v>
      </c>
      <c r="AA16" s="88" t="s">
        <v>234</v>
      </c>
      <c r="AB16" s="222">
        <v>0</v>
      </c>
      <c r="AC16" s="223">
        <v>46223</v>
      </c>
      <c r="AD16" s="223">
        <v>46232</v>
      </c>
      <c r="AE16" s="233" t="s">
        <v>40</v>
      </c>
      <c r="AF16" s="206" t="s">
        <v>234</v>
      </c>
      <c r="AG16" s="225">
        <v>0</v>
      </c>
      <c r="AH16" s="226">
        <v>46243</v>
      </c>
      <c r="AI16" s="226">
        <v>46250</v>
      </c>
      <c r="AJ16" s="227" t="s">
        <v>40</v>
      </c>
      <c r="AK16" s="209" t="s">
        <v>215</v>
      </c>
      <c r="AL16" s="228">
        <v>0</v>
      </c>
      <c r="AM16" s="229">
        <v>46337</v>
      </c>
      <c r="AN16" s="229">
        <v>46343</v>
      </c>
      <c r="AO16" s="230" t="s">
        <v>40</v>
      </c>
      <c r="AP16" s="231">
        <v>0</v>
      </c>
    </row>
    <row r="17" spans="1:42" ht="15">
      <c r="A17" s="7" t="s">
        <v>231</v>
      </c>
      <c r="B17" s="9" t="s">
        <v>252</v>
      </c>
      <c r="C17" s="195">
        <v>1</v>
      </c>
      <c r="D17" s="46">
        <v>46146</v>
      </c>
      <c r="E17" s="46">
        <v>46157</v>
      </c>
      <c r="F17" s="389" t="s">
        <v>34</v>
      </c>
      <c r="G17" s="34" t="s">
        <v>34</v>
      </c>
      <c r="H17" s="388">
        <v>1</v>
      </c>
      <c r="I17" s="229">
        <v>46160</v>
      </c>
      <c r="J17" s="229">
        <v>46169</v>
      </c>
      <c r="K17" s="230" t="s">
        <v>40</v>
      </c>
      <c r="L17" s="212" t="s">
        <v>34</v>
      </c>
      <c r="M17" s="231">
        <v>1</v>
      </c>
      <c r="N17" s="47">
        <v>46160</v>
      </c>
      <c r="O17" s="47">
        <v>46169</v>
      </c>
      <c r="P17" s="214" t="s">
        <v>34</v>
      </c>
      <c r="Q17" s="197" t="s">
        <v>34</v>
      </c>
      <c r="R17" s="215">
        <v>1</v>
      </c>
      <c r="S17" s="216">
        <v>46198</v>
      </c>
      <c r="T17" s="216">
        <v>46207</v>
      </c>
      <c r="U17" s="217" t="s">
        <v>34</v>
      </c>
      <c r="V17" s="218" t="s">
        <v>34</v>
      </c>
      <c r="W17" s="219">
        <v>1</v>
      </c>
      <c r="X17" s="220">
        <v>46218</v>
      </c>
      <c r="Y17" s="220">
        <v>46222</v>
      </c>
      <c r="Z17" s="221" t="s">
        <v>34</v>
      </c>
      <c r="AA17" s="222" t="s">
        <v>34</v>
      </c>
      <c r="AB17" s="222">
        <v>1</v>
      </c>
      <c r="AC17" s="223">
        <v>46223</v>
      </c>
      <c r="AD17" s="223">
        <v>46232</v>
      </c>
      <c r="AE17" s="233" t="s">
        <v>34</v>
      </c>
      <c r="AF17" s="206" t="s">
        <v>34</v>
      </c>
      <c r="AG17" s="225">
        <v>1</v>
      </c>
      <c r="AH17" s="226">
        <v>46243</v>
      </c>
      <c r="AI17" s="226">
        <v>46250</v>
      </c>
      <c r="AJ17" s="227" t="s">
        <v>34</v>
      </c>
      <c r="AK17" s="228" t="s">
        <v>190</v>
      </c>
      <c r="AL17" s="228">
        <v>1</v>
      </c>
      <c r="AM17" s="229">
        <v>46337</v>
      </c>
      <c r="AN17" s="229">
        <v>46343</v>
      </c>
      <c r="AO17" s="230" t="s">
        <v>40</v>
      </c>
      <c r="AP17" s="231">
        <v>0</v>
      </c>
    </row>
    <row r="18" spans="1:42" ht="15">
      <c r="A18" s="7" t="s">
        <v>231</v>
      </c>
      <c r="B18" s="9" t="s">
        <v>253</v>
      </c>
      <c r="C18" s="195">
        <v>1</v>
      </c>
      <c r="D18" s="46">
        <v>46146</v>
      </c>
      <c r="E18" s="46">
        <v>46157</v>
      </c>
      <c r="F18" s="389" t="s">
        <v>34</v>
      </c>
      <c r="G18" s="34" t="s">
        <v>34</v>
      </c>
      <c r="H18" s="388">
        <v>1</v>
      </c>
      <c r="I18" s="229">
        <v>46160</v>
      </c>
      <c r="J18" s="229">
        <v>46169</v>
      </c>
      <c r="K18" s="230" t="s">
        <v>34</v>
      </c>
      <c r="L18" s="212" t="s">
        <v>34</v>
      </c>
      <c r="M18" s="231">
        <v>1</v>
      </c>
      <c r="N18" s="47">
        <v>46160</v>
      </c>
      <c r="O18" s="47">
        <v>46169</v>
      </c>
      <c r="P18" s="214" t="s">
        <v>34</v>
      </c>
      <c r="Q18" s="197" t="s">
        <v>34</v>
      </c>
      <c r="R18" s="215">
        <v>1</v>
      </c>
      <c r="S18" s="216">
        <v>46198</v>
      </c>
      <c r="T18" s="216">
        <v>46207</v>
      </c>
      <c r="U18" s="217" t="s">
        <v>34</v>
      </c>
      <c r="V18" s="218" t="s">
        <v>34</v>
      </c>
      <c r="W18" s="219">
        <v>1</v>
      </c>
      <c r="X18" s="220">
        <v>46218</v>
      </c>
      <c r="Y18" s="220">
        <v>46222</v>
      </c>
      <c r="Z18" s="221" t="s">
        <v>34</v>
      </c>
      <c r="AA18" s="222" t="s">
        <v>34</v>
      </c>
      <c r="AB18" s="222">
        <v>1</v>
      </c>
      <c r="AC18" s="223">
        <v>46223</v>
      </c>
      <c r="AD18" s="223">
        <v>46232</v>
      </c>
      <c r="AE18" s="233" t="s">
        <v>40</v>
      </c>
      <c r="AF18" s="206" t="s">
        <v>214</v>
      </c>
      <c r="AG18" s="225">
        <v>0</v>
      </c>
      <c r="AH18" s="226">
        <v>46243</v>
      </c>
      <c r="AI18" s="226">
        <v>46250</v>
      </c>
      <c r="AJ18" s="227" t="s">
        <v>34</v>
      </c>
      <c r="AK18" s="228" t="s">
        <v>190</v>
      </c>
      <c r="AL18" s="228">
        <v>1</v>
      </c>
      <c r="AM18" s="229">
        <v>46337</v>
      </c>
      <c r="AN18" s="229">
        <v>46343</v>
      </c>
      <c r="AO18" s="230" t="s">
        <v>40</v>
      </c>
      <c r="AP18" s="231">
        <v>0</v>
      </c>
    </row>
    <row r="19" spans="1:42" ht="15">
      <c r="A19" s="7" t="s">
        <v>231</v>
      </c>
      <c r="B19" s="9" t="s">
        <v>254</v>
      </c>
      <c r="C19" s="195">
        <v>1</v>
      </c>
      <c r="D19" s="46">
        <v>46146</v>
      </c>
      <c r="E19" s="46">
        <v>46157</v>
      </c>
      <c r="F19" s="390" t="s">
        <v>219</v>
      </c>
      <c r="G19" s="391" t="s">
        <v>219</v>
      </c>
      <c r="H19" s="387">
        <v>0</v>
      </c>
      <c r="I19" s="229">
        <v>46160</v>
      </c>
      <c r="J19" s="229">
        <v>46169</v>
      </c>
      <c r="K19" s="230" t="s">
        <v>40</v>
      </c>
      <c r="L19" s="212" t="s">
        <v>251</v>
      </c>
      <c r="M19" s="231">
        <v>0</v>
      </c>
      <c r="N19" s="47">
        <v>46160</v>
      </c>
      <c r="O19" s="47">
        <v>46169</v>
      </c>
      <c r="P19" s="214" t="s">
        <v>40</v>
      </c>
      <c r="Q19" s="197" t="s">
        <v>251</v>
      </c>
      <c r="R19" s="215">
        <v>0</v>
      </c>
      <c r="S19" s="216">
        <v>46198</v>
      </c>
      <c r="T19" s="216">
        <v>46207</v>
      </c>
      <c r="U19" s="217" t="s">
        <v>40</v>
      </c>
      <c r="V19" s="218" t="s">
        <v>251</v>
      </c>
      <c r="W19" s="219">
        <v>0</v>
      </c>
      <c r="X19" s="220">
        <v>46218</v>
      </c>
      <c r="Y19" s="220">
        <v>46222</v>
      </c>
      <c r="Z19" s="221" t="s">
        <v>40</v>
      </c>
      <c r="AA19" s="88" t="s">
        <v>234</v>
      </c>
      <c r="AB19" s="222">
        <v>0</v>
      </c>
      <c r="AC19" s="223">
        <v>46223</v>
      </c>
      <c r="AD19" s="223">
        <v>46232</v>
      </c>
      <c r="AE19" s="233" t="s">
        <v>40</v>
      </c>
      <c r="AF19" s="206" t="s">
        <v>234</v>
      </c>
      <c r="AG19" s="225">
        <v>0</v>
      </c>
      <c r="AH19" s="226">
        <v>46243</v>
      </c>
      <c r="AI19" s="226">
        <v>46250</v>
      </c>
      <c r="AJ19" s="227" t="s">
        <v>34</v>
      </c>
      <c r="AK19" s="228" t="s">
        <v>190</v>
      </c>
      <c r="AL19" s="228">
        <v>1</v>
      </c>
      <c r="AM19" s="229">
        <v>46337</v>
      </c>
      <c r="AN19" s="229">
        <v>46343</v>
      </c>
      <c r="AO19" s="230" t="s">
        <v>40</v>
      </c>
      <c r="AP19" s="231">
        <v>0</v>
      </c>
    </row>
    <row r="20" spans="1:42" ht="15">
      <c r="A20" s="7" t="s">
        <v>231</v>
      </c>
      <c r="B20" s="9">
        <v>41130</v>
      </c>
      <c r="C20" s="195">
        <v>1</v>
      </c>
      <c r="D20" s="46">
        <v>46146</v>
      </c>
      <c r="E20" s="46">
        <v>46157</v>
      </c>
      <c r="F20" s="389" t="s">
        <v>34</v>
      </c>
      <c r="G20" s="34" t="s">
        <v>34</v>
      </c>
      <c r="H20" s="388">
        <v>1</v>
      </c>
      <c r="I20" s="229">
        <v>46160</v>
      </c>
      <c r="J20" s="229">
        <v>46169</v>
      </c>
      <c r="K20" s="230" t="s">
        <v>40</v>
      </c>
      <c r="L20" s="212" t="s">
        <v>214</v>
      </c>
      <c r="M20" s="231">
        <v>0</v>
      </c>
      <c r="N20" s="47">
        <v>46160</v>
      </c>
      <c r="O20" s="47">
        <v>46169</v>
      </c>
      <c r="P20" s="214" t="s">
        <v>40</v>
      </c>
      <c r="Q20" s="197" t="s">
        <v>214</v>
      </c>
      <c r="R20" s="215">
        <v>0</v>
      </c>
      <c r="S20" s="216">
        <v>46198</v>
      </c>
      <c r="T20" s="216">
        <v>46207</v>
      </c>
      <c r="U20" s="217" t="s">
        <v>40</v>
      </c>
      <c r="V20" s="199" t="s">
        <v>214</v>
      </c>
      <c r="W20" s="219">
        <v>0</v>
      </c>
      <c r="X20" s="220">
        <v>46218</v>
      </c>
      <c r="Y20" s="220">
        <v>46222</v>
      </c>
      <c r="Z20" s="221" t="s">
        <v>40</v>
      </c>
      <c r="AA20" s="88" t="s">
        <v>214</v>
      </c>
      <c r="AB20" s="222">
        <v>0</v>
      </c>
      <c r="AC20" s="223">
        <v>46223</v>
      </c>
      <c r="AD20" s="223">
        <v>46232</v>
      </c>
      <c r="AE20" s="233" t="s">
        <v>40</v>
      </c>
      <c r="AF20" s="206" t="s">
        <v>214</v>
      </c>
      <c r="AG20" s="225">
        <v>0</v>
      </c>
      <c r="AH20" s="226">
        <v>46243</v>
      </c>
      <c r="AI20" s="226">
        <v>46250</v>
      </c>
      <c r="AJ20" s="227" t="s">
        <v>34</v>
      </c>
      <c r="AK20" s="228" t="s">
        <v>190</v>
      </c>
      <c r="AL20" s="228">
        <v>1</v>
      </c>
      <c r="AM20" s="229">
        <v>46337</v>
      </c>
      <c r="AN20" s="229">
        <v>46343</v>
      </c>
      <c r="AO20" s="230" t="s">
        <v>40</v>
      </c>
      <c r="AP20" s="231">
        <v>0</v>
      </c>
    </row>
    <row r="21" spans="1:42" ht="15">
      <c r="A21" s="7" t="s">
        <v>231</v>
      </c>
      <c r="B21" s="9">
        <v>41535</v>
      </c>
      <c r="C21" s="195">
        <v>1</v>
      </c>
      <c r="D21" s="46">
        <v>46146</v>
      </c>
      <c r="E21" s="46">
        <v>46157</v>
      </c>
      <c r="F21" s="389" t="s">
        <v>40</v>
      </c>
      <c r="G21" s="440" t="s">
        <v>255</v>
      </c>
      <c r="H21" s="388">
        <v>0</v>
      </c>
      <c r="I21" s="229">
        <v>46160</v>
      </c>
      <c r="J21" s="229">
        <v>46169</v>
      </c>
      <c r="K21" s="230" t="s">
        <v>40</v>
      </c>
      <c r="L21" s="212" t="s">
        <v>251</v>
      </c>
      <c r="M21" s="231">
        <v>0</v>
      </c>
      <c r="N21" s="47">
        <v>46160</v>
      </c>
      <c r="O21" s="47">
        <v>46169</v>
      </c>
      <c r="P21" s="214" t="s">
        <v>40</v>
      </c>
      <c r="Q21" s="197" t="s">
        <v>251</v>
      </c>
      <c r="R21" s="215">
        <v>0</v>
      </c>
      <c r="S21" s="216">
        <v>46198</v>
      </c>
      <c r="T21" s="216">
        <v>46207</v>
      </c>
      <c r="U21" s="217" t="s">
        <v>40</v>
      </c>
      <c r="V21" s="218" t="s">
        <v>251</v>
      </c>
      <c r="W21" s="219">
        <v>0</v>
      </c>
      <c r="X21" s="220">
        <v>46218</v>
      </c>
      <c r="Y21" s="220">
        <v>46222</v>
      </c>
      <c r="Z21" s="221" t="s">
        <v>40</v>
      </c>
      <c r="AA21" s="88" t="s">
        <v>234</v>
      </c>
      <c r="AB21" s="222">
        <v>0</v>
      </c>
      <c r="AC21" s="223">
        <v>46223</v>
      </c>
      <c r="AD21" s="223">
        <v>46232</v>
      </c>
      <c r="AE21" s="233" t="s">
        <v>40</v>
      </c>
      <c r="AF21" s="206" t="s">
        <v>234</v>
      </c>
      <c r="AG21" s="225">
        <v>0</v>
      </c>
      <c r="AH21" s="226">
        <v>46243</v>
      </c>
      <c r="AI21" s="226">
        <v>46250</v>
      </c>
      <c r="AJ21" s="227" t="s">
        <v>34</v>
      </c>
      <c r="AK21" s="228" t="s">
        <v>190</v>
      </c>
      <c r="AL21" s="228">
        <v>1</v>
      </c>
      <c r="AM21" s="229">
        <v>46337</v>
      </c>
      <c r="AN21" s="229">
        <v>46343</v>
      </c>
      <c r="AO21" s="230" t="s">
        <v>40</v>
      </c>
      <c r="AP21" s="231">
        <v>0</v>
      </c>
    </row>
    <row r="22" spans="1:42" ht="15">
      <c r="A22" s="7" t="s">
        <v>231</v>
      </c>
      <c r="B22" s="9">
        <v>41435</v>
      </c>
      <c r="C22" s="195">
        <v>1</v>
      </c>
      <c r="D22" s="46">
        <v>46146</v>
      </c>
      <c r="E22" s="46">
        <v>46157</v>
      </c>
      <c r="F22" s="389" t="s">
        <v>222</v>
      </c>
      <c r="G22" s="34" t="s">
        <v>222</v>
      </c>
      <c r="H22" s="388">
        <v>0.2</v>
      </c>
      <c r="I22" s="229">
        <v>46160</v>
      </c>
      <c r="J22" s="229">
        <v>46169</v>
      </c>
      <c r="K22" s="230" t="s">
        <v>40</v>
      </c>
      <c r="L22" s="212" t="s">
        <v>251</v>
      </c>
      <c r="M22" s="231">
        <v>0</v>
      </c>
      <c r="N22" s="47">
        <v>46160</v>
      </c>
      <c r="O22" s="47">
        <v>46169</v>
      </c>
      <c r="P22" s="214" t="s">
        <v>40</v>
      </c>
      <c r="Q22" s="197" t="s">
        <v>251</v>
      </c>
      <c r="R22" s="215">
        <v>0</v>
      </c>
      <c r="S22" s="216">
        <v>46198</v>
      </c>
      <c r="T22" s="216">
        <v>46207</v>
      </c>
      <c r="U22" s="217" t="s">
        <v>40</v>
      </c>
      <c r="V22" s="218" t="s">
        <v>251</v>
      </c>
      <c r="W22" s="219">
        <v>0</v>
      </c>
      <c r="X22" s="220">
        <v>46218</v>
      </c>
      <c r="Y22" s="220">
        <v>46222</v>
      </c>
      <c r="Z22" s="221" t="s">
        <v>40</v>
      </c>
      <c r="AA22" s="88" t="s">
        <v>234</v>
      </c>
      <c r="AB22" s="222">
        <v>0</v>
      </c>
      <c r="AC22" s="223">
        <v>46223</v>
      </c>
      <c r="AD22" s="223">
        <v>46232</v>
      </c>
      <c r="AE22" s="233" t="s">
        <v>40</v>
      </c>
      <c r="AF22" s="206" t="s">
        <v>234</v>
      </c>
      <c r="AG22" s="225">
        <v>0</v>
      </c>
      <c r="AH22" s="226">
        <v>46243</v>
      </c>
      <c r="AI22" s="226">
        <v>46250</v>
      </c>
      <c r="AJ22" s="227" t="s">
        <v>34</v>
      </c>
      <c r="AK22" s="228" t="s">
        <v>190</v>
      </c>
      <c r="AL22" s="228">
        <v>1</v>
      </c>
      <c r="AM22" s="229">
        <v>46337</v>
      </c>
      <c r="AN22" s="229">
        <v>46343</v>
      </c>
      <c r="AO22" s="230" t="s">
        <v>40</v>
      </c>
      <c r="AP22" s="231">
        <v>0</v>
      </c>
    </row>
    <row r="23" spans="1:42" ht="15">
      <c r="A23" s="7" t="s">
        <v>231</v>
      </c>
      <c r="B23" s="9">
        <v>41325</v>
      </c>
      <c r="C23" s="195">
        <v>1</v>
      </c>
      <c r="D23" s="46">
        <v>46146</v>
      </c>
      <c r="E23" s="46">
        <v>46157</v>
      </c>
      <c r="F23" s="389" t="s">
        <v>222</v>
      </c>
      <c r="G23" s="34" t="s">
        <v>222</v>
      </c>
      <c r="H23" s="388">
        <v>0.2</v>
      </c>
      <c r="I23" s="229">
        <v>46160</v>
      </c>
      <c r="J23" s="229">
        <v>46169</v>
      </c>
      <c r="K23" s="230" t="s">
        <v>40</v>
      </c>
      <c r="L23" s="212" t="s">
        <v>256</v>
      </c>
      <c r="M23" s="231">
        <v>0</v>
      </c>
      <c r="N23" s="47">
        <v>46160</v>
      </c>
      <c r="O23" s="47">
        <v>46169</v>
      </c>
      <c r="P23" s="214" t="s">
        <v>40</v>
      </c>
      <c r="Q23" s="197" t="s">
        <v>256</v>
      </c>
      <c r="R23" s="215">
        <v>0</v>
      </c>
      <c r="S23" s="216">
        <v>46198</v>
      </c>
      <c r="T23" s="216">
        <v>46207</v>
      </c>
      <c r="U23" s="236" t="s">
        <v>34</v>
      </c>
      <c r="V23" s="199" t="s">
        <v>257</v>
      </c>
      <c r="W23" s="219">
        <v>1</v>
      </c>
      <c r="X23" s="220">
        <v>46218</v>
      </c>
      <c r="Y23" s="220">
        <v>46222</v>
      </c>
      <c r="Z23" s="221" t="s">
        <v>40</v>
      </c>
      <c r="AA23" s="88" t="s">
        <v>256</v>
      </c>
      <c r="AB23" s="222">
        <v>0</v>
      </c>
      <c r="AC23" s="223">
        <v>46223</v>
      </c>
      <c r="AD23" s="223">
        <v>46232</v>
      </c>
      <c r="AE23" s="224" t="s">
        <v>34</v>
      </c>
      <c r="AF23" s="206" t="s">
        <v>258</v>
      </c>
      <c r="AG23" s="225">
        <v>1</v>
      </c>
      <c r="AH23" s="226">
        <v>46243</v>
      </c>
      <c r="AI23" s="226">
        <v>46250</v>
      </c>
      <c r="AJ23" s="227" t="s">
        <v>34</v>
      </c>
      <c r="AK23" s="228" t="s">
        <v>190</v>
      </c>
      <c r="AL23" s="228">
        <v>1</v>
      </c>
      <c r="AM23" s="229">
        <v>46337</v>
      </c>
      <c r="AN23" s="229">
        <v>46343</v>
      </c>
      <c r="AO23" s="230" t="s">
        <v>40</v>
      </c>
      <c r="AP23" s="231">
        <v>0</v>
      </c>
    </row>
    <row r="24" spans="1:42" ht="15">
      <c r="A24" s="7" t="s">
        <v>231</v>
      </c>
      <c r="B24" s="9" t="s">
        <v>259</v>
      </c>
      <c r="C24" s="195">
        <v>1</v>
      </c>
      <c r="D24" s="46">
        <v>46146</v>
      </c>
      <c r="E24" s="46">
        <v>46157</v>
      </c>
      <c r="F24" s="389" t="s">
        <v>34</v>
      </c>
      <c r="G24" s="438" t="s">
        <v>260</v>
      </c>
      <c r="H24" s="388">
        <v>0.95</v>
      </c>
      <c r="I24" s="229">
        <v>46160</v>
      </c>
      <c r="J24" s="229">
        <v>46169</v>
      </c>
      <c r="K24" s="230" t="s">
        <v>40</v>
      </c>
      <c r="L24" s="212" t="s">
        <v>234</v>
      </c>
      <c r="M24" s="231">
        <v>0</v>
      </c>
      <c r="N24" s="47">
        <v>46160</v>
      </c>
      <c r="O24" s="47">
        <v>46169</v>
      </c>
      <c r="P24" s="214" t="s">
        <v>40</v>
      </c>
      <c r="Q24" s="197" t="s">
        <v>234</v>
      </c>
      <c r="R24" s="215">
        <v>0</v>
      </c>
      <c r="S24" s="216">
        <v>46198</v>
      </c>
      <c r="T24" s="216">
        <v>46207</v>
      </c>
      <c r="U24" s="217" t="s">
        <v>40</v>
      </c>
      <c r="V24" s="199" t="s">
        <v>234</v>
      </c>
      <c r="W24" s="219">
        <v>0</v>
      </c>
      <c r="X24" s="220">
        <v>46218</v>
      </c>
      <c r="Y24" s="220">
        <v>46222</v>
      </c>
      <c r="Z24" s="221" t="s">
        <v>40</v>
      </c>
      <c r="AA24" s="88" t="s">
        <v>234</v>
      </c>
      <c r="AB24" s="222">
        <v>0</v>
      </c>
      <c r="AC24" s="223">
        <v>46223</v>
      </c>
      <c r="AD24" s="223">
        <v>46232</v>
      </c>
      <c r="AE24" s="233" t="s">
        <v>40</v>
      </c>
      <c r="AF24" s="206" t="s">
        <v>234</v>
      </c>
      <c r="AG24" s="225">
        <v>0</v>
      </c>
      <c r="AH24" s="226">
        <v>46243</v>
      </c>
      <c r="AI24" s="226">
        <v>46250</v>
      </c>
      <c r="AJ24" s="227" t="s">
        <v>34</v>
      </c>
      <c r="AK24" s="228" t="s">
        <v>190</v>
      </c>
      <c r="AL24" s="228">
        <v>1</v>
      </c>
      <c r="AM24" s="229">
        <v>46337</v>
      </c>
      <c r="AN24" s="229">
        <v>46343</v>
      </c>
      <c r="AO24" s="230" t="s">
        <v>40</v>
      </c>
      <c r="AP24" s="231">
        <v>0</v>
      </c>
    </row>
    <row r="25" spans="1:42" s="124" customFormat="1" ht="15" customHeight="1">
      <c r="A25" s="120" t="s">
        <v>231</v>
      </c>
      <c r="B25" s="295" t="s">
        <v>261</v>
      </c>
      <c r="C25" s="195">
        <v>1</v>
      </c>
      <c r="D25" s="121">
        <v>46146</v>
      </c>
      <c r="E25" s="121">
        <v>46157</v>
      </c>
      <c r="F25" s="390" t="s">
        <v>219</v>
      </c>
      <c r="G25" s="391" t="s">
        <v>219</v>
      </c>
      <c r="H25" s="387">
        <v>0</v>
      </c>
      <c r="I25" s="210">
        <v>46160</v>
      </c>
      <c r="J25" s="210">
        <v>46169</v>
      </c>
      <c r="K25" s="211" t="s">
        <v>40</v>
      </c>
      <c r="L25" s="278" t="s">
        <v>243</v>
      </c>
      <c r="M25" s="212">
        <v>0</v>
      </c>
      <c r="N25" s="122">
        <v>46160</v>
      </c>
      <c r="O25" s="122">
        <v>46169</v>
      </c>
      <c r="P25" s="196" t="s">
        <v>40</v>
      </c>
      <c r="Q25" s="235" t="s">
        <v>243</v>
      </c>
      <c r="R25" s="197">
        <v>0</v>
      </c>
      <c r="S25" s="198">
        <v>46198</v>
      </c>
      <c r="T25" s="198">
        <v>46207</v>
      </c>
      <c r="U25" s="218" t="s">
        <v>34</v>
      </c>
      <c r="V25" s="218" t="s">
        <v>34</v>
      </c>
      <c r="W25" s="201">
        <v>1</v>
      </c>
      <c r="X25" s="202">
        <v>46218</v>
      </c>
      <c r="Y25" s="202">
        <v>46222</v>
      </c>
      <c r="Z25" s="203" t="s">
        <v>34</v>
      </c>
      <c r="AA25" s="88" t="s">
        <v>34</v>
      </c>
      <c r="AB25" s="88">
        <v>1</v>
      </c>
      <c r="AC25" s="204">
        <v>46223</v>
      </c>
      <c r="AD25" s="204">
        <v>46232</v>
      </c>
      <c r="AE25" s="205" t="s">
        <v>40</v>
      </c>
      <c r="AF25" s="206" t="s">
        <v>34</v>
      </c>
      <c r="AG25" s="206">
        <v>1</v>
      </c>
      <c r="AH25" s="207">
        <v>46243</v>
      </c>
      <c r="AI25" s="207">
        <v>46250</v>
      </c>
      <c r="AJ25" s="208" t="s">
        <v>34</v>
      </c>
      <c r="AK25" s="209" t="s">
        <v>190</v>
      </c>
      <c r="AL25" s="209">
        <v>1</v>
      </c>
      <c r="AM25" s="210">
        <v>46337</v>
      </c>
      <c r="AN25" s="210">
        <v>46343</v>
      </c>
      <c r="AO25" s="211" t="s">
        <v>40</v>
      </c>
      <c r="AP25" s="212">
        <v>0</v>
      </c>
    </row>
    <row r="26" spans="1:42" ht="15">
      <c r="A26" s="7" t="s">
        <v>231</v>
      </c>
      <c r="B26" s="9" t="s">
        <v>262</v>
      </c>
      <c r="C26" s="195">
        <v>1</v>
      </c>
      <c r="D26" s="46">
        <v>46146</v>
      </c>
      <c r="E26" s="46">
        <v>46157</v>
      </c>
      <c r="F26" s="389" t="s">
        <v>34</v>
      </c>
      <c r="G26" s="440" t="s">
        <v>263</v>
      </c>
      <c r="H26" s="388">
        <v>0.9</v>
      </c>
      <c r="I26" s="229">
        <v>46160</v>
      </c>
      <c r="J26" s="229">
        <v>46169</v>
      </c>
      <c r="K26" s="230" t="s">
        <v>40</v>
      </c>
      <c r="L26" s="212" t="s">
        <v>251</v>
      </c>
      <c r="M26" s="231">
        <v>0</v>
      </c>
      <c r="N26" s="47">
        <v>46160</v>
      </c>
      <c r="O26" s="47">
        <v>46169</v>
      </c>
      <c r="P26" s="214" t="s">
        <v>40</v>
      </c>
      <c r="Q26" s="197" t="s">
        <v>251</v>
      </c>
      <c r="R26" s="215">
        <v>0</v>
      </c>
      <c r="S26" s="216">
        <v>46198</v>
      </c>
      <c r="T26" s="216">
        <v>46207</v>
      </c>
      <c r="U26" s="217" t="s">
        <v>40</v>
      </c>
      <c r="V26" s="218" t="s">
        <v>251</v>
      </c>
      <c r="W26" s="219">
        <v>0</v>
      </c>
      <c r="X26" s="220">
        <v>46218</v>
      </c>
      <c r="Y26" s="220">
        <v>46222</v>
      </c>
      <c r="Z26" s="221" t="s">
        <v>40</v>
      </c>
      <c r="AA26" s="88" t="s">
        <v>234</v>
      </c>
      <c r="AB26" s="222">
        <v>0</v>
      </c>
      <c r="AC26" s="223">
        <v>46223</v>
      </c>
      <c r="AD26" s="223">
        <v>46232</v>
      </c>
      <c r="AE26" s="233" t="s">
        <v>40</v>
      </c>
      <c r="AF26" s="206" t="s">
        <v>234</v>
      </c>
      <c r="AG26" s="225">
        <v>0</v>
      </c>
      <c r="AH26" s="226">
        <v>46243</v>
      </c>
      <c r="AI26" s="226">
        <v>46250</v>
      </c>
      <c r="AJ26" s="227" t="s">
        <v>34</v>
      </c>
      <c r="AK26" s="228" t="s">
        <v>190</v>
      </c>
      <c r="AL26" s="228">
        <v>1</v>
      </c>
      <c r="AM26" s="229">
        <v>46337</v>
      </c>
      <c r="AN26" s="229">
        <v>46343</v>
      </c>
      <c r="AO26" s="230" t="s">
        <v>40</v>
      </c>
      <c r="AP26" s="231">
        <v>0</v>
      </c>
    </row>
    <row r="27" spans="1:42" ht="15">
      <c r="A27" s="7" t="s">
        <v>231</v>
      </c>
      <c r="B27" s="9" t="s">
        <v>264</v>
      </c>
      <c r="C27" s="195">
        <v>1</v>
      </c>
      <c r="D27" s="46">
        <v>46146</v>
      </c>
      <c r="E27" s="46">
        <v>46157</v>
      </c>
      <c r="F27" s="389" t="s">
        <v>40</v>
      </c>
      <c r="G27" s="34" t="s">
        <v>40</v>
      </c>
      <c r="H27" s="388">
        <v>0</v>
      </c>
      <c r="I27" s="229">
        <v>46160</v>
      </c>
      <c r="J27" s="229">
        <v>46169</v>
      </c>
      <c r="K27" s="230" t="s">
        <v>40</v>
      </c>
      <c r="L27" s="212" t="s">
        <v>265</v>
      </c>
      <c r="M27" s="231">
        <v>0</v>
      </c>
      <c r="N27" s="47">
        <v>46160</v>
      </c>
      <c r="O27" s="47">
        <v>46169</v>
      </c>
      <c r="P27" s="214" t="s">
        <v>40</v>
      </c>
      <c r="Q27" s="197" t="s">
        <v>265</v>
      </c>
      <c r="R27" s="215">
        <v>0</v>
      </c>
      <c r="S27" s="216">
        <v>46198</v>
      </c>
      <c r="T27" s="216">
        <v>46207</v>
      </c>
      <c r="U27" s="217" t="s">
        <v>40</v>
      </c>
      <c r="V27" s="199" t="s">
        <v>265</v>
      </c>
      <c r="W27" s="219">
        <v>0</v>
      </c>
      <c r="X27" s="220">
        <v>46218</v>
      </c>
      <c r="Y27" s="220">
        <v>46222</v>
      </c>
      <c r="Z27" s="221" t="s">
        <v>40</v>
      </c>
      <c r="AA27" s="88" t="s">
        <v>265</v>
      </c>
      <c r="AB27" s="222">
        <v>0</v>
      </c>
      <c r="AC27" s="223">
        <v>46223</v>
      </c>
      <c r="AD27" s="223">
        <v>46232</v>
      </c>
      <c r="AE27" s="233" t="s">
        <v>40</v>
      </c>
      <c r="AF27" s="206" t="s">
        <v>265</v>
      </c>
      <c r="AG27" s="225">
        <v>0</v>
      </c>
      <c r="AH27" s="226">
        <v>46243</v>
      </c>
      <c r="AI27" s="226">
        <v>46250</v>
      </c>
      <c r="AJ27" s="227" t="s">
        <v>34</v>
      </c>
      <c r="AK27" s="228" t="s">
        <v>190</v>
      </c>
      <c r="AL27" s="228">
        <v>1</v>
      </c>
      <c r="AM27" s="229">
        <v>46337</v>
      </c>
      <c r="AN27" s="229">
        <v>46343</v>
      </c>
      <c r="AO27" s="230" t="s">
        <v>40</v>
      </c>
      <c r="AP27" s="231">
        <v>0</v>
      </c>
    </row>
    <row r="28" spans="1:42" ht="15">
      <c r="A28" s="7" t="s">
        <v>231</v>
      </c>
      <c r="B28" s="442" t="s">
        <v>266</v>
      </c>
      <c r="C28" s="195">
        <v>1</v>
      </c>
      <c r="D28" s="46">
        <v>46146</v>
      </c>
      <c r="E28" s="46">
        <v>46157</v>
      </c>
      <c r="F28" s="389" t="s">
        <v>40</v>
      </c>
      <c r="G28" s="34" t="s">
        <v>40</v>
      </c>
      <c r="H28" s="388">
        <v>0</v>
      </c>
      <c r="I28" s="229">
        <v>46160</v>
      </c>
      <c r="J28" s="229">
        <v>46169</v>
      </c>
      <c r="K28" s="230" t="s">
        <v>40</v>
      </c>
      <c r="L28" s="212" t="s">
        <v>256</v>
      </c>
      <c r="M28" s="231">
        <v>0</v>
      </c>
      <c r="N28" s="47">
        <v>46160</v>
      </c>
      <c r="O28" s="47">
        <v>46169</v>
      </c>
      <c r="P28" s="214" t="s">
        <v>40</v>
      </c>
      <c r="Q28" s="197" t="s">
        <v>256</v>
      </c>
      <c r="R28" s="215">
        <v>0</v>
      </c>
      <c r="S28" s="216">
        <v>46198</v>
      </c>
      <c r="T28" s="216">
        <v>46207</v>
      </c>
      <c r="U28" s="236" t="s">
        <v>34</v>
      </c>
      <c r="V28" s="199" t="s">
        <v>257</v>
      </c>
      <c r="W28" s="219">
        <v>1</v>
      </c>
      <c r="X28" s="220">
        <v>46218</v>
      </c>
      <c r="Y28" s="220">
        <v>46222</v>
      </c>
      <c r="Z28" s="221" t="s">
        <v>40</v>
      </c>
      <c r="AA28" s="88" t="s">
        <v>256</v>
      </c>
      <c r="AB28" s="222">
        <v>0</v>
      </c>
      <c r="AC28" s="223">
        <v>46223</v>
      </c>
      <c r="AD28" s="223">
        <v>46232</v>
      </c>
      <c r="AE28" s="224" t="s">
        <v>34</v>
      </c>
      <c r="AF28" s="206" t="s">
        <v>258</v>
      </c>
      <c r="AG28" s="225">
        <v>1</v>
      </c>
      <c r="AH28" s="226">
        <v>46243</v>
      </c>
      <c r="AI28" s="226">
        <v>46250</v>
      </c>
      <c r="AJ28" s="227" t="s">
        <v>34</v>
      </c>
      <c r="AK28" s="228" t="s">
        <v>190</v>
      </c>
      <c r="AL28" s="228">
        <v>1</v>
      </c>
      <c r="AM28" s="229">
        <v>46337</v>
      </c>
      <c r="AN28" s="229">
        <v>46343</v>
      </c>
      <c r="AO28" s="230" t="s">
        <v>40</v>
      </c>
      <c r="AP28" s="231">
        <v>0</v>
      </c>
    </row>
    <row r="29" spans="1:42" ht="15">
      <c r="A29" s="7" t="s">
        <v>231</v>
      </c>
      <c r="B29" s="9" t="s">
        <v>267</v>
      </c>
      <c r="C29" s="195">
        <v>1</v>
      </c>
      <c r="D29" s="46">
        <v>46146</v>
      </c>
      <c r="E29" s="46">
        <v>46157</v>
      </c>
      <c r="F29" s="389" t="s">
        <v>40</v>
      </c>
      <c r="G29" s="34" t="s">
        <v>40</v>
      </c>
      <c r="H29" s="388">
        <v>0</v>
      </c>
      <c r="I29" s="229">
        <v>46160</v>
      </c>
      <c r="J29" s="229">
        <v>46169</v>
      </c>
      <c r="K29" s="230" t="s">
        <v>40</v>
      </c>
      <c r="L29" s="212" t="s">
        <v>214</v>
      </c>
      <c r="M29" s="231">
        <v>0</v>
      </c>
      <c r="N29" s="47">
        <v>46160</v>
      </c>
      <c r="O29" s="47">
        <v>46169</v>
      </c>
      <c r="P29" s="214" t="s">
        <v>40</v>
      </c>
      <c r="Q29" s="197" t="s">
        <v>214</v>
      </c>
      <c r="R29" s="215">
        <v>0</v>
      </c>
      <c r="S29" s="216">
        <v>46198</v>
      </c>
      <c r="T29" s="216">
        <v>46207</v>
      </c>
      <c r="U29" s="217" t="s">
        <v>40</v>
      </c>
      <c r="V29" s="199" t="s">
        <v>214</v>
      </c>
      <c r="W29" s="219">
        <v>0</v>
      </c>
      <c r="X29" s="220">
        <v>46218</v>
      </c>
      <c r="Y29" s="220">
        <v>46222</v>
      </c>
      <c r="Z29" s="221" t="s">
        <v>40</v>
      </c>
      <c r="AA29" s="88" t="s">
        <v>214</v>
      </c>
      <c r="AB29" s="222">
        <v>0</v>
      </c>
      <c r="AC29" s="223">
        <v>46223</v>
      </c>
      <c r="AD29" s="223">
        <v>46232</v>
      </c>
      <c r="AE29" s="233" t="s">
        <v>40</v>
      </c>
      <c r="AF29" s="206" t="s">
        <v>214</v>
      </c>
      <c r="AG29" s="225">
        <v>0</v>
      </c>
      <c r="AH29" s="226">
        <v>46243</v>
      </c>
      <c r="AI29" s="226">
        <v>46250</v>
      </c>
      <c r="AJ29" s="227" t="s">
        <v>34</v>
      </c>
      <c r="AK29" s="228" t="s">
        <v>190</v>
      </c>
      <c r="AL29" s="228">
        <v>1</v>
      </c>
      <c r="AM29" s="229">
        <v>46337</v>
      </c>
      <c r="AN29" s="229">
        <v>46343</v>
      </c>
      <c r="AO29" s="230" t="s">
        <v>40</v>
      </c>
      <c r="AP29" s="231">
        <v>0</v>
      </c>
    </row>
    <row r="30" spans="1:42" ht="15">
      <c r="A30" s="7" t="s">
        <v>231</v>
      </c>
      <c r="B30" s="9" t="s">
        <v>268</v>
      </c>
      <c r="C30" s="195">
        <v>1</v>
      </c>
      <c r="D30" s="46">
        <v>46146</v>
      </c>
      <c r="E30" s="46">
        <v>46157</v>
      </c>
      <c r="F30" s="390" t="s">
        <v>219</v>
      </c>
      <c r="G30" s="391" t="s">
        <v>219</v>
      </c>
      <c r="H30" s="387">
        <v>0</v>
      </c>
      <c r="I30" s="229">
        <v>46160</v>
      </c>
      <c r="J30" s="229">
        <v>46169</v>
      </c>
      <c r="K30" s="230" t="s">
        <v>40</v>
      </c>
      <c r="L30" s="212" t="s">
        <v>214</v>
      </c>
      <c r="M30" s="231">
        <v>0</v>
      </c>
      <c r="N30" s="47">
        <v>46160</v>
      </c>
      <c r="O30" s="47">
        <v>46169</v>
      </c>
      <c r="P30" s="214" t="s">
        <v>40</v>
      </c>
      <c r="Q30" s="197" t="s">
        <v>214</v>
      </c>
      <c r="R30" s="215">
        <v>0</v>
      </c>
      <c r="S30" s="216">
        <v>46198</v>
      </c>
      <c r="T30" s="216">
        <v>46207</v>
      </c>
      <c r="U30" s="217" t="s">
        <v>40</v>
      </c>
      <c r="V30" s="218" t="s">
        <v>214</v>
      </c>
      <c r="W30" s="219">
        <v>0</v>
      </c>
      <c r="X30" s="220">
        <v>46218</v>
      </c>
      <c r="Y30" s="220">
        <v>46222</v>
      </c>
      <c r="Z30" s="221" t="s">
        <v>40</v>
      </c>
      <c r="AA30" s="88" t="s">
        <v>214</v>
      </c>
      <c r="AB30" s="222">
        <v>0</v>
      </c>
      <c r="AC30" s="223">
        <v>46223</v>
      </c>
      <c r="AD30" s="223">
        <v>46232</v>
      </c>
      <c r="AE30" s="233" t="s">
        <v>34</v>
      </c>
      <c r="AF30" s="206" t="s">
        <v>214</v>
      </c>
      <c r="AG30" s="225">
        <v>0</v>
      </c>
      <c r="AH30" s="226">
        <v>46243</v>
      </c>
      <c r="AI30" s="226">
        <v>46250</v>
      </c>
      <c r="AJ30" s="227" t="s">
        <v>34</v>
      </c>
      <c r="AK30" s="228" t="s">
        <v>190</v>
      </c>
      <c r="AL30" s="228">
        <v>1</v>
      </c>
      <c r="AM30" s="229">
        <v>46337</v>
      </c>
      <c r="AN30" s="229">
        <v>46343</v>
      </c>
      <c r="AO30" s="230" t="s">
        <v>40</v>
      </c>
      <c r="AP30" s="231">
        <v>0</v>
      </c>
    </row>
    <row r="31" spans="1:42" ht="15">
      <c r="A31" s="7" t="s">
        <v>231</v>
      </c>
      <c r="B31" s="9" t="s">
        <v>269</v>
      </c>
      <c r="C31" s="195">
        <v>1</v>
      </c>
      <c r="D31" s="46">
        <v>46146</v>
      </c>
      <c r="E31" s="46">
        <v>46157</v>
      </c>
      <c r="F31" s="389" t="s">
        <v>40</v>
      </c>
      <c r="G31" s="34" t="s">
        <v>40</v>
      </c>
      <c r="H31" s="388">
        <v>0</v>
      </c>
      <c r="I31" s="229">
        <v>46160</v>
      </c>
      <c r="J31" s="229">
        <v>46169</v>
      </c>
      <c r="K31" s="230" t="s">
        <v>40</v>
      </c>
      <c r="L31" s="212" t="s">
        <v>251</v>
      </c>
      <c r="M31" s="231">
        <v>0</v>
      </c>
      <c r="N31" s="47">
        <v>46160</v>
      </c>
      <c r="O31" s="47">
        <v>46169</v>
      </c>
      <c r="P31" s="214" t="s">
        <v>40</v>
      </c>
      <c r="Q31" s="197" t="s">
        <v>251</v>
      </c>
      <c r="R31" s="215">
        <v>0</v>
      </c>
      <c r="S31" s="216">
        <v>46198</v>
      </c>
      <c r="T31" s="216">
        <v>46207</v>
      </c>
      <c r="U31" s="217" t="s">
        <v>40</v>
      </c>
      <c r="V31" s="218" t="s">
        <v>251</v>
      </c>
      <c r="W31" s="219">
        <v>0</v>
      </c>
      <c r="X31" s="220">
        <v>46218</v>
      </c>
      <c r="Y31" s="220">
        <v>46222</v>
      </c>
      <c r="Z31" s="221" t="s">
        <v>40</v>
      </c>
      <c r="AA31" s="88" t="s">
        <v>234</v>
      </c>
      <c r="AB31" s="222">
        <v>0</v>
      </c>
      <c r="AC31" s="223">
        <v>46223</v>
      </c>
      <c r="AD31" s="223">
        <v>46232</v>
      </c>
      <c r="AE31" s="233" t="s">
        <v>40</v>
      </c>
      <c r="AF31" s="206" t="s">
        <v>234</v>
      </c>
      <c r="AG31" s="225">
        <v>0</v>
      </c>
      <c r="AH31" s="226">
        <v>46243</v>
      </c>
      <c r="AI31" s="226">
        <v>46250</v>
      </c>
      <c r="AJ31" s="227" t="s">
        <v>34</v>
      </c>
      <c r="AK31" s="228" t="s">
        <v>190</v>
      </c>
      <c r="AL31" s="228">
        <v>1</v>
      </c>
      <c r="AM31" s="229">
        <v>46337</v>
      </c>
      <c r="AN31" s="229">
        <v>46343</v>
      </c>
      <c r="AO31" s="230" t="s">
        <v>40</v>
      </c>
      <c r="AP31" s="231">
        <v>0</v>
      </c>
    </row>
    <row r="32" spans="1:42" ht="15">
      <c r="A32" s="7" t="s">
        <v>231</v>
      </c>
      <c r="B32" s="9" t="s">
        <v>270</v>
      </c>
      <c r="C32" s="195">
        <v>1</v>
      </c>
      <c r="D32" s="46">
        <v>46146</v>
      </c>
      <c r="E32" s="46">
        <v>46157</v>
      </c>
      <c r="F32" s="389" t="s">
        <v>34</v>
      </c>
      <c r="G32" s="440" t="s">
        <v>271</v>
      </c>
      <c r="H32" s="388">
        <v>1</v>
      </c>
      <c r="I32" s="229">
        <v>46160</v>
      </c>
      <c r="J32" s="229">
        <v>46169</v>
      </c>
      <c r="K32" s="230" t="s">
        <v>40</v>
      </c>
      <c r="L32" s="212" t="s">
        <v>256</v>
      </c>
      <c r="M32" s="231">
        <v>0</v>
      </c>
      <c r="N32" s="47">
        <v>46160</v>
      </c>
      <c r="O32" s="47">
        <v>46169</v>
      </c>
      <c r="P32" s="214" t="s">
        <v>40</v>
      </c>
      <c r="Q32" s="197" t="s">
        <v>256</v>
      </c>
      <c r="R32" s="215">
        <v>0</v>
      </c>
      <c r="S32" s="216">
        <v>46198</v>
      </c>
      <c r="T32" s="216">
        <v>46207</v>
      </c>
      <c r="U32" s="236" t="s">
        <v>34</v>
      </c>
      <c r="V32" s="199" t="s">
        <v>257</v>
      </c>
      <c r="W32" s="219">
        <v>1</v>
      </c>
      <c r="X32" s="220">
        <v>46218</v>
      </c>
      <c r="Y32" s="220">
        <v>46222</v>
      </c>
      <c r="Z32" s="221" t="s">
        <v>40</v>
      </c>
      <c r="AA32" s="88" t="s">
        <v>256</v>
      </c>
      <c r="AB32" s="222">
        <v>0</v>
      </c>
      <c r="AC32" s="223">
        <v>46223</v>
      </c>
      <c r="AD32" s="223">
        <v>46232</v>
      </c>
      <c r="AE32" s="224" t="s">
        <v>34</v>
      </c>
      <c r="AF32" s="206" t="s">
        <v>258</v>
      </c>
      <c r="AG32" s="225">
        <v>1</v>
      </c>
      <c r="AH32" s="226">
        <v>46243</v>
      </c>
      <c r="AI32" s="226">
        <v>46250</v>
      </c>
      <c r="AJ32" s="227" t="s">
        <v>34</v>
      </c>
      <c r="AK32" s="228" t="s">
        <v>190</v>
      </c>
      <c r="AL32" s="228">
        <v>1</v>
      </c>
      <c r="AM32" s="229">
        <v>46337</v>
      </c>
      <c r="AN32" s="229">
        <v>46343</v>
      </c>
      <c r="AO32" s="230" t="s">
        <v>40</v>
      </c>
      <c r="AP32" s="231">
        <v>0</v>
      </c>
    </row>
    <row r="33" spans="1:42" s="124" customFormat="1" ht="15">
      <c r="A33" s="120" t="s">
        <v>231</v>
      </c>
      <c r="B33" s="295" t="s">
        <v>272</v>
      </c>
      <c r="C33" s="195">
        <v>1</v>
      </c>
      <c r="D33" s="121">
        <v>46146</v>
      </c>
      <c r="E33" s="121">
        <v>46157</v>
      </c>
      <c r="F33" s="389" t="s">
        <v>34</v>
      </c>
      <c r="G33" s="34" t="s">
        <v>34</v>
      </c>
      <c r="H33" s="388">
        <v>1</v>
      </c>
      <c r="I33" s="210">
        <v>46160</v>
      </c>
      <c r="J33" s="210">
        <v>46169</v>
      </c>
      <c r="K33" s="211" t="s">
        <v>40</v>
      </c>
      <c r="L33" s="278" t="s">
        <v>243</v>
      </c>
      <c r="M33" s="212">
        <v>0</v>
      </c>
      <c r="N33" s="122">
        <v>46160</v>
      </c>
      <c r="O33" s="122">
        <v>46169</v>
      </c>
      <c r="P33" s="196" t="s">
        <v>40</v>
      </c>
      <c r="Q33" s="235" t="s">
        <v>243</v>
      </c>
      <c r="R33" s="197">
        <v>0</v>
      </c>
      <c r="S33" s="198">
        <v>46198</v>
      </c>
      <c r="T33" s="198">
        <v>46207</v>
      </c>
      <c r="U33" s="218" t="s">
        <v>34</v>
      </c>
      <c r="V33" s="218" t="s">
        <v>34</v>
      </c>
      <c r="W33" s="201">
        <v>1</v>
      </c>
      <c r="X33" s="202">
        <v>46218</v>
      </c>
      <c r="Y33" s="202">
        <v>46222</v>
      </c>
      <c r="Z33" s="203" t="s">
        <v>34</v>
      </c>
      <c r="AA33" s="88" t="s">
        <v>34</v>
      </c>
      <c r="AB33" s="88">
        <v>1</v>
      </c>
      <c r="AC33" s="204">
        <v>46223</v>
      </c>
      <c r="AD33" s="204">
        <v>46232</v>
      </c>
      <c r="AE33" s="205" t="s">
        <v>34</v>
      </c>
      <c r="AF33" s="206" t="s">
        <v>34</v>
      </c>
      <c r="AG33" s="206">
        <v>1</v>
      </c>
      <c r="AH33" s="207">
        <v>46243</v>
      </c>
      <c r="AI33" s="207">
        <v>46250</v>
      </c>
      <c r="AJ33" s="208" t="s">
        <v>34</v>
      </c>
      <c r="AK33" s="209" t="s">
        <v>190</v>
      </c>
      <c r="AL33" s="209">
        <v>1</v>
      </c>
      <c r="AM33" s="210">
        <v>46337</v>
      </c>
      <c r="AN33" s="210">
        <v>46343</v>
      </c>
      <c r="AO33" s="211" t="s">
        <v>40</v>
      </c>
      <c r="AP33" s="212">
        <v>0</v>
      </c>
    </row>
    <row r="34" spans="1:42" ht="15">
      <c r="A34" s="7" t="s">
        <v>231</v>
      </c>
      <c r="B34" s="9" t="s">
        <v>273</v>
      </c>
      <c r="C34" s="195">
        <v>1</v>
      </c>
      <c r="D34" s="46">
        <v>46146</v>
      </c>
      <c r="E34" s="46">
        <v>46157</v>
      </c>
      <c r="F34" s="389" t="s">
        <v>40</v>
      </c>
      <c r="G34" s="34" t="s">
        <v>40</v>
      </c>
      <c r="H34" s="388">
        <v>0</v>
      </c>
      <c r="I34" s="229">
        <v>46160</v>
      </c>
      <c r="J34" s="229">
        <v>46169</v>
      </c>
      <c r="K34" s="230" t="s">
        <v>34</v>
      </c>
      <c r="L34" s="212" t="s">
        <v>34</v>
      </c>
      <c r="M34" s="231">
        <v>1</v>
      </c>
      <c r="N34" s="47">
        <v>46160</v>
      </c>
      <c r="O34" s="47">
        <v>46169</v>
      </c>
      <c r="P34" s="214" t="s">
        <v>34</v>
      </c>
      <c r="Q34" s="197" t="s">
        <v>34</v>
      </c>
      <c r="R34" s="215">
        <v>1</v>
      </c>
      <c r="S34" s="216">
        <v>46198</v>
      </c>
      <c r="T34" s="216">
        <v>46207</v>
      </c>
      <c r="U34" s="217" t="s">
        <v>34</v>
      </c>
      <c r="V34" s="218" t="s">
        <v>34</v>
      </c>
      <c r="W34" s="219">
        <v>1</v>
      </c>
      <c r="X34" s="220">
        <v>46218</v>
      </c>
      <c r="Y34" s="220">
        <v>46222</v>
      </c>
      <c r="Z34" s="221" t="s">
        <v>34</v>
      </c>
      <c r="AA34" s="88" t="s">
        <v>34</v>
      </c>
      <c r="AB34" s="222">
        <v>1</v>
      </c>
      <c r="AC34" s="223">
        <v>46223</v>
      </c>
      <c r="AD34" s="223">
        <v>46232</v>
      </c>
      <c r="AE34" s="233" t="s">
        <v>34</v>
      </c>
      <c r="AF34" s="206" t="s">
        <v>243</v>
      </c>
      <c r="AG34" s="225">
        <v>0.7</v>
      </c>
      <c r="AH34" s="226">
        <v>46243</v>
      </c>
      <c r="AI34" s="226">
        <v>46250</v>
      </c>
      <c r="AJ34" s="227" t="s">
        <v>34</v>
      </c>
      <c r="AK34" s="228" t="s">
        <v>190</v>
      </c>
      <c r="AL34" s="228">
        <v>1</v>
      </c>
      <c r="AM34" s="229">
        <v>46337</v>
      </c>
      <c r="AN34" s="229">
        <v>46343</v>
      </c>
      <c r="AO34" s="230" t="s">
        <v>40</v>
      </c>
      <c r="AP34" s="231">
        <v>0</v>
      </c>
    </row>
    <row r="35" spans="1:42" ht="15">
      <c r="A35" s="7" t="s">
        <v>231</v>
      </c>
      <c r="B35" s="9" t="s">
        <v>274</v>
      </c>
      <c r="C35" s="195">
        <v>1</v>
      </c>
      <c r="D35" s="46">
        <v>46146</v>
      </c>
      <c r="E35" s="46">
        <v>46157</v>
      </c>
      <c r="F35" s="389" t="s">
        <v>34</v>
      </c>
      <c r="G35" s="440" t="s">
        <v>275</v>
      </c>
      <c r="H35" s="388">
        <v>1</v>
      </c>
      <c r="I35" s="229">
        <v>46170</v>
      </c>
      <c r="J35" s="229">
        <v>46183</v>
      </c>
      <c r="K35" s="230" t="s">
        <v>40</v>
      </c>
      <c r="L35" s="212" t="s">
        <v>256</v>
      </c>
      <c r="M35" s="231">
        <v>0</v>
      </c>
      <c r="N35" s="47">
        <v>46170</v>
      </c>
      <c r="O35" s="47">
        <v>46183</v>
      </c>
      <c r="P35" s="214" t="s">
        <v>40</v>
      </c>
      <c r="Q35" s="197" t="s">
        <v>256</v>
      </c>
      <c r="R35" s="215">
        <v>0</v>
      </c>
      <c r="S35" s="216">
        <v>46198</v>
      </c>
      <c r="T35" s="216">
        <v>46207</v>
      </c>
      <c r="U35" s="236" t="s">
        <v>34</v>
      </c>
      <c r="V35" s="199" t="s">
        <v>257</v>
      </c>
      <c r="W35" s="219">
        <v>1</v>
      </c>
      <c r="X35" s="220">
        <v>46218</v>
      </c>
      <c r="Y35" s="220">
        <v>46222</v>
      </c>
      <c r="Z35" s="221" t="s">
        <v>40</v>
      </c>
      <c r="AA35" s="88" t="s">
        <v>256</v>
      </c>
      <c r="AB35" s="222">
        <v>0</v>
      </c>
      <c r="AC35" s="223">
        <v>46223</v>
      </c>
      <c r="AD35" s="223">
        <v>46232</v>
      </c>
      <c r="AE35" s="224" t="s">
        <v>34</v>
      </c>
      <c r="AF35" s="206" t="s">
        <v>258</v>
      </c>
      <c r="AG35" s="225">
        <v>1</v>
      </c>
      <c r="AH35" s="226">
        <v>46243</v>
      </c>
      <c r="AI35" s="226">
        <v>46250</v>
      </c>
      <c r="AJ35" s="227" t="s">
        <v>34</v>
      </c>
      <c r="AK35" s="228" t="s">
        <v>190</v>
      </c>
      <c r="AL35" s="228">
        <v>1</v>
      </c>
      <c r="AM35" s="229">
        <v>46337</v>
      </c>
      <c r="AN35" s="229">
        <v>46343</v>
      </c>
      <c r="AO35" s="230" t="s">
        <v>40</v>
      </c>
      <c r="AP35" s="231">
        <v>0</v>
      </c>
    </row>
    <row r="36" spans="1:42" ht="15">
      <c r="A36" s="7" t="s">
        <v>231</v>
      </c>
      <c r="B36" s="9" t="s">
        <v>276</v>
      </c>
      <c r="C36" s="6">
        <v>1</v>
      </c>
      <c r="D36" s="46">
        <v>46146</v>
      </c>
      <c r="E36" s="46">
        <v>46157</v>
      </c>
      <c r="F36" s="390" t="s">
        <v>219</v>
      </c>
      <c r="G36" s="391" t="s">
        <v>219</v>
      </c>
      <c r="H36" s="387">
        <v>0</v>
      </c>
      <c r="I36" s="229">
        <v>46170</v>
      </c>
      <c r="J36" s="229">
        <v>46183</v>
      </c>
      <c r="K36" s="230" t="s">
        <v>40</v>
      </c>
      <c r="L36" s="279" t="s">
        <v>243</v>
      </c>
      <c r="M36" s="231">
        <v>0</v>
      </c>
      <c r="N36" s="47">
        <v>46170</v>
      </c>
      <c r="O36" s="47">
        <v>46183</v>
      </c>
      <c r="P36" s="214" t="s">
        <v>40</v>
      </c>
      <c r="Q36" s="237" t="s">
        <v>243</v>
      </c>
      <c r="R36" s="215">
        <v>0</v>
      </c>
      <c r="S36" s="216">
        <v>46198</v>
      </c>
      <c r="T36" s="216">
        <v>46207</v>
      </c>
      <c r="U36" s="217" t="s">
        <v>34</v>
      </c>
      <c r="V36" s="217" t="s">
        <v>34</v>
      </c>
      <c r="W36" s="219">
        <v>1</v>
      </c>
      <c r="X36" s="220">
        <v>46218</v>
      </c>
      <c r="Y36" s="220">
        <v>46222</v>
      </c>
      <c r="Z36" s="221" t="s">
        <v>34</v>
      </c>
      <c r="AA36" s="222" t="s">
        <v>34</v>
      </c>
      <c r="AB36" s="222">
        <v>1</v>
      </c>
      <c r="AC36" s="223">
        <v>46223</v>
      </c>
      <c r="AD36" s="223">
        <v>46232</v>
      </c>
      <c r="AE36" s="224" t="s">
        <v>34</v>
      </c>
      <c r="AF36" s="224" t="s">
        <v>34</v>
      </c>
      <c r="AG36" s="225">
        <v>1</v>
      </c>
      <c r="AH36" s="226">
        <v>46243</v>
      </c>
      <c r="AI36" s="226">
        <v>46250</v>
      </c>
      <c r="AJ36" s="227" t="s">
        <v>34</v>
      </c>
      <c r="AK36" s="228" t="s">
        <v>190</v>
      </c>
      <c r="AL36" s="228">
        <v>1</v>
      </c>
      <c r="AM36" s="229">
        <v>46337</v>
      </c>
      <c r="AN36" s="229">
        <v>46343</v>
      </c>
      <c r="AO36" s="230" t="s">
        <v>40</v>
      </c>
      <c r="AP36" s="231">
        <v>0</v>
      </c>
    </row>
    <row r="37" spans="1:42" ht="15">
      <c r="A37" s="7" t="s">
        <v>231</v>
      </c>
      <c r="B37" s="9" t="s">
        <v>277</v>
      </c>
      <c r="C37" s="195">
        <v>1</v>
      </c>
      <c r="D37" s="46">
        <v>46146</v>
      </c>
      <c r="E37" s="46">
        <v>46157</v>
      </c>
      <c r="F37" s="389" t="s">
        <v>34</v>
      </c>
      <c r="G37" s="34" t="s">
        <v>34</v>
      </c>
      <c r="H37" s="388">
        <v>1</v>
      </c>
      <c r="I37" s="229">
        <v>46170</v>
      </c>
      <c r="J37" s="229">
        <v>46183</v>
      </c>
      <c r="K37" s="230" t="s">
        <v>40</v>
      </c>
      <c r="L37" s="212" t="s">
        <v>251</v>
      </c>
      <c r="M37" s="231">
        <v>0</v>
      </c>
      <c r="N37" s="47">
        <v>46170</v>
      </c>
      <c r="O37" s="47">
        <v>46183</v>
      </c>
      <c r="P37" s="214" t="s">
        <v>40</v>
      </c>
      <c r="Q37" s="197" t="s">
        <v>251</v>
      </c>
      <c r="R37" s="215">
        <v>0</v>
      </c>
      <c r="S37" s="216">
        <v>46198</v>
      </c>
      <c r="T37" s="216">
        <v>46207</v>
      </c>
      <c r="U37" s="217" t="s">
        <v>40</v>
      </c>
      <c r="V37" s="218" t="s">
        <v>251</v>
      </c>
      <c r="W37" s="219">
        <v>0</v>
      </c>
      <c r="X37" s="220">
        <v>46218</v>
      </c>
      <c r="Y37" s="220">
        <v>46222</v>
      </c>
      <c r="Z37" s="221" t="s">
        <v>40</v>
      </c>
      <c r="AA37" s="88" t="s">
        <v>234</v>
      </c>
      <c r="AB37" s="222">
        <v>0</v>
      </c>
      <c r="AC37" s="223">
        <v>46223</v>
      </c>
      <c r="AD37" s="223">
        <v>46232</v>
      </c>
      <c r="AE37" s="233" t="s">
        <v>40</v>
      </c>
      <c r="AF37" s="206" t="s">
        <v>234</v>
      </c>
      <c r="AG37" s="225">
        <v>0</v>
      </c>
      <c r="AH37" s="226">
        <v>46243</v>
      </c>
      <c r="AI37" s="226">
        <v>46250</v>
      </c>
      <c r="AJ37" s="227" t="s">
        <v>34</v>
      </c>
      <c r="AK37" s="228" t="s">
        <v>190</v>
      </c>
      <c r="AL37" s="228">
        <v>1</v>
      </c>
      <c r="AM37" s="229">
        <v>46337</v>
      </c>
      <c r="AN37" s="229">
        <v>46343</v>
      </c>
      <c r="AO37" s="230" t="s">
        <v>40</v>
      </c>
      <c r="AP37" s="231">
        <v>0</v>
      </c>
    </row>
    <row r="38" spans="1:42" ht="15">
      <c r="A38" s="7" t="s">
        <v>231</v>
      </c>
      <c r="B38" s="9" t="s">
        <v>278</v>
      </c>
      <c r="C38" s="195">
        <v>1</v>
      </c>
      <c r="D38" s="46">
        <v>46146</v>
      </c>
      <c r="E38" s="46">
        <v>46157</v>
      </c>
      <c r="F38" s="389" t="s">
        <v>40</v>
      </c>
      <c r="G38" s="34" t="s">
        <v>40</v>
      </c>
      <c r="H38" s="388">
        <v>0</v>
      </c>
      <c r="I38" s="229">
        <v>46170</v>
      </c>
      <c r="J38" s="229">
        <v>46183</v>
      </c>
      <c r="K38" s="230" t="s">
        <v>34</v>
      </c>
      <c r="L38" s="212" t="s">
        <v>34</v>
      </c>
      <c r="M38" s="231">
        <v>1</v>
      </c>
      <c r="N38" s="47">
        <v>46170</v>
      </c>
      <c r="O38" s="47">
        <v>46183</v>
      </c>
      <c r="P38" s="214" t="s">
        <v>34</v>
      </c>
      <c r="Q38" s="197" t="s">
        <v>34</v>
      </c>
      <c r="R38" s="215">
        <v>1</v>
      </c>
      <c r="S38" s="216">
        <v>46198</v>
      </c>
      <c r="T38" s="216">
        <v>46207</v>
      </c>
      <c r="U38" s="217" t="s">
        <v>34</v>
      </c>
      <c r="V38" s="218" t="s">
        <v>34</v>
      </c>
      <c r="W38" s="219">
        <v>1</v>
      </c>
      <c r="X38" s="220">
        <v>46218</v>
      </c>
      <c r="Y38" s="220">
        <v>46222</v>
      </c>
      <c r="Z38" s="221" t="s">
        <v>34</v>
      </c>
      <c r="AA38" s="222" t="s">
        <v>34</v>
      </c>
      <c r="AB38" s="222">
        <v>1</v>
      </c>
      <c r="AC38" s="223">
        <v>46223</v>
      </c>
      <c r="AD38" s="223">
        <v>46232</v>
      </c>
      <c r="AE38" s="224" t="s">
        <v>34</v>
      </c>
      <c r="AF38" s="238" t="s">
        <v>34</v>
      </c>
      <c r="AG38" s="225">
        <v>1</v>
      </c>
      <c r="AH38" s="226">
        <v>46243</v>
      </c>
      <c r="AI38" s="226">
        <v>46250</v>
      </c>
      <c r="AJ38" s="227" t="s">
        <v>34</v>
      </c>
      <c r="AK38" s="228" t="s">
        <v>190</v>
      </c>
      <c r="AL38" s="228">
        <v>1</v>
      </c>
      <c r="AM38" s="229">
        <v>46337</v>
      </c>
      <c r="AN38" s="229">
        <v>46343</v>
      </c>
      <c r="AO38" s="230" t="s">
        <v>40</v>
      </c>
      <c r="AP38" s="231">
        <v>0</v>
      </c>
    </row>
    <row r="39" spans="1:42" ht="15">
      <c r="A39" s="7" t="s">
        <v>231</v>
      </c>
      <c r="B39" s="442" t="s">
        <v>279</v>
      </c>
      <c r="C39" s="195">
        <v>1</v>
      </c>
      <c r="D39" s="46">
        <v>46146</v>
      </c>
      <c r="E39" s="46">
        <v>46157</v>
      </c>
      <c r="F39" s="389" t="s">
        <v>34</v>
      </c>
      <c r="G39" s="440" t="s">
        <v>280</v>
      </c>
      <c r="H39" s="388">
        <v>1</v>
      </c>
      <c r="I39" s="229">
        <v>46170</v>
      </c>
      <c r="J39" s="229">
        <v>46183</v>
      </c>
      <c r="K39" s="230" t="s">
        <v>40</v>
      </c>
      <c r="L39" s="212" t="s">
        <v>256</v>
      </c>
      <c r="M39" s="231">
        <v>0</v>
      </c>
      <c r="N39" s="47">
        <v>46170</v>
      </c>
      <c r="O39" s="47">
        <v>46183</v>
      </c>
      <c r="P39" s="214" t="s">
        <v>40</v>
      </c>
      <c r="Q39" s="197" t="s">
        <v>256</v>
      </c>
      <c r="R39" s="215">
        <v>0</v>
      </c>
      <c r="S39" s="216">
        <v>46198</v>
      </c>
      <c r="T39" s="216">
        <v>46207</v>
      </c>
      <c r="U39" s="236" t="s">
        <v>34</v>
      </c>
      <c r="V39" s="199" t="s">
        <v>257</v>
      </c>
      <c r="W39" s="219">
        <v>1</v>
      </c>
      <c r="X39" s="220">
        <v>46218</v>
      </c>
      <c r="Y39" s="220">
        <v>46222</v>
      </c>
      <c r="Z39" s="221" t="s">
        <v>40</v>
      </c>
      <c r="AA39" s="88" t="s">
        <v>256</v>
      </c>
      <c r="AB39" s="222">
        <v>0</v>
      </c>
      <c r="AC39" s="223">
        <v>46223</v>
      </c>
      <c r="AD39" s="223">
        <v>46232</v>
      </c>
      <c r="AE39" s="224" t="s">
        <v>34</v>
      </c>
      <c r="AF39" s="206" t="s">
        <v>258</v>
      </c>
      <c r="AG39" s="225">
        <v>1</v>
      </c>
      <c r="AH39" s="226">
        <v>46243</v>
      </c>
      <c r="AI39" s="226">
        <v>46250</v>
      </c>
      <c r="AJ39" s="227" t="s">
        <v>34</v>
      </c>
      <c r="AK39" s="228" t="s">
        <v>190</v>
      </c>
      <c r="AL39" s="228">
        <v>1</v>
      </c>
      <c r="AM39" s="229">
        <v>46337</v>
      </c>
      <c r="AN39" s="229">
        <v>46343</v>
      </c>
      <c r="AO39" s="230" t="s">
        <v>40</v>
      </c>
      <c r="AP39" s="231">
        <v>0</v>
      </c>
    </row>
    <row r="40" spans="1:42" ht="15">
      <c r="A40" s="7" t="s">
        <v>231</v>
      </c>
      <c r="B40" s="9" t="s">
        <v>281</v>
      </c>
      <c r="C40" s="6">
        <v>1</v>
      </c>
      <c r="D40" s="46">
        <v>46146</v>
      </c>
      <c r="E40" s="46">
        <v>46157</v>
      </c>
      <c r="F40" s="390" t="s">
        <v>219</v>
      </c>
      <c r="G40" s="391" t="s">
        <v>219</v>
      </c>
      <c r="H40" s="387">
        <v>0</v>
      </c>
      <c r="I40" s="229">
        <v>46170</v>
      </c>
      <c r="J40" s="229">
        <v>46183</v>
      </c>
      <c r="K40" s="230" t="s">
        <v>40</v>
      </c>
      <c r="L40" s="279" t="s">
        <v>243</v>
      </c>
      <c r="M40" s="231">
        <v>0</v>
      </c>
      <c r="N40" s="47">
        <v>46170</v>
      </c>
      <c r="O40" s="47">
        <v>46183</v>
      </c>
      <c r="P40" s="214" t="s">
        <v>40</v>
      </c>
      <c r="Q40" s="237" t="s">
        <v>243</v>
      </c>
      <c r="R40" s="215">
        <v>0</v>
      </c>
      <c r="S40" s="216">
        <v>46198</v>
      </c>
      <c r="T40" s="216">
        <v>46207</v>
      </c>
      <c r="U40" s="217" t="s">
        <v>34</v>
      </c>
      <c r="V40" s="217" t="s">
        <v>34</v>
      </c>
      <c r="W40" s="219">
        <v>1</v>
      </c>
      <c r="X40" s="220">
        <v>46218</v>
      </c>
      <c r="Y40" s="220">
        <v>46222</v>
      </c>
      <c r="Z40" s="221" t="s">
        <v>34</v>
      </c>
      <c r="AA40" s="222" t="s">
        <v>34</v>
      </c>
      <c r="AB40" s="222">
        <v>1</v>
      </c>
      <c r="AC40" s="223">
        <v>46223</v>
      </c>
      <c r="AD40" s="223">
        <v>46232</v>
      </c>
      <c r="AE40" s="233" t="s">
        <v>34</v>
      </c>
      <c r="AF40" s="225" t="s">
        <v>34</v>
      </c>
      <c r="AG40" s="225">
        <v>1</v>
      </c>
      <c r="AH40" s="226">
        <v>46243</v>
      </c>
      <c r="AI40" s="226">
        <v>46250</v>
      </c>
      <c r="AJ40" s="227" t="s">
        <v>34</v>
      </c>
      <c r="AK40" s="228" t="s">
        <v>190</v>
      </c>
      <c r="AL40" s="228">
        <v>1</v>
      </c>
      <c r="AM40" s="229">
        <v>46337</v>
      </c>
      <c r="AN40" s="229">
        <v>46343</v>
      </c>
      <c r="AO40" s="230" t="s">
        <v>40</v>
      </c>
      <c r="AP40" s="231">
        <v>0</v>
      </c>
    </row>
    <row r="41" spans="1:42" ht="15">
      <c r="A41" s="7" t="s">
        <v>231</v>
      </c>
      <c r="B41" s="9" t="s">
        <v>282</v>
      </c>
      <c r="C41" s="195">
        <v>1</v>
      </c>
      <c r="D41" s="46">
        <v>46146</v>
      </c>
      <c r="E41" s="46">
        <v>46157</v>
      </c>
      <c r="F41" s="389" t="s">
        <v>34</v>
      </c>
      <c r="G41" s="440" t="s">
        <v>283</v>
      </c>
      <c r="H41" s="388">
        <v>0</v>
      </c>
      <c r="I41" s="229">
        <v>46170</v>
      </c>
      <c r="J41" s="229">
        <v>46183</v>
      </c>
      <c r="K41" s="230" t="s">
        <v>40</v>
      </c>
      <c r="L41" s="212" t="s">
        <v>251</v>
      </c>
      <c r="M41" s="231">
        <v>0</v>
      </c>
      <c r="N41" s="47">
        <v>46170</v>
      </c>
      <c r="O41" s="47">
        <v>46183</v>
      </c>
      <c r="P41" s="214" t="s">
        <v>40</v>
      </c>
      <c r="Q41" s="197" t="s">
        <v>251</v>
      </c>
      <c r="R41" s="215">
        <v>0</v>
      </c>
      <c r="S41" s="216">
        <v>46198</v>
      </c>
      <c r="T41" s="216">
        <v>46207</v>
      </c>
      <c r="U41" s="217" t="s">
        <v>40</v>
      </c>
      <c r="V41" s="218" t="s">
        <v>251</v>
      </c>
      <c r="W41" s="219">
        <v>0</v>
      </c>
      <c r="X41" s="220">
        <v>46218</v>
      </c>
      <c r="Y41" s="220">
        <v>46222</v>
      </c>
      <c r="Z41" s="221" t="s">
        <v>40</v>
      </c>
      <c r="AA41" s="88" t="s">
        <v>234</v>
      </c>
      <c r="AB41" s="222">
        <v>0</v>
      </c>
      <c r="AC41" s="223">
        <v>46223</v>
      </c>
      <c r="AD41" s="223">
        <v>46232</v>
      </c>
      <c r="AE41" s="233" t="s">
        <v>40</v>
      </c>
      <c r="AF41" s="206" t="s">
        <v>234</v>
      </c>
      <c r="AG41" s="225">
        <v>0</v>
      </c>
      <c r="AH41" s="226">
        <v>46243</v>
      </c>
      <c r="AI41" s="226">
        <v>46250</v>
      </c>
      <c r="AJ41" s="227" t="s">
        <v>34</v>
      </c>
      <c r="AK41" s="228" t="s">
        <v>190</v>
      </c>
      <c r="AL41" s="228">
        <v>1</v>
      </c>
      <c r="AM41" s="229">
        <v>46337</v>
      </c>
      <c r="AN41" s="229">
        <v>46343</v>
      </c>
      <c r="AO41" s="230" t="s">
        <v>40</v>
      </c>
      <c r="AP41" s="231">
        <v>0</v>
      </c>
    </row>
    <row r="42" spans="1:42" ht="15">
      <c r="A42" s="7" t="s">
        <v>231</v>
      </c>
      <c r="B42" s="9" t="s">
        <v>284</v>
      </c>
      <c r="C42" s="195">
        <v>1</v>
      </c>
      <c r="D42" s="46">
        <v>46146</v>
      </c>
      <c r="E42" s="46">
        <v>46157</v>
      </c>
      <c r="F42" s="389" t="s">
        <v>40</v>
      </c>
      <c r="G42" s="34" t="s">
        <v>40</v>
      </c>
      <c r="H42" s="388">
        <v>0</v>
      </c>
      <c r="I42" s="229">
        <v>46170</v>
      </c>
      <c r="J42" s="229">
        <v>46183</v>
      </c>
      <c r="K42" s="230" t="s">
        <v>40</v>
      </c>
      <c r="L42" s="212" t="s">
        <v>234</v>
      </c>
      <c r="M42" s="231">
        <v>0</v>
      </c>
      <c r="N42" s="47">
        <v>46170</v>
      </c>
      <c r="O42" s="47">
        <v>46183</v>
      </c>
      <c r="P42" s="214" t="s">
        <v>40</v>
      </c>
      <c r="Q42" s="197" t="s">
        <v>234</v>
      </c>
      <c r="R42" s="215">
        <v>0</v>
      </c>
      <c r="S42" s="216">
        <v>46198</v>
      </c>
      <c r="T42" s="216">
        <v>46207</v>
      </c>
      <c r="U42" s="217" t="s">
        <v>40</v>
      </c>
      <c r="V42" s="218" t="s">
        <v>234</v>
      </c>
      <c r="W42" s="219">
        <v>0</v>
      </c>
      <c r="X42" s="220">
        <v>46218</v>
      </c>
      <c r="Y42" s="220">
        <v>46222</v>
      </c>
      <c r="Z42" s="232" t="s">
        <v>40</v>
      </c>
      <c r="AA42" s="88" t="s">
        <v>234</v>
      </c>
      <c r="AB42" s="222">
        <v>0</v>
      </c>
      <c r="AC42" s="223">
        <v>46223</v>
      </c>
      <c r="AD42" s="223">
        <v>46232</v>
      </c>
      <c r="AE42" s="233" t="s">
        <v>232</v>
      </c>
      <c r="AF42" s="206" t="s">
        <v>234</v>
      </c>
      <c r="AG42" s="225">
        <v>0</v>
      </c>
      <c r="AH42" s="226">
        <v>46243</v>
      </c>
      <c r="AI42" s="226">
        <v>46250</v>
      </c>
      <c r="AJ42" s="227" t="s">
        <v>34</v>
      </c>
      <c r="AK42" s="228" t="s">
        <v>190</v>
      </c>
      <c r="AL42" s="228">
        <v>1</v>
      </c>
      <c r="AM42" s="229">
        <v>46337</v>
      </c>
      <c r="AN42" s="229">
        <v>46343</v>
      </c>
      <c r="AO42" s="230" t="s">
        <v>40</v>
      </c>
      <c r="AP42" s="231">
        <v>0</v>
      </c>
    </row>
    <row r="43" spans="1:42" ht="15">
      <c r="A43" s="7" t="s">
        <v>231</v>
      </c>
      <c r="B43" s="442" t="s">
        <v>285</v>
      </c>
      <c r="C43" s="195">
        <v>1</v>
      </c>
      <c r="D43" s="46">
        <v>46146</v>
      </c>
      <c r="E43" s="46">
        <v>46157</v>
      </c>
      <c r="F43" s="389" t="s">
        <v>34</v>
      </c>
      <c r="G43" s="441" t="s">
        <v>286</v>
      </c>
      <c r="H43" s="388">
        <v>1</v>
      </c>
      <c r="I43" s="229">
        <v>46170</v>
      </c>
      <c r="J43" s="229">
        <v>46183</v>
      </c>
      <c r="K43" s="230" t="s">
        <v>40</v>
      </c>
      <c r="L43" s="212" t="s">
        <v>256</v>
      </c>
      <c r="M43" s="231">
        <v>0</v>
      </c>
      <c r="N43" s="47">
        <v>46170</v>
      </c>
      <c r="O43" s="47">
        <v>46183</v>
      </c>
      <c r="P43" s="214" t="s">
        <v>40</v>
      </c>
      <c r="Q43" s="197" t="s">
        <v>256</v>
      </c>
      <c r="R43" s="215">
        <v>0</v>
      </c>
      <c r="S43" s="216">
        <v>46198</v>
      </c>
      <c r="T43" s="216">
        <v>46207</v>
      </c>
      <c r="U43" s="236" t="s">
        <v>34</v>
      </c>
      <c r="V43" s="199" t="s">
        <v>257</v>
      </c>
      <c r="W43" s="219">
        <v>1</v>
      </c>
      <c r="X43" s="220">
        <v>46218</v>
      </c>
      <c r="Y43" s="220">
        <v>46222</v>
      </c>
      <c r="Z43" s="221" t="s">
        <v>40</v>
      </c>
      <c r="AA43" s="88" t="s">
        <v>256</v>
      </c>
      <c r="AB43" s="222">
        <v>0</v>
      </c>
      <c r="AC43" s="223">
        <v>46223</v>
      </c>
      <c r="AD43" s="223">
        <v>46232</v>
      </c>
      <c r="AE43" s="224" t="s">
        <v>34</v>
      </c>
      <c r="AF43" s="206" t="s">
        <v>258</v>
      </c>
      <c r="AG43" s="225">
        <v>1</v>
      </c>
      <c r="AH43" s="226">
        <v>46243</v>
      </c>
      <c r="AI43" s="226">
        <v>46250</v>
      </c>
      <c r="AJ43" s="227" t="s">
        <v>34</v>
      </c>
      <c r="AK43" s="228" t="s">
        <v>190</v>
      </c>
      <c r="AL43" s="228">
        <v>1</v>
      </c>
      <c r="AM43" s="229">
        <v>46337</v>
      </c>
      <c r="AN43" s="229">
        <v>46343</v>
      </c>
      <c r="AO43" s="230" t="s">
        <v>40</v>
      </c>
      <c r="AP43" s="231">
        <v>0</v>
      </c>
    </row>
    <row r="44" spans="1:42" ht="15">
      <c r="A44" s="7" t="s">
        <v>231</v>
      </c>
      <c r="B44" s="9" t="s">
        <v>287</v>
      </c>
      <c r="C44" s="6">
        <v>1</v>
      </c>
      <c r="D44" s="46">
        <v>46146</v>
      </c>
      <c r="E44" s="46">
        <v>46157</v>
      </c>
      <c r="F44" s="390" t="s">
        <v>219</v>
      </c>
      <c r="G44" s="391" t="s">
        <v>219</v>
      </c>
      <c r="H44" s="387">
        <v>0</v>
      </c>
      <c r="I44" s="229">
        <v>46170</v>
      </c>
      <c r="J44" s="229">
        <v>46183</v>
      </c>
      <c r="K44" s="230" t="s">
        <v>40</v>
      </c>
      <c r="L44" s="279" t="s">
        <v>243</v>
      </c>
      <c r="M44" s="231">
        <v>0</v>
      </c>
      <c r="N44" s="47">
        <v>46170</v>
      </c>
      <c r="O44" s="47">
        <v>46183</v>
      </c>
      <c r="P44" s="214" t="s">
        <v>40</v>
      </c>
      <c r="Q44" s="237" t="s">
        <v>243</v>
      </c>
      <c r="R44" s="215">
        <v>0</v>
      </c>
      <c r="S44" s="216">
        <v>46198</v>
      </c>
      <c r="T44" s="216">
        <v>46207</v>
      </c>
      <c r="U44" s="217" t="s">
        <v>34</v>
      </c>
      <c r="V44" s="217" t="s">
        <v>34</v>
      </c>
      <c r="W44" s="219">
        <v>1</v>
      </c>
      <c r="X44" s="220">
        <v>46218</v>
      </c>
      <c r="Y44" s="220">
        <v>46222</v>
      </c>
      <c r="Z44" s="221" t="s">
        <v>34</v>
      </c>
      <c r="AA44" s="222" t="s">
        <v>34</v>
      </c>
      <c r="AB44" s="222">
        <v>1</v>
      </c>
      <c r="AC44" s="223">
        <v>46223</v>
      </c>
      <c r="AD44" s="223">
        <v>46232</v>
      </c>
      <c r="AE44" s="233" t="s">
        <v>232</v>
      </c>
      <c r="AF44" s="225" t="s">
        <v>34</v>
      </c>
      <c r="AG44" s="225">
        <v>1</v>
      </c>
      <c r="AH44" s="226">
        <v>46243</v>
      </c>
      <c r="AI44" s="226">
        <v>46250</v>
      </c>
      <c r="AJ44" s="227" t="s">
        <v>34</v>
      </c>
      <c r="AK44" s="228" t="s">
        <v>190</v>
      </c>
      <c r="AL44" s="228">
        <v>1</v>
      </c>
      <c r="AM44" s="229">
        <v>46337</v>
      </c>
      <c r="AN44" s="229">
        <v>46343</v>
      </c>
      <c r="AO44" s="230" t="s">
        <v>40</v>
      </c>
      <c r="AP44" s="231">
        <v>0</v>
      </c>
    </row>
    <row r="45" spans="1:42" ht="15">
      <c r="A45" s="7" t="s">
        <v>231</v>
      </c>
      <c r="B45" s="9" t="s">
        <v>288</v>
      </c>
      <c r="C45" s="195">
        <v>1</v>
      </c>
      <c r="D45" s="46">
        <v>46146</v>
      </c>
      <c r="E45" s="46">
        <v>46157</v>
      </c>
      <c r="F45" s="389" t="s">
        <v>40</v>
      </c>
      <c r="G45" s="34" t="s">
        <v>40</v>
      </c>
      <c r="H45" s="388">
        <v>1</v>
      </c>
      <c r="I45" s="229">
        <v>46170</v>
      </c>
      <c r="J45" s="229">
        <v>46183</v>
      </c>
      <c r="K45" s="230" t="s">
        <v>40</v>
      </c>
      <c r="L45" s="212" t="s">
        <v>251</v>
      </c>
      <c r="M45" s="231">
        <v>0</v>
      </c>
      <c r="N45" s="47">
        <v>46170</v>
      </c>
      <c r="O45" s="47">
        <v>46183</v>
      </c>
      <c r="P45" s="214" t="s">
        <v>40</v>
      </c>
      <c r="Q45" s="197" t="s">
        <v>251</v>
      </c>
      <c r="R45" s="215">
        <v>0</v>
      </c>
      <c r="S45" s="216">
        <v>46198</v>
      </c>
      <c r="T45" s="216">
        <v>46207</v>
      </c>
      <c r="U45" s="217" t="s">
        <v>40</v>
      </c>
      <c r="V45" s="218" t="s">
        <v>251</v>
      </c>
      <c r="W45" s="219">
        <v>0</v>
      </c>
      <c r="X45" s="220">
        <v>46218</v>
      </c>
      <c r="Y45" s="220">
        <v>46222</v>
      </c>
      <c r="Z45" s="221" t="s">
        <v>40</v>
      </c>
      <c r="AA45" s="88" t="s">
        <v>234</v>
      </c>
      <c r="AB45" s="222">
        <v>0</v>
      </c>
      <c r="AC45" s="223">
        <v>46223</v>
      </c>
      <c r="AD45" s="223">
        <v>46232</v>
      </c>
      <c r="AE45" s="233" t="s">
        <v>40</v>
      </c>
      <c r="AF45" s="206" t="s">
        <v>234</v>
      </c>
      <c r="AG45" s="225">
        <v>0</v>
      </c>
      <c r="AH45" s="226">
        <v>46243</v>
      </c>
      <c r="AI45" s="226">
        <v>46250</v>
      </c>
      <c r="AJ45" s="227" t="s">
        <v>34</v>
      </c>
      <c r="AK45" s="228" t="s">
        <v>190</v>
      </c>
      <c r="AL45" s="228">
        <v>1</v>
      </c>
      <c r="AM45" s="229">
        <v>46337</v>
      </c>
      <c r="AN45" s="229">
        <v>46343</v>
      </c>
      <c r="AO45" s="230" t="s">
        <v>40</v>
      </c>
      <c r="AP45" s="231">
        <v>0</v>
      </c>
    </row>
    <row r="46" spans="1:42" ht="15">
      <c r="A46" s="7" t="s">
        <v>231</v>
      </c>
      <c r="B46" s="9" t="s">
        <v>289</v>
      </c>
      <c r="C46" s="195">
        <v>1</v>
      </c>
      <c r="D46" s="46">
        <v>46146</v>
      </c>
      <c r="E46" s="46">
        <v>46157</v>
      </c>
      <c r="F46" s="389" t="s">
        <v>40</v>
      </c>
      <c r="G46" s="34" t="s">
        <v>40</v>
      </c>
      <c r="H46" s="388">
        <v>1</v>
      </c>
      <c r="I46" s="229">
        <v>46170</v>
      </c>
      <c r="J46" s="229">
        <v>46183</v>
      </c>
      <c r="K46" s="230" t="s">
        <v>40</v>
      </c>
      <c r="L46" s="212" t="s">
        <v>214</v>
      </c>
      <c r="M46" s="231">
        <v>0</v>
      </c>
      <c r="N46" s="47">
        <v>46170</v>
      </c>
      <c r="O46" s="47">
        <v>46183</v>
      </c>
      <c r="P46" s="214" t="s">
        <v>40</v>
      </c>
      <c r="Q46" s="197" t="s">
        <v>214</v>
      </c>
      <c r="R46" s="215">
        <v>0</v>
      </c>
      <c r="S46" s="216">
        <v>46198</v>
      </c>
      <c r="T46" s="216">
        <v>46207</v>
      </c>
      <c r="U46" s="217" t="s">
        <v>34</v>
      </c>
      <c r="V46" s="218" t="s">
        <v>34</v>
      </c>
      <c r="W46" s="219">
        <v>1</v>
      </c>
      <c r="X46" s="220">
        <v>46218</v>
      </c>
      <c r="Y46" s="220">
        <v>46222</v>
      </c>
      <c r="Z46" s="221" t="s">
        <v>34</v>
      </c>
      <c r="AA46" s="221" t="s">
        <v>34</v>
      </c>
      <c r="AB46" s="222">
        <v>1</v>
      </c>
      <c r="AC46" s="223">
        <v>46223</v>
      </c>
      <c r="AD46" s="223">
        <v>46232</v>
      </c>
      <c r="AE46" s="233" t="s">
        <v>40</v>
      </c>
      <c r="AF46" s="206" t="s">
        <v>240</v>
      </c>
      <c r="AG46" s="225">
        <v>0.7</v>
      </c>
      <c r="AH46" s="226">
        <v>46243</v>
      </c>
      <c r="AI46" s="226">
        <v>46250</v>
      </c>
      <c r="AJ46" s="227" t="s">
        <v>34</v>
      </c>
      <c r="AK46" s="228" t="s">
        <v>190</v>
      </c>
      <c r="AL46" s="228">
        <v>1</v>
      </c>
      <c r="AM46" s="229">
        <v>46337</v>
      </c>
      <c r="AN46" s="229">
        <v>46343</v>
      </c>
      <c r="AO46" s="230" t="s">
        <v>40</v>
      </c>
      <c r="AP46" s="231">
        <v>0</v>
      </c>
    </row>
    <row r="47" spans="1:42" ht="15">
      <c r="A47" s="7" t="s">
        <v>231</v>
      </c>
      <c r="B47" s="9" t="s">
        <v>290</v>
      </c>
      <c r="C47" s="195">
        <v>1</v>
      </c>
      <c r="D47" s="46">
        <v>46146</v>
      </c>
      <c r="E47" s="46">
        <v>46157</v>
      </c>
      <c r="F47" s="389" t="s">
        <v>34</v>
      </c>
      <c r="G47" s="440" t="s">
        <v>291</v>
      </c>
      <c r="H47" s="388">
        <v>1</v>
      </c>
      <c r="I47" s="229">
        <v>46170</v>
      </c>
      <c r="J47" s="229">
        <v>46183</v>
      </c>
      <c r="K47" s="230" t="s">
        <v>40</v>
      </c>
      <c r="L47" s="212" t="s">
        <v>256</v>
      </c>
      <c r="M47" s="231">
        <v>0.5</v>
      </c>
      <c r="N47" s="47">
        <v>46170</v>
      </c>
      <c r="O47" s="47">
        <v>46183</v>
      </c>
      <c r="P47" s="214" t="s">
        <v>40</v>
      </c>
      <c r="Q47" s="197" t="s">
        <v>256</v>
      </c>
      <c r="R47" s="215">
        <v>0</v>
      </c>
      <c r="S47" s="216">
        <v>46198</v>
      </c>
      <c r="T47" s="216">
        <v>46207</v>
      </c>
      <c r="U47" s="217" t="s">
        <v>34</v>
      </c>
      <c r="V47" s="199" t="s">
        <v>257</v>
      </c>
      <c r="W47" s="219">
        <v>1</v>
      </c>
      <c r="X47" s="220">
        <v>46218</v>
      </c>
      <c r="Y47" s="220">
        <v>46222</v>
      </c>
      <c r="Z47" s="221" t="s">
        <v>40</v>
      </c>
      <c r="AA47" s="88" t="s">
        <v>256</v>
      </c>
      <c r="AB47" s="222">
        <v>0</v>
      </c>
      <c r="AC47" s="223">
        <v>46223</v>
      </c>
      <c r="AD47" s="223">
        <v>46232</v>
      </c>
      <c r="AE47" s="233" t="s">
        <v>40</v>
      </c>
      <c r="AF47" s="206" t="s">
        <v>258</v>
      </c>
      <c r="AG47" s="225">
        <v>1</v>
      </c>
      <c r="AH47" s="226">
        <v>46243</v>
      </c>
      <c r="AI47" s="226">
        <v>46250</v>
      </c>
      <c r="AJ47" s="227" t="s">
        <v>34</v>
      </c>
      <c r="AK47" s="228" t="s">
        <v>190</v>
      </c>
      <c r="AL47" s="228">
        <v>1</v>
      </c>
      <c r="AM47" s="229">
        <v>46337</v>
      </c>
      <c r="AN47" s="229">
        <v>46343</v>
      </c>
      <c r="AO47" s="230" t="s">
        <v>40</v>
      </c>
      <c r="AP47" s="231">
        <v>0</v>
      </c>
    </row>
    <row r="48" spans="1:42" ht="15">
      <c r="A48" s="7" t="s">
        <v>231</v>
      </c>
      <c r="B48" s="9" t="s">
        <v>292</v>
      </c>
      <c r="C48" s="6">
        <v>1</v>
      </c>
      <c r="D48" s="46">
        <v>46146</v>
      </c>
      <c r="E48" s="46">
        <v>46157</v>
      </c>
      <c r="F48" s="389" t="s">
        <v>34</v>
      </c>
      <c r="G48" s="389" t="s">
        <v>34</v>
      </c>
      <c r="H48" s="388">
        <v>1</v>
      </c>
      <c r="I48" s="229">
        <v>46170</v>
      </c>
      <c r="J48" s="229">
        <v>46183</v>
      </c>
      <c r="K48" s="230" t="s">
        <v>34</v>
      </c>
      <c r="L48" s="279" t="s">
        <v>34</v>
      </c>
      <c r="M48" s="231">
        <v>1</v>
      </c>
      <c r="N48" s="47">
        <v>46170</v>
      </c>
      <c r="O48" s="47">
        <v>46183</v>
      </c>
      <c r="P48" s="214" t="s">
        <v>40</v>
      </c>
      <c r="Q48" s="237" t="s">
        <v>243</v>
      </c>
      <c r="R48" s="215">
        <v>0</v>
      </c>
      <c r="S48" s="216">
        <v>46198</v>
      </c>
      <c r="T48" s="216">
        <v>46207</v>
      </c>
      <c r="U48" s="217" t="s">
        <v>34</v>
      </c>
      <c r="V48" s="217" t="s">
        <v>34</v>
      </c>
      <c r="W48" s="219">
        <v>1</v>
      </c>
      <c r="X48" s="220">
        <v>46218</v>
      </c>
      <c r="Y48" s="220">
        <v>46222</v>
      </c>
      <c r="Z48" s="221" t="s">
        <v>34</v>
      </c>
      <c r="AA48" s="222" t="s">
        <v>34</v>
      </c>
      <c r="AB48" s="222">
        <v>1</v>
      </c>
      <c r="AC48" s="223">
        <v>46223</v>
      </c>
      <c r="AD48" s="223">
        <v>46232</v>
      </c>
      <c r="AE48" s="233" t="s">
        <v>34</v>
      </c>
      <c r="AF48" s="225" t="s">
        <v>34</v>
      </c>
      <c r="AG48" s="225">
        <v>1</v>
      </c>
      <c r="AH48" s="226">
        <v>46243</v>
      </c>
      <c r="AI48" s="226">
        <v>46250</v>
      </c>
      <c r="AJ48" s="227" t="s">
        <v>34</v>
      </c>
      <c r="AK48" s="228" t="s">
        <v>190</v>
      </c>
      <c r="AL48" s="228">
        <v>1</v>
      </c>
      <c r="AM48" s="229">
        <v>46337</v>
      </c>
      <c r="AN48" s="229">
        <v>46343</v>
      </c>
      <c r="AO48" s="230" t="s">
        <v>40</v>
      </c>
      <c r="AP48" s="231">
        <v>0</v>
      </c>
    </row>
    <row r="49" spans="1:42" ht="15">
      <c r="A49" s="7" t="s">
        <v>231</v>
      </c>
      <c r="B49" s="9" t="s">
        <v>293</v>
      </c>
      <c r="C49" s="195">
        <v>1</v>
      </c>
      <c r="D49" s="46">
        <v>46146</v>
      </c>
      <c r="E49" s="46">
        <v>46157</v>
      </c>
      <c r="F49" s="390" t="s">
        <v>219</v>
      </c>
      <c r="G49" s="390" t="s">
        <v>219</v>
      </c>
      <c r="H49" s="387">
        <v>0</v>
      </c>
      <c r="I49" s="229">
        <v>46170</v>
      </c>
      <c r="J49" s="229">
        <v>46183</v>
      </c>
      <c r="K49" s="230" t="s">
        <v>40</v>
      </c>
      <c r="L49" s="212" t="s">
        <v>251</v>
      </c>
      <c r="M49" s="231">
        <v>0</v>
      </c>
      <c r="N49" s="47">
        <v>46170</v>
      </c>
      <c r="O49" s="47">
        <v>46183</v>
      </c>
      <c r="P49" s="214" t="s">
        <v>40</v>
      </c>
      <c r="Q49" s="197" t="s">
        <v>251</v>
      </c>
      <c r="R49" s="215">
        <v>0</v>
      </c>
      <c r="S49" s="216">
        <v>46198</v>
      </c>
      <c r="T49" s="216">
        <v>46207</v>
      </c>
      <c r="U49" s="217" t="s">
        <v>40</v>
      </c>
      <c r="V49" s="218" t="s">
        <v>251</v>
      </c>
      <c r="W49" s="219">
        <v>0</v>
      </c>
      <c r="X49" s="220">
        <v>46218</v>
      </c>
      <c r="Y49" s="220">
        <v>46222</v>
      </c>
      <c r="Z49" s="221" t="s">
        <v>40</v>
      </c>
      <c r="AA49" s="88" t="s">
        <v>234</v>
      </c>
      <c r="AB49" s="222">
        <v>0</v>
      </c>
      <c r="AC49" s="223">
        <v>46223</v>
      </c>
      <c r="AD49" s="223">
        <v>46232</v>
      </c>
      <c r="AE49" s="233" t="s">
        <v>40</v>
      </c>
      <c r="AF49" s="206" t="s">
        <v>234</v>
      </c>
      <c r="AG49" s="225">
        <v>0</v>
      </c>
      <c r="AH49" s="226">
        <v>46243</v>
      </c>
      <c r="AI49" s="226">
        <v>46250</v>
      </c>
      <c r="AJ49" s="227" t="s">
        <v>34</v>
      </c>
      <c r="AK49" s="228" t="s">
        <v>190</v>
      </c>
      <c r="AL49" s="228">
        <v>1</v>
      </c>
      <c r="AM49" s="229">
        <v>46337</v>
      </c>
      <c r="AN49" s="229">
        <v>46343</v>
      </c>
      <c r="AO49" s="230" t="s">
        <v>40</v>
      </c>
      <c r="AP49" s="231">
        <v>0</v>
      </c>
    </row>
    <row r="50" spans="1:42" ht="15">
      <c r="A50" s="7" t="s">
        <v>231</v>
      </c>
      <c r="B50" s="9" t="s">
        <v>294</v>
      </c>
      <c r="C50" s="195">
        <v>1</v>
      </c>
      <c r="D50" s="46">
        <v>46146</v>
      </c>
      <c r="E50" s="46">
        <v>46157</v>
      </c>
      <c r="F50" s="389" t="s">
        <v>34</v>
      </c>
      <c r="G50" s="441" t="s">
        <v>295</v>
      </c>
      <c r="H50" s="388">
        <v>1</v>
      </c>
      <c r="I50" s="229">
        <v>46170</v>
      </c>
      <c r="J50" s="229">
        <v>46183</v>
      </c>
      <c r="K50" s="230" t="s">
        <v>40</v>
      </c>
      <c r="L50" s="212" t="s">
        <v>214</v>
      </c>
      <c r="M50" s="231">
        <v>0</v>
      </c>
      <c r="N50" s="47">
        <v>46170</v>
      </c>
      <c r="O50" s="47">
        <v>46183</v>
      </c>
      <c r="P50" s="214" t="s">
        <v>40</v>
      </c>
      <c r="Q50" s="197" t="s">
        <v>214</v>
      </c>
      <c r="R50" s="215">
        <v>0</v>
      </c>
      <c r="S50" s="216">
        <v>46198</v>
      </c>
      <c r="T50" s="216">
        <v>46207</v>
      </c>
      <c r="U50" s="217" t="s">
        <v>40</v>
      </c>
      <c r="V50" s="218" t="s">
        <v>214</v>
      </c>
      <c r="W50" s="219">
        <v>0</v>
      </c>
      <c r="X50" s="220">
        <v>46218</v>
      </c>
      <c r="Y50" s="220">
        <v>46222</v>
      </c>
      <c r="Z50" s="221" t="s">
        <v>40</v>
      </c>
      <c r="AA50" s="88" t="s">
        <v>214</v>
      </c>
      <c r="AB50" s="222">
        <v>0</v>
      </c>
      <c r="AC50" s="223">
        <v>46223</v>
      </c>
      <c r="AD50" s="223">
        <v>46232</v>
      </c>
      <c r="AE50" s="233" t="s">
        <v>40</v>
      </c>
      <c r="AF50" s="206" t="s">
        <v>214</v>
      </c>
      <c r="AG50" s="225">
        <v>0</v>
      </c>
      <c r="AH50" s="226">
        <v>46243</v>
      </c>
      <c r="AI50" s="226">
        <v>46250</v>
      </c>
      <c r="AJ50" s="227" t="s">
        <v>34</v>
      </c>
      <c r="AK50" s="228" t="s">
        <v>190</v>
      </c>
      <c r="AL50" s="228">
        <v>1</v>
      </c>
      <c r="AM50" s="229">
        <v>46337</v>
      </c>
      <c r="AN50" s="229">
        <v>46343</v>
      </c>
      <c r="AO50" s="230" t="s">
        <v>40</v>
      </c>
      <c r="AP50" s="231">
        <v>0</v>
      </c>
    </row>
    <row r="51" spans="1:42" ht="15">
      <c r="A51" s="7" t="s">
        <v>231</v>
      </c>
      <c r="B51" s="9" t="s">
        <v>296</v>
      </c>
      <c r="C51" s="195">
        <v>1</v>
      </c>
      <c r="D51" s="46">
        <v>46146</v>
      </c>
      <c r="E51" s="46">
        <v>46157</v>
      </c>
      <c r="F51" s="389" t="s">
        <v>34</v>
      </c>
      <c r="G51" s="34" t="s">
        <v>34</v>
      </c>
      <c r="H51" s="388">
        <v>1</v>
      </c>
      <c r="I51" s="229">
        <v>46170</v>
      </c>
      <c r="J51" s="229">
        <v>46183</v>
      </c>
      <c r="K51" s="230" t="s">
        <v>40</v>
      </c>
      <c r="L51" s="212" t="s">
        <v>256</v>
      </c>
      <c r="M51" s="231">
        <v>0</v>
      </c>
      <c r="N51" s="47">
        <v>46170</v>
      </c>
      <c r="O51" s="47">
        <v>46183</v>
      </c>
      <c r="P51" s="214" t="s">
        <v>40</v>
      </c>
      <c r="Q51" s="197" t="s">
        <v>256</v>
      </c>
      <c r="R51" s="215">
        <v>0</v>
      </c>
      <c r="S51" s="216">
        <v>46198</v>
      </c>
      <c r="T51" s="216">
        <v>46207</v>
      </c>
      <c r="U51" s="217" t="s">
        <v>34</v>
      </c>
      <c r="V51" s="199" t="s">
        <v>257</v>
      </c>
      <c r="W51" s="219">
        <v>1</v>
      </c>
      <c r="X51" s="220">
        <v>46218</v>
      </c>
      <c r="Y51" s="220">
        <v>46222</v>
      </c>
      <c r="Z51" s="221" t="s">
        <v>40</v>
      </c>
      <c r="AA51" s="88" t="s">
        <v>256</v>
      </c>
      <c r="AB51" s="222">
        <v>0</v>
      </c>
      <c r="AC51" s="223">
        <v>46223</v>
      </c>
      <c r="AD51" s="223">
        <v>46232</v>
      </c>
      <c r="AE51" s="233" t="s">
        <v>34</v>
      </c>
      <c r="AF51" s="206" t="s">
        <v>258</v>
      </c>
      <c r="AG51" s="225">
        <v>1</v>
      </c>
      <c r="AH51" s="226">
        <v>46243</v>
      </c>
      <c r="AI51" s="226">
        <v>46250</v>
      </c>
      <c r="AJ51" s="227" t="s">
        <v>34</v>
      </c>
      <c r="AK51" s="228" t="s">
        <v>190</v>
      </c>
      <c r="AL51" s="228">
        <v>1</v>
      </c>
      <c r="AM51" s="229">
        <v>46337</v>
      </c>
      <c r="AN51" s="229">
        <v>46343</v>
      </c>
      <c r="AO51" s="230" t="s">
        <v>40</v>
      </c>
      <c r="AP51" s="231">
        <v>0</v>
      </c>
    </row>
    <row r="52" spans="1:42" ht="15">
      <c r="A52" s="7" t="s">
        <v>231</v>
      </c>
      <c r="B52" s="9" t="s">
        <v>297</v>
      </c>
      <c r="C52" s="6">
        <v>1</v>
      </c>
      <c r="D52" s="46">
        <v>46146</v>
      </c>
      <c r="E52" s="46">
        <v>46157</v>
      </c>
      <c r="F52" s="390" t="s">
        <v>219</v>
      </c>
      <c r="G52" s="391" t="s">
        <v>219</v>
      </c>
      <c r="H52" s="387">
        <v>0</v>
      </c>
      <c r="I52" s="229">
        <v>46170</v>
      </c>
      <c r="J52" s="229">
        <v>46183</v>
      </c>
      <c r="K52" s="230" t="s">
        <v>40</v>
      </c>
      <c r="L52" s="279" t="s">
        <v>243</v>
      </c>
      <c r="M52" s="231">
        <v>0</v>
      </c>
      <c r="N52" s="47">
        <v>46170</v>
      </c>
      <c r="O52" s="47">
        <v>46183</v>
      </c>
      <c r="P52" s="214" t="s">
        <v>40</v>
      </c>
      <c r="Q52" s="237" t="s">
        <v>243</v>
      </c>
      <c r="R52" s="215">
        <v>0</v>
      </c>
      <c r="S52" s="216">
        <v>46198</v>
      </c>
      <c r="T52" s="216">
        <v>46207</v>
      </c>
      <c r="U52" s="217" t="s">
        <v>34</v>
      </c>
      <c r="V52" s="236" t="s">
        <v>214</v>
      </c>
      <c r="W52" s="219">
        <v>0</v>
      </c>
      <c r="X52" s="220">
        <v>46218</v>
      </c>
      <c r="Y52" s="220">
        <v>46222</v>
      </c>
      <c r="Z52" s="221" t="s">
        <v>40</v>
      </c>
      <c r="AA52" s="222" t="s">
        <v>214</v>
      </c>
      <c r="AB52" s="222">
        <v>0</v>
      </c>
      <c r="AC52" s="223">
        <v>46223</v>
      </c>
      <c r="AD52" s="223">
        <v>46232</v>
      </c>
      <c r="AE52" s="224" t="s">
        <v>40</v>
      </c>
      <c r="AF52" s="225" t="s">
        <v>214</v>
      </c>
      <c r="AG52" s="225">
        <v>0</v>
      </c>
      <c r="AH52" s="226">
        <v>46243</v>
      </c>
      <c r="AI52" s="226">
        <v>46250</v>
      </c>
      <c r="AJ52" s="227" t="s">
        <v>34</v>
      </c>
      <c r="AK52" s="228" t="s">
        <v>190</v>
      </c>
      <c r="AL52" s="228">
        <v>1</v>
      </c>
      <c r="AM52" s="229">
        <v>46337</v>
      </c>
      <c r="AN52" s="229">
        <v>46343</v>
      </c>
      <c r="AO52" s="230" t="s">
        <v>40</v>
      </c>
      <c r="AP52" s="231">
        <v>0</v>
      </c>
    </row>
    <row r="53" spans="1:42" ht="15">
      <c r="A53" s="7" t="s">
        <v>231</v>
      </c>
      <c r="B53" s="9" t="s">
        <v>298</v>
      </c>
      <c r="C53" s="195">
        <v>1</v>
      </c>
      <c r="D53" s="46">
        <v>46146</v>
      </c>
      <c r="E53" s="46">
        <v>46157</v>
      </c>
      <c r="F53" s="389" t="s">
        <v>34</v>
      </c>
      <c r="G53" s="34" t="s">
        <v>34</v>
      </c>
      <c r="H53" s="388">
        <v>1</v>
      </c>
      <c r="I53" s="229">
        <v>46170</v>
      </c>
      <c r="J53" s="229">
        <v>46183</v>
      </c>
      <c r="K53" s="230" t="s">
        <v>40</v>
      </c>
      <c r="L53" s="212" t="s">
        <v>251</v>
      </c>
      <c r="M53" s="231">
        <v>0</v>
      </c>
      <c r="N53" s="47">
        <v>46170</v>
      </c>
      <c r="O53" s="47">
        <v>46183</v>
      </c>
      <c r="P53" s="214" t="s">
        <v>40</v>
      </c>
      <c r="Q53" s="197" t="s">
        <v>251</v>
      </c>
      <c r="R53" s="215">
        <v>0</v>
      </c>
      <c r="S53" s="216">
        <v>46198</v>
      </c>
      <c r="T53" s="216">
        <v>46207</v>
      </c>
      <c r="U53" s="217" t="s">
        <v>40</v>
      </c>
      <c r="V53" s="218" t="s">
        <v>251</v>
      </c>
      <c r="W53" s="219">
        <v>0</v>
      </c>
      <c r="X53" s="220">
        <v>46218</v>
      </c>
      <c r="Y53" s="220">
        <v>46222</v>
      </c>
      <c r="Z53" s="221" t="s">
        <v>40</v>
      </c>
      <c r="AA53" s="88" t="s">
        <v>234</v>
      </c>
      <c r="AB53" s="222">
        <v>0</v>
      </c>
      <c r="AC53" s="223">
        <v>46223</v>
      </c>
      <c r="AD53" s="223">
        <v>46232</v>
      </c>
      <c r="AE53" s="233" t="s">
        <v>40</v>
      </c>
      <c r="AF53" s="206" t="s">
        <v>234</v>
      </c>
      <c r="AG53" s="225">
        <v>0</v>
      </c>
      <c r="AH53" s="226">
        <v>46243</v>
      </c>
      <c r="AI53" s="226">
        <v>46250</v>
      </c>
      <c r="AJ53" s="227" t="s">
        <v>34</v>
      </c>
      <c r="AK53" s="228" t="s">
        <v>190</v>
      </c>
      <c r="AL53" s="228">
        <v>1</v>
      </c>
      <c r="AM53" s="229">
        <v>46337</v>
      </c>
      <c r="AN53" s="229">
        <v>46343</v>
      </c>
      <c r="AO53" s="230" t="s">
        <v>40</v>
      </c>
      <c r="AP53" s="231">
        <v>0</v>
      </c>
    </row>
    <row r="54" spans="1:42" ht="15">
      <c r="A54" s="7" t="s">
        <v>231</v>
      </c>
      <c r="B54" s="9" t="s">
        <v>299</v>
      </c>
      <c r="C54" s="195">
        <v>1</v>
      </c>
      <c r="D54" s="46">
        <v>46146</v>
      </c>
      <c r="E54" s="46">
        <v>46157</v>
      </c>
      <c r="F54" s="389" t="s">
        <v>34</v>
      </c>
      <c r="G54" s="34" t="s">
        <v>34</v>
      </c>
      <c r="H54" s="388">
        <v>1</v>
      </c>
      <c r="I54" s="229">
        <v>46170</v>
      </c>
      <c r="J54" s="229">
        <v>46183</v>
      </c>
      <c r="K54" s="230" t="s">
        <v>34</v>
      </c>
      <c r="L54" s="212" t="s">
        <v>34</v>
      </c>
      <c r="M54" s="231">
        <v>1</v>
      </c>
      <c r="N54" s="47">
        <v>46170</v>
      </c>
      <c r="O54" s="47">
        <v>46183</v>
      </c>
      <c r="P54" s="214" t="s">
        <v>34</v>
      </c>
      <c r="Q54" s="197" t="s">
        <v>34</v>
      </c>
      <c r="R54" s="215">
        <v>1</v>
      </c>
      <c r="S54" s="216">
        <v>46198</v>
      </c>
      <c r="T54" s="216">
        <v>46207</v>
      </c>
      <c r="U54" s="217" t="s">
        <v>34</v>
      </c>
      <c r="V54" s="218" t="s">
        <v>34</v>
      </c>
      <c r="W54" s="219">
        <v>1</v>
      </c>
      <c r="X54" s="220">
        <v>46218</v>
      </c>
      <c r="Y54" s="220">
        <v>46222</v>
      </c>
      <c r="Z54" s="221" t="s">
        <v>34</v>
      </c>
      <c r="AA54" s="222" t="s">
        <v>34</v>
      </c>
      <c r="AB54" s="222">
        <v>1</v>
      </c>
      <c r="AC54" s="223">
        <v>46223</v>
      </c>
      <c r="AD54" s="223">
        <v>46232</v>
      </c>
      <c r="AE54" s="233" t="s">
        <v>232</v>
      </c>
      <c r="AF54" s="238" t="s">
        <v>34</v>
      </c>
      <c r="AG54" s="225">
        <v>1</v>
      </c>
      <c r="AH54" s="226">
        <v>46243</v>
      </c>
      <c r="AI54" s="226">
        <v>46250</v>
      </c>
      <c r="AJ54" s="227" t="s">
        <v>34</v>
      </c>
      <c r="AK54" s="228" t="s">
        <v>190</v>
      </c>
      <c r="AL54" s="228">
        <v>1</v>
      </c>
      <c r="AM54" s="229">
        <v>46337</v>
      </c>
      <c r="AN54" s="229">
        <v>46343</v>
      </c>
      <c r="AO54" s="230" t="s">
        <v>40</v>
      </c>
      <c r="AP54" s="231">
        <v>0</v>
      </c>
    </row>
    <row r="55" spans="1:42" ht="15">
      <c r="A55" s="7" t="s">
        <v>231</v>
      </c>
      <c r="B55" s="9" t="s">
        <v>300</v>
      </c>
      <c r="C55" s="195">
        <v>1</v>
      </c>
      <c r="D55" s="46">
        <v>46146</v>
      </c>
      <c r="E55" s="46">
        <v>46157</v>
      </c>
      <c r="F55" s="389" t="s">
        <v>219</v>
      </c>
      <c r="G55" s="34" t="s">
        <v>219</v>
      </c>
      <c r="H55" s="388">
        <v>1</v>
      </c>
      <c r="I55" s="229">
        <v>46170</v>
      </c>
      <c r="J55" s="229">
        <v>46183</v>
      </c>
      <c r="K55" s="230" t="s">
        <v>34</v>
      </c>
      <c r="L55" s="212" t="s">
        <v>34</v>
      </c>
      <c r="M55" s="231">
        <v>1</v>
      </c>
      <c r="N55" s="47">
        <v>46170</v>
      </c>
      <c r="O55" s="47">
        <v>46183</v>
      </c>
      <c r="P55" s="214" t="s">
        <v>34</v>
      </c>
      <c r="Q55" s="197" t="s">
        <v>34</v>
      </c>
      <c r="R55" s="215">
        <v>1</v>
      </c>
      <c r="S55" s="216">
        <v>46198</v>
      </c>
      <c r="T55" s="216">
        <v>46207</v>
      </c>
      <c r="U55" s="217" t="s">
        <v>34</v>
      </c>
      <c r="V55" s="218" t="s">
        <v>34</v>
      </c>
      <c r="W55" s="219">
        <v>1</v>
      </c>
      <c r="X55" s="220">
        <v>46218</v>
      </c>
      <c r="Y55" s="220">
        <v>46222</v>
      </c>
      <c r="Z55" s="221" t="s">
        <v>34</v>
      </c>
      <c r="AA55" s="222" t="s">
        <v>34</v>
      </c>
      <c r="AB55" s="222">
        <v>1</v>
      </c>
      <c r="AC55" s="223">
        <v>46223</v>
      </c>
      <c r="AD55" s="223">
        <v>46232</v>
      </c>
      <c r="AE55" s="233" t="s">
        <v>34</v>
      </c>
      <c r="AF55" s="238" t="s">
        <v>34</v>
      </c>
      <c r="AG55" s="225">
        <v>1</v>
      </c>
      <c r="AH55" s="226">
        <v>46243</v>
      </c>
      <c r="AI55" s="226">
        <v>46250</v>
      </c>
      <c r="AJ55" s="227" t="s">
        <v>34</v>
      </c>
      <c r="AK55" s="228" t="s">
        <v>190</v>
      </c>
      <c r="AL55" s="228">
        <v>1</v>
      </c>
      <c r="AM55" s="229">
        <v>46337</v>
      </c>
      <c r="AN55" s="229">
        <v>46343</v>
      </c>
      <c r="AO55" s="230" t="s">
        <v>40</v>
      </c>
      <c r="AP55" s="231">
        <v>0</v>
      </c>
    </row>
    <row r="56" spans="1:42" ht="15">
      <c r="A56" s="7" t="s">
        <v>231</v>
      </c>
      <c r="B56" s="9" t="s">
        <v>301</v>
      </c>
      <c r="C56" s="195">
        <v>1</v>
      </c>
      <c r="D56" s="46">
        <v>46146</v>
      </c>
      <c r="E56" s="46">
        <v>46157</v>
      </c>
      <c r="F56" s="389" t="s">
        <v>219</v>
      </c>
      <c r="G56" s="34" t="s">
        <v>219</v>
      </c>
      <c r="H56" s="388">
        <v>0</v>
      </c>
      <c r="I56" s="229">
        <v>46170</v>
      </c>
      <c r="J56" s="229">
        <v>46183</v>
      </c>
      <c r="K56" s="230" t="s">
        <v>40</v>
      </c>
      <c r="L56" s="212" t="s">
        <v>302</v>
      </c>
      <c r="M56" s="231">
        <v>0</v>
      </c>
      <c r="N56" s="47">
        <v>46170</v>
      </c>
      <c r="O56" s="47">
        <v>46183</v>
      </c>
      <c r="P56" s="214" t="s">
        <v>40</v>
      </c>
      <c r="Q56" s="197" t="s">
        <v>302</v>
      </c>
      <c r="R56" s="215">
        <v>0</v>
      </c>
      <c r="S56" s="216">
        <v>46198</v>
      </c>
      <c r="T56" s="216">
        <v>46207</v>
      </c>
      <c r="U56" s="217" t="s">
        <v>40</v>
      </c>
      <c r="V56" s="201" t="s">
        <v>302</v>
      </c>
      <c r="W56" s="219">
        <v>0</v>
      </c>
      <c r="X56" s="220">
        <v>46218</v>
      </c>
      <c r="Y56" s="220">
        <v>46222</v>
      </c>
      <c r="Z56" s="221" t="s">
        <v>40</v>
      </c>
      <c r="AA56" s="88" t="s">
        <v>234</v>
      </c>
      <c r="AB56" s="222">
        <v>0</v>
      </c>
      <c r="AC56" s="223">
        <v>46223</v>
      </c>
      <c r="AD56" s="223">
        <v>46232</v>
      </c>
      <c r="AE56" s="233" t="s">
        <v>40</v>
      </c>
      <c r="AF56" s="206" t="s">
        <v>234</v>
      </c>
      <c r="AG56" s="225">
        <v>0</v>
      </c>
      <c r="AH56" s="226">
        <v>46243</v>
      </c>
      <c r="AI56" s="226">
        <v>46250</v>
      </c>
      <c r="AJ56" s="227" t="s">
        <v>34</v>
      </c>
      <c r="AK56" s="228" t="s">
        <v>190</v>
      </c>
      <c r="AL56" s="228">
        <v>1</v>
      </c>
      <c r="AM56" s="229">
        <v>46337</v>
      </c>
      <c r="AN56" s="229">
        <v>46343</v>
      </c>
      <c r="AO56" s="230" t="s">
        <v>40</v>
      </c>
      <c r="AP56" s="231">
        <v>0</v>
      </c>
    </row>
    <row r="57" spans="1:42" ht="15">
      <c r="A57" s="7" t="s">
        <v>231</v>
      </c>
      <c r="B57" s="9" t="s">
        <v>303</v>
      </c>
      <c r="C57" s="195">
        <v>1</v>
      </c>
      <c r="D57" s="46">
        <v>46146</v>
      </c>
      <c r="E57" s="46">
        <v>46157</v>
      </c>
      <c r="F57" s="389" t="s">
        <v>219</v>
      </c>
      <c r="G57" s="34" t="s">
        <v>219</v>
      </c>
      <c r="H57" s="388">
        <v>0</v>
      </c>
      <c r="I57" s="229">
        <v>46170</v>
      </c>
      <c r="J57" s="229">
        <v>46183</v>
      </c>
      <c r="K57" s="230" t="s">
        <v>40</v>
      </c>
      <c r="L57" s="212" t="s">
        <v>302</v>
      </c>
      <c r="M57" s="231">
        <v>0</v>
      </c>
      <c r="N57" s="47">
        <v>46170</v>
      </c>
      <c r="O57" s="47">
        <v>46183</v>
      </c>
      <c r="P57" s="214" t="s">
        <v>40</v>
      </c>
      <c r="Q57" s="197" t="s">
        <v>302</v>
      </c>
      <c r="R57" s="215">
        <v>0</v>
      </c>
      <c r="S57" s="216">
        <v>46198</v>
      </c>
      <c r="T57" s="216">
        <v>46207</v>
      </c>
      <c r="U57" s="217" t="s">
        <v>40</v>
      </c>
      <c r="V57" s="201" t="s">
        <v>302</v>
      </c>
      <c r="W57" s="219">
        <v>0</v>
      </c>
      <c r="X57" s="220">
        <v>46218</v>
      </c>
      <c r="Y57" s="220">
        <v>46222</v>
      </c>
      <c r="Z57" s="221" t="s">
        <v>40</v>
      </c>
      <c r="AA57" s="88" t="s">
        <v>234</v>
      </c>
      <c r="AB57" s="222">
        <v>0</v>
      </c>
      <c r="AC57" s="223">
        <v>46223</v>
      </c>
      <c r="AD57" s="223">
        <v>46232</v>
      </c>
      <c r="AE57" s="233" t="s">
        <v>40</v>
      </c>
      <c r="AF57" s="206" t="s">
        <v>234</v>
      </c>
      <c r="AG57" s="225">
        <v>0</v>
      </c>
      <c r="AH57" s="226">
        <v>46243</v>
      </c>
      <c r="AI57" s="226">
        <v>46250</v>
      </c>
      <c r="AJ57" s="227" t="s">
        <v>34</v>
      </c>
      <c r="AK57" s="228" t="s">
        <v>190</v>
      </c>
      <c r="AL57" s="228">
        <v>1</v>
      </c>
      <c r="AM57" s="229">
        <v>46337</v>
      </c>
      <c r="AN57" s="229">
        <v>46343</v>
      </c>
      <c r="AO57" s="230" t="s">
        <v>40</v>
      </c>
      <c r="AP57" s="231">
        <v>0</v>
      </c>
    </row>
    <row r="58" spans="1:42" ht="15">
      <c r="A58" s="7" t="s">
        <v>231</v>
      </c>
      <c r="B58" s="9" t="s">
        <v>304</v>
      </c>
      <c r="C58" s="195">
        <v>1</v>
      </c>
      <c r="D58" s="46">
        <v>46146</v>
      </c>
      <c r="E58" s="46">
        <v>46157</v>
      </c>
      <c r="F58" s="389" t="s">
        <v>219</v>
      </c>
      <c r="G58" s="34" t="s">
        <v>219</v>
      </c>
      <c r="H58" s="388">
        <v>0</v>
      </c>
      <c r="I58" s="229">
        <v>46170</v>
      </c>
      <c r="J58" s="229">
        <v>46183</v>
      </c>
      <c r="K58" s="230" t="s">
        <v>40</v>
      </c>
      <c r="L58" s="212" t="s">
        <v>302</v>
      </c>
      <c r="M58" s="231">
        <v>0</v>
      </c>
      <c r="N58" s="47">
        <v>46170</v>
      </c>
      <c r="O58" s="47">
        <v>46183</v>
      </c>
      <c r="P58" s="214" t="s">
        <v>40</v>
      </c>
      <c r="Q58" s="197" t="s">
        <v>302</v>
      </c>
      <c r="R58" s="215">
        <v>0</v>
      </c>
      <c r="S58" s="216">
        <v>46198</v>
      </c>
      <c r="T58" s="216">
        <v>46207</v>
      </c>
      <c r="U58" s="217" t="s">
        <v>40</v>
      </c>
      <c r="V58" s="201" t="s">
        <v>302</v>
      </c>
      <c r="W58" s="219">
        <v>0</v>
      </c>
      <c r="X58" s="220">
        <v>46218</v>
      </c>
      <c r="Y58" s="220">
        <v>46222</v>
      </c>
      <c r="Z58" s="221" t="s">
        <v>40</v>
      </c>
      <c r="AA58" s="88" t="s">
        <v>234</v>
      </c>
      <c r="AB58" s="222">
        <v>0</v>
      </c>
      <c r="AC58" s="223">
        <v>46223</v>
      </c>
      <c r="AD58" s="223">
        <v>46232</v>
      </c>
      <c r="AE58" s="233" t="s">
        <v>40</v>
      </c>
      <c r="AF58" s="206" t="s">
        <v>234</v>
      </c>
      <c r="AG58" s="225">
        <v>0</v>
      </c>
      <c r="AH58" s="226">
        <v>46243</v>
      </c>
      <c r="AI58" s="226">
        <v>46250</v>
      </c>
      <c r="AJ58" s="227" t="s">
        <v>34</v>
      </c>
      <c r="AK58" s="228" t="s">
        <v>190</v>
      </c>
      <c r="AL58" s="228">
        <v>1</v>
      </c>
      <c r="AM58" s="229">
        <v>46337</v>
      </c>
      <c r="AN58" s="229">
        <v>46343</v>
      </c>
      <c r="AO58" s="230" t="s">
        <v>40</v>
      </c>
      <c r="AP58" s="231">
        <v>0</v>
      </c>
    </row>
    <row r="59" spans="1:42" ht="15">
      <c r="A59" s="7" t="s">
        <v>231</v>
      </c>
      <c r="B59" s="9" t="s">
        <v>305</v>
      </c>
      <c r="C59" s="195">
        <v>1</v>
      </c>
      <c r="D59" s="46">
        <v>46146</v>
      </c>
      <c r="E59" s="46">
        <v>46157</v>
      </c>
      <c r="F59" s="389" t="s">
        <v>219</v>
      </c>
      <c r="G59" s="34" t="s">
        <v>219</v>
      </c>
      <c r="H59" s="388">
        <v>0</v>
      </c>
      <c r="I59" s="229">
        <v>46170</v>
      </c>
      <c r="J59" s="229">
        <v>46183</v>
      </c>
      <c r="K59" s="230" t="s">
        <v>40</v>
      </c>
      <c r="L59" s="212" t="s">
        <v>302</v>
      </c>
      <c r="M59" s="231">
        <v>0</v>
      </c>
      <c r="N59" s="47">
        <v>46170</v>
      </c>
      <c r="O59" s="47">
        <v>46183</v>
      </c>
      <c r="P59" s="214" t="s">
        <v>40</v>
      </c>
      <c r="Q59" s="197" t="s">
        <v>302</v>
      </c>
      <c r="R59" s="215">
        <v>0</v>
      </c>
      <c r="S59" s="216">
        <v>46198</v>
      </c>
      <c r="T59" s="216">
        <v>46207</v>
      </c>
      <c r="U59" s="217" t="s">
        <v>40</v>
      </c>
      <c r="V59" s="201" t="s">
        <v>302</v>
      </c>
      <c r="W59" s="219">
        <v>0</v>
      </c>
      <c r="X59" s="220">
        <v>46218</v>
      </c>
      <c r="Y59" s="220">
        <v>46222</v>
      </c>
      <c r="Z59" s="221" t="s">
        <v>40</v>
      </c>
      <c r="AA59" s="88" t="s">
        <v>234</v>
      </c>
      <c r="AB59" s="222">
        <v>0</v>
      </c>
      <c r="AC59" s="223">
        <v>46223</v>
      </c>
      <c r="AD59" s="223">
        <v>46232</v>
      </c>
      <c r="AE59" s="233" t="s">
        <v>40</v>
      </c>
      <c r="AF59" s="206" t="s">
        <v>234</v>
      </c>
      <c r="AG59" s="225">
        <v>0</v>
      </c>
      <c r="AH59" s="226">
        <v>46243</v>
      </c>
      <c r="AI59" s="226">
        <v>46250</v>
      </c>
      <c r="AJ59" s="227" t="s">
        <v>34</v>
      </c>
      <c r="AK59" s="228" t="s">
        <v>190</v>
      </c>
      <c r="AL59" s="228">
        <v>1</v>
      </c>
      <c r="AM59" s="229">
        <v>46337</v>
      </c>
      <c r="AN59" s="229">
        <v>46343</v>
      </c>
      <c r="AO59" s="230" t="s">
        <v>40</v>
      </c>
      <c r="AP59" s="231">
        <v>0</v>
      </c>
    </row>
    <row r="60" spans="1:42" ht="15">
      <c r="A60" s="7" t="s">
        <v>231</v>
      </c>
      <c r="B60" s="9" t="s">
        <v>306</v>
      </c>
      <c r="C60" s="195">
        <v>1</v>
      </c>
      <c r="D60" s="46">
        <v>46146</v>
      </c>
      <c r="E60" s="46">
        <v>46157</v>
      </c>
      <c r="F60" s="389" t="s">
        <v>219</v>
      </c>
      <c r="G60" s="34" t="s">
        <v>219</v>
      </c>
      <c r="H60" s="388">
        <v>0</v>
      </c>
      <c r="I60" s="229">
        <v>46170</v>
      </c>
      <c r="J60" s="229">
        <v>46183</v>
      </c>
      <c r="K60" s="230" t="s">
        <v>40</v>
      </c>
      <c r="L60" s="212" t="s">
        <v>302</v>
      </c>
      <c r="M60" s="231">
        <v>0</v>
      </c>
      <c r="N60" s="47">
        <v>46170</v>
      </c>
      <c r="O60" s="47">
        <v>46183</v>
      </c>
      <c r="P60" s="214" t="s">
        <v>40</v>
      </c>
      <c r="Q60" s="197" t="s">
        <v>302</v>
      </c>
      <c r="R60" s="215">
        <v>0</v>
      </c>
      <c r="S60" s="216">
        <v>46198</v>
      </c>
      <c r="T60" s="216">
        <v>46207</v>
      </c>
      <c r="U60" s="217" t="s">
        <v>40</v>
      </c>
      <c r="V60" s="201" t="s">
        <v>302</v>
      </c>
      <c r="W60" s="219">
        <v>0</v>
      </c>
      <c r="X60" s="220">
        <v>46218</v>
      </c>
      <c r="Y60" s="220">
        <v>46222</v>
      </c>
      <c r="Z60" s="221" t="s">
        <v>40</v>
      </c>
      <c r="AA60" s="88" t="s">
        <v>234</v>
      </c>
      <c r="AB60" s="222">
        <v>0</v>
      </c>
      <c r="AC60" s="223">
        <v>46223</v>
      </c>
      <c r="AD60" s="223">
        <v>46232</v>
      </c>
      <c r="AE60" s="233" t="s">
        <v>40</v>
      </c>
      <c r="AF60" s="206" t="s">
        <v>234</v>
      </c>
      <c r="AG60" s="225">
        <v>0</v>
      </c>
      <c r="AH60" s="226">
        <v>46243</v>
      </c>
      <c r="AI60" s="226">
        <v>46250</v>
      </c>
      <c r="AJ60" s="227" t="s">
        <v>34</v>
      </c>
      <c r="AK60" s="228" t="s">
        <v>190</v>
      </c>
      <c r="AL60" s="228">
        <v>1</v>
      </c>
      <c r="AM60" s="229">
        <v>46337</v>
      </c>
      <c r="AN60" s="229">
        <v>46343</v>
      </c>
      <c r="AO60" s="230" t="s">
        <v>40</v>
      </c>
      <c r="AP60" s="231">
        <v>0</v>
      </c>
    </row>
    <row r="61" spans="1:42" ht="15">
      <c r="A61" s="7" t="s">
        <v>231</v>
      </c>
      <c r="B61" s="9" t="s">
        <v>307</v>
      </c>
      <c r="C61" s="195">
        <v>1</v>
      </c>
      <c r="D61" s="46">
        <v>46146</v>
      </c>
      <c r="E61" s="46">
        <v>46157</v>
      </c>
      <c r="F61" s="389" t="s">
        <v>219</v>
      </c>
      <c r="G61" s="34" t="s">
        <v>219</v>
      </c>
      <c r="H61" s="388">
        <v>0</v>
      </c>
      <c r="I61" s="229">
        <v>46170</v>
      </c>
      <c r="J61" s="229">
        <v>46183</v>
      </c>
      <c r="K61" s="230" t="s">
        <v>40</v>
      </c>
      <c r="L61" s="212" t="s">
        <v>302</v>
      </c>
      <c r="M61" s="231">
        <v>0</v>
      </c>
      <c r="N61" s="47">
        <v>46170</v>
      </c>
      <c r="O61" s="47">
        <v>46183</v>
      </c>
      <c r="P61" s="214" t="s">
        <v>40</v>
      </c>
      <c r="Q61" s="197" t="s">
        <v>302</v>
      </c>
      <c r="R61" s="215">
        <v>0</v>
      </c>
      <c r="S61" s="216">
        <v>46198</v>
      </c>
      <c r="T61" s="216">
        <v>46207</v>
      </c>
      <c r="U61" s="217" t="s">
        <v>40</v>
      </c>
      <c r="V61" s="201" t="s">
        <v>302</v>
      </c>
      <c r="W61" s="219">
        <v>0</v>
      </c>
      <c r="X61" s="220">
        <v>46218</v>
      </c>
      <c r="Y61" s="220">
        <v>46222</v>
      </c>
      <c r="Z61" s="221" t="s">
        <v>40</v>
      </c>
      <c r="AA61" s="88" t="s">
        <v>234</v>
      </c>
      <c r="AB61" s="222">
        <v>0</v>
      </c>
      <c r="AC61" s="223">
        <v>46223</v>
      </c>
      <c r="AD61" s="223">
        <v>46232</v>
      </c>
      <c r="AE61" s="233" t="s">
        <v>40</v>
      </c>
      <c r="AF61" s="206" t="s">
        <v>234</v>
      </c>
      <c r="AG61" s="225">
        <v>0</v>
      </c>
      <c r="AH61" s="226">
        <v>46243</v>
      </c>
      <c r="AI61" s="226">
        <v>46250</v>
      </c>
      <c r="AJ61" s="227" t="s">
        <v>34</v>
      </c>
      <c r="AK61" s="228" t="s">
        <v>190</v>
      </c>
      <c r="AL61" s="228">
        <v>1</v>
      </c>
      <c r="AM61" s="229">
        <v>46337</v>
      </c>
      <c r="AN61" s="229">
        <v>46343</v>
      </c>
      <c r="AO61" s="230" t="s">
        <v>40</v>
      </c>
      <c r="AP61" s="231">
        <v>0</v>
      </c>
    </row>
    <row r="62" spans="1:42" ht="15">
      <c r="A62" s="7" t="s">
        <v>231</v>
      </c>
      <c r="B62" s="9" t="s">
        <v>308</v>
      </c>
      <c r="C62" s="195">
        <v>1</v>
      </c>
      <c r="D62" s="46">
        <v>46146</v>
      </c>
      <c r="E62" s="46">
        <v>46157</v>
      </c>
      <c r="F62" s="389" t="s">
        <v>219</v>
      </c>
      <c r="G62" s="34" t="s">
        <v>219</v>
      </c>
      <c r="H62" s="388">
        <v>0</v>
      </c>
      <c r="I62" s="229">
        <v>46170</v>
      </c>
      <c r="J62" s="229">
        <v>46183</v>
      </c>
      <c r="K62" s="230" t="s">
        <v>40</v>
      </c>
      <c r="L62" s="212" t="s">
        <v>302</v>
      </c>
      <c r="M62" s="231">
        <v>0</v>
      </c>
      <c r="N62" s="47">
        <v>46170</v>
      </c>
      <c r="O62" s="47">
        <v>46183</v>
      </c>
      <c r="P62" s="214" t="s">
        <v>40</v>
      </c>
      <c r="Q62" s="197" t="s">
        <v>302</v>
      </c>
      <c r="R62" s="215">
        <v>0</v>
      </c>
      <c r="S62" s="216">
        <v>46198</v>
      </c>
      <c r="T62" s="216">
        <v>46207</v>
      </c>
      <c r="U62" s="217" t="s">
        <v>40</v>
      </c>
      <c r="V62" s="201" t="s">
        <v>302</v>
      </c>
      <c r="W62" s="219">
        <v>0</v>
      </c>
      <c r="X62" s="220">
        <v>46218</v>
      </c>
      <c r="Y62" s="220">
        <v>46222</v>
      </c>
      <c r="Z62" s="221" t="s">
        <v>40</v>
      </c>
      <c r="AA62" s="88" t="s">
        <v>234</v>
      </c>
      <c r="AB62" s="222">
        <v>0</v>
      </c>
      <c r="AC62" s="223">
        <v>46223</v>
      </c>
      <c r="AD62" s="223">
        <v>46232</v>
      </c>
      <c r="AE62" s="233" t="s">
        <v>40</v>
      </c>
      <c r="AF62" s="206" t="s">
        <v>234</v>
      </c>
      <c r="AG62" s="225">
        <v>0</v>
      </c>
      <c r="AH62" s="226">
        <v>46243</v>
      </c>
      <c r="AI62" s="226">
        <v>46250</v>
      </c>
      <c r="AJ62" s="227" t="s">
        <v>34</v>
      </c>
      <c r="AK62" s="228" t="s">
        <v>190</v>
      </c>
      <c r="AL62" s="228">
        <v>1</v>
      </c>
      <c r="AM62" s="229">
        <v>46337</v>
      </c>
      <c r="AN62" s="229">
        <v>46343</v>
      </c>
      <c r="AO62" s="230" t="s">
        <v>40</v>
      </c>
      <c r="AP62" s="231">
        <v>0</v>
      </c>
    </row>
    <row r="63" spans="1:42" ht="15">
      <c r="A63" s="7" t="s">
        <v>231</v>
      </c>
      <c r="B63" s="9" t="s">
        <v>309</v>
      </c>
      <c r="C63" s="195">
        <v>1</v>
      </c>
      <c r="D63" s="46">
        <v>46146</v>
      </c>
      <c r="E63" s="46">
        <v>46157</v>
      </c>
      <c r="F63" s="389" t="s">
        <v>219</v>
      </c>
      <c r="G63" s="34" t="s">
        <v>219</v>
      </c>
      <c r="H63" s="388">
        <v>0</v>
      </c>
      <c r="I63" s="229">
        <v>46170</v>
      </c>
      <c r="J63" s="229">
        <v>46183</v>
      </c>
      <c r="K63" s="230" t="s">
        <v>40</v>
      </c>
      <c r="L63" s="212" t="s">
        <v>302</v>
      </c>
      <c r="M63" s="231">
        <v>0</v>
      </c>
      <c r="N63" s="47">
        <v>46170</v>
      </c>
      <c r="O63" s="47">
        <v>46183</v>
      </c>
      <c r="P63" s="214" t="s">
        <v>40</v>
      </c>
      <c r="Q63" s="197" t="s">
        <v>302</v>
      </c>
      <c r="R63" s="215">
        <v>0</v>
      </c>
      <c r="S63" s="216">
        <v>46198</v>
      </c>
      <c r="T63" s="216">
        <v>46207</v>
      </c>
      <c r="U63" s="217" t="s">
        <v>40</v>
      </c>
      <c r="V63" s="201" t="s">
        <v>302</v>
      </c>
      <c r="W63" s="219">
        <v>0</v>
      </c>
      <c r="X63" s="220">
        <v>46218</v>
      </c>
      <c r="Y63" s="220">
        <v>46222</v>
      </c>
      <c r="Z63" s="221" t="s">
        <v>40</v>
      </c>
      <c r="AA63" s="88" t="s">
        <v>234</v>
      </c>
      <c r="AB63" s="222">
        <v>0</v>
      </c>
      <c r="AC63" s="223">
        <v>46223</v>
      </c>
      <c r="AD63" s="223">
        <v>46232</v>
      </c>
      <c r="AE63" s="233" t="s">
        <v>40</v>
      </c>
      <c r="AF63" s="206" t="s">
        <v>234</v>
      </c>
      <c r="AG63" s="225">
        <v>0</v>
      </c>
      <c r="AH63" s="226">
        <v>46243</v>
      </c>
      <c r="AI63" s="226">
        <v>46250</v>
      </c>
      <c r="AJ63" s="227" t="s">
        <v>34</v>
      </c>
      <c r="AK63" s="228" t="s">
        <v>190</v>
      </c>
      <c r="AL63" s="228">
        <v>1</v>
      </c>
      <c r="AM63" s="229">
        <v>46337</v>
      </c>
      <c r="AN63" s="229">
        <v>46343</v>
      </c>
      <c r="AO63" s="230" t="s">
        <v>40</v>
      </c>
      <c r="AP63" s="231">
        <v>0</v>
      </c>
    </row>
    <row r="64" spans="1:42" ht="15">
      <c r="A64" s="7" t="s">
        <v>231</v>
      </c>
      <c r="B64" s="9" t="s">
        <v>310</v>
      </c>
      <c r="C64" s="195">
        <v>1</v>
      </c>
      <c r="D64" s="46">
        <v>46146</v>
      </c>
      <c r="E64" s="46">
        <v>46157</v>
      </c>
      <c r="F64" s="389" t="s">
        <v>219</v>
      </c>
      <c r="G64" s="34" t="s">
        <v>219</v>
      </c>
      <c r="H64" s="388">
        <v>0</v>
      </c>
      <c r="I64" s="229">
        <v>46170</v>
      </c>
      <c r="J64" s="229">
        <v>46183</v>
      </c>
      <c r="K64" s="230" t="s">
        <v>40</v>
      </c>
      <c r="L64" s="212" t="s">
        <v>302</v>
      </c>
      <c r="M64" s="231">
        <v>0</v>
      </c>
      <c r="N64" s="47">
        <v>46170</v>
      </c>
      <c r="O64" s="47">
        <v>46183</v>
      </c>
      <c r="P64" s="214" t="s">
        <v>40</v>
      </c>
      <c r="Q64" s="197" t="s">
        <v>302</v>
      </c>
      <c r="R64" s="215">
        <v>0</v>
      </c>
      <c r="S64" s="216">
        <v>46198</v>
      </c>
      <c r="T64" s="216">
        <v>46207</v>
      </c>
      <c r="U64" s="217" t="s">
        <v>40</v>
      </c>
      <c r="V64" s="201" t="s">
        <v>302</v>
      </c>
      <c r="W64" s="219">
        <v>0</v>
      </c>
      <c r="X64" s="220">
        <v>46218</v>
      </c>
      <c r="Y64" s="220">
        <v>46222</v>
      </c>
      <c r="Z64" s="221" t="s">
        <v>40</v>
      </c>
      <c r="AA64" s="88" t="s">
        <v>234</v>
      </c>
      <c r="AB64" s="222">
        <v>0</v>
      </c>
      <c r="AC64" s="223">
        <v>46223</v>
      </c>
      <c r="AD64" s="223">
        <v>46232</v>
      </c>
      <c r="AE64" s="233" t="s">
        <v>40</v>
      </c>
      <c r="AF64" s="206" t="s">
        <v>234</v>
      </c>
      <c r="AG64" s="225">
        <v>0</v>
      </c>
      <c r="AH64" s="226">
        <v>46243</v>
      </c>
      <c r="AI64" s="226">
        <v>46250</v>
      </c>
      <c r="AJ64" s="227" t="s">
        <v>34</v>
      </c>
      <c r="AK64" s="228" t="s">
        <v>190</v>
      </c>
      <c r="AL64" s="228">
        <v>1</v>
      </c>
      <c r="AM64" s="229">
        <v>46337</v>
      </c>
      <c r="AN64" s="229">
        <v>46343</v>
      </c>
      <c r="AO64" s="230" t="s">
        <v>40</v>
      </c>
      <c r="AP64" s="231">
        <v>0</v>
      </c>
    </row>
    <row r="65" spans="1:42" ht="15">
      <c r="A65" s="7" t="s">
        <v>231</v>
      </c>
      <c r="B65" s="9" t="s">
        <v>311</v>
      </c>
      <c r="C65" s="195">
        <v>1</v>
      </c>
      <c r="D65" s="46">
        <v>46146</v>
      </c>
      <c r="E65" s="46">
        <v>46157</v>
      </c>
      <c r="F65" s="389" t="s">
        <v>219</v>
      </c>
      <c r="G65" s="34" t="s">
        <v>219</v>
      </c>
      <c r="H65" s="388">
        <v>0</v>
      </c>
      <c r="I65" s="229">
        <v>46170</v>
      </c>
      <c r="J65" s="229">
        <v>46183</v>
      </c>
      <c r="K65" s="230" t="s">
        <v>40</v>
      </c>
      <c r="L65" s="212" t="s">
        <v>302</v>
      </c>
      <c r="M65" s="231">
        <v>0</v>
      </c>
      <c r="N65" s="47">
        <v>46170</v>
      </c>
      <c r="O65" s="47">
        <v>46183</v>
      </c>
      <c r="P65" s="214" t="s">
        <v>40</v>
      </c>
      <c r="Q65" s="197" t="s">
        <v>302</v>
      </c>
      <c r="R65" s="215">
        <v>0</v>
      </c>
      <c r="S65" s="216">
        <v>46198</v>
      </c>
      <c r="T65" s="216">
        <v>46207</v>
      </c>
      <c r="U65" s="217" t="s">
        <v>40</v>
      </c>
      <c r="V65" s="201" t="s">
        <v>302</v>
      </c>
      <c r="W65" s="219">
        <v>0</v>
      </c>
      <c r="X65" s="220">
        <v>46218</v>
      </c>
      <c r="Y65" s="220">
        <v>46222</v>
      </c>
      <c r="Z65" s="221" t="s">
        <v>40</v>
      </c>
      <c r="AA65" s="88" t="s">
        <v>234</v>
      </c>
      <c r="AB65" s="222">
        <v>0</v>
      </c>
      <c r="AC65" s="223">
        <v>46233</v>
      </c>
      <c r="AD65" s="223">
        <v>46242</v>
      </c>
      <c r="AE65" s="233" t="s">
        <v>40</v>
      </c>
      <c r="AF65" s="206" t="s">
        <v>234</v>
      </c>
      <c r="AG65" s="225">
        <v>0</v>
      </c>
      <c r="AH65" s="226">
        <v>46243</v>
      </c>
      <c r="AI65" s="226">
        <v>46250</v>
      </c>
      <c r="AJ65" s="227" t="s">
        <v>34</v>
      </c>
      <c r="AK65" s="228" t="s">
        <v>190</v>
      </c>
      <c r="AL65" s="228">
        <v>1</v>
      </c>
      <c r="AM65" s="229">
        <v>46337</v>
      </c>
      <c r="AN65" s="229">
        <v>46343</v>
      </c>
      <c r="AO65" s="230" t="s">
        <v>40</v>
      </c>
      <c r="AP65" s="231">
        <v>0</v>
      </c>
    </row>
    <row r="66" spans="1:42" ht="15">
      <c r="A66" s="7" t="s">
        <v>231</v>
      </c>
      <c r="B66" s="9" t="s">
        <v>312</v>
      </c>
      <c r="C66" s="195">
        <v>1</v>
      </c>
      <c r="D66" s="46">
        <v>46146</v>
      </c>
      <c r="E66" s="46">
        <v>46157</v>
      </c>
      <c r="F66" s="389" t="s">
        <v>219</v>
      </c>
      <c r="G66" s="34" t="s">
        <v>219</v>
      </c>
      <c r="H66" s="388">
        <v>0</v>
      </c>
      <c r="I66" s="229">
        <v>46184</v>
      </c>
      <c r="J66" s="229">
        <v>46197</v>
      </c>
      <c r="K66" s="230" t="s">
        <v>40</v>
      </c>
      <c r="L66" s="212" t="s">
        <v>302</v>
      </c>
      <c r="M66" s="231">
        <v>0</v>
      </c>
      <c r="N66" s="47">
        <v>46184</v>
      </c>
      <c r="O66" s="47">
        <v>46197</v>
      </c>
      <c r="P66" s="214" t="s">
        <v>40</v>
      </c>
      <c r="Q66" s="197" t="s">
        <v>302</v>
      </c>
      <c r="R66" s="215">
        <v>0</v>
      </c>
      <c r="S66" s="216">
        <v>46198</v>
      </c>
      <c r="T66" s="216">
        <v>46207</v>
      </c>
      <c r="U66" s="217" t="s">
        <v>40</v>
      </c>
      <c r="V66" s="201" t="s">
        <v>302</v>
      </c>
      <c r="W66" s="219">
        <v>0</v>
      </c>
      <c r="X66" s="220">
        <v>46218</v>
      </c>
      <c r="Y66" s="220">
        <v>46222</v>
      </c>
      <c r="Z66" s="221" t="s">
        <v>40</v>
      </c>
      <c r="AA66" s="88" t="s">
        <v>234</v>
      </c>
      <c r="AB66" s="222">
        <v>0</v>
      </c>
      <c r="AC66" s="223">
        <v>46233</v>
      </c>
      <c r="AD66" s="223">
        <v>46242</v>
      </c>
      <c r="AE66" s="233" t="s">
        <v>40</v>
      </c>
      <c r="AF66" s="206" t="s">
        <v>234</v>
      </c>
      <c r="AG66" s="225">
        <v>0</v>
      </c>
      <c r="AH66" s="226">
        <v>46243</v>
      </c>
      <c r="AI66" s="226">
        <v>46250</v>
      </c>
      <c r="AJ66" s="227" t="s">
        <v>34</v>
      </c>
      <c r="AK66" s="228" t="s">
        <v>190</v>
      </c>
      <c r="AL66" s="228">
        <v>1</v>
      </c>
      <c r="AM66" s="229">
        <v>46337</v>
      </c>
      <c r="AN66" s="229">
        <v>46343</v>
      </c>
      <c r="AO66" s="230" t="s">
        <v>40</v>
      </c>
      <c r="AP66" s="231">
        <v>0</v>
      </c>
    </row>
    <row r="67" spans="1:42" ht="15">
      <c r="A67" s="7" t="s">
        <v>231</v>
      </c>
      <c r="B67" s="9" t="s">
        <v>313</v>
      </c>
      <c r="C67" s="195">
        <v>1</v>
      </c>
      <c r="D67" s="46">
        <v>46146</v>
      </c>
      <c r="E67" s="46">
        <v>46157</v>
      </c>
      <c r="F67" s="389" t="s">
        <v>219</v>
      </c>
      <c r="G67" s="34" t="s">
        <v>219</v>
      </c>
      <c r="H67" s="388">
        <v>0</v>
      </c>
      <c r="I67" s="229">
        <v>46184</v>
      </c>
      <c r="J67" s="229">
        <v>46197</v>
      </c>
      <c r="K67" s="230" t="s">
        <v>40</v>
      </c>
      <c r="L67" s="212" t="s">
        <v>302</v>
      </c>
      <c r="M67" s="231">
        <v>0</v>
      </c>
      <c r="N67" s="47">
        <v>46184</v>
      </c>
      <c r="O67" s="47">
        <v>46197</v>
      </c>
      <c r="P67" s="214" t="s">
        <v>40</v>
      </c>
      <c r="Q67" s="197" t="s">
        <v>302</v>
      </c>
      <c r="R67" s="215">
        <v>0</v>
      </c>
      <c r="S67" s="216">
        <v>46198</v>
      </c>
      <c r="T67" s="216">
        <v>46207</v>
      </c>
      <c r="U67" s="217" t="s">
        <v>40</v>
      </c>
      <c r="V67" s="201" t="s">
        <v>302</v>
      </c>
      <c r="W67" s="219">
        <v>0</v>
      </c>
      <c r="X67" s="220">
        <v>46218</v>
      </c>
      <c r="Y67" s="220">
        <v>46222</v>
      </c>
      <c r="Z67" s="221" t="s">
        <v>40</v>
      </c>
      <c r="AA67" s="88" t="s">
        <v>234</v>
      </c>
      <c r="AB67" s="222">
        <v>0</v>
      </c>
      <c r="AC67" s="223">
        <v>46233</v>
      </c>
      <c r="AD67" s="223">
        <v>46242</v>
      </c>
      <c r="AE67" s="233" t="s">
        <v>40</v>
      </c>
      <c r="AF67" s="206" t="s">
        <v>234</v>
      </c>
      <c r="AG67" s="225">
        <v>0</v>
      </c>
      <c r="AH67" s="226">
        <v>46243</v>
      </c>
      <c r="AI67" s="226">
        <v>46250</v>
      </c>
      <c r="AJ67" s="227" t="s">
        <v>34</v>
      </c>
      <c r="AK67" s="228" t="s">
        <v>190</v>
      </c>
      <c r="AL67" s="228">
        <v>1</v>
      </c>
      <c r="AM67" s="229">
        <v>46337</v>
      </c>
      <c r="AN67" s="229">
        <v>46343</v>
      </c>
      <c r="AO67" s="230" t="s">
        <v>40</v>
      </c>
      <c r="AP67" s="231">
        <v>0</v>
      </c>
    </row>
    <row r="68" spans="1:42" ht="15">
      <c r="A68" s="7" t="s">
        <v>231</v>
      </c>
      <c r="B68" s="9" t="s">
        <v>314</v>
      </c>
      <c r="C68" s="195">
        <v>1</v>
      </c>
      <c r="D68" s="46">
        <v>46146</v>
      </c>
      <c r="E68" s="46">
        <v>46157</v>
      </c>
      <c r="F68" s="389" t="s">
        <v>219</v>
      </c>
      <c r="G68" s="34" t="s">
        <v>219</v>
      </c>
      <c r="H68" s="388">
        <v>0</v>
      </c>
      <c r="I68" s="229">
        <v>46184</v>
      </c>
      <c r="J68" s="229">
        <v>46197</v>
      </c>
      <c r="K68" s="230" t="s">
        <v>40</v>
      </c>
      <c r="L68" s="212" t="s">
        <v>302</v>
      </c>
      <c r="M68" s="231">
        <v>0</v>
      </c>
      <c r="N68" s="47">
        <v>46184</v>
      </c>
      <c r="O68" s="47">
        <v>46197</v>
      </c>
      <c r="P68" s="214" t="s">
        <v>40</v>
      </c>
      <c r="Q68" s="197" t="s">
        <v>302</v>
      </c>
      <c r="R68" s="215">
        <v>0</v>
      </c>
      <c r="S68" s="216">
        <v>46209</v>
      </c>
      <c r="T68" s="216">
        <v>46218</v>
      </c>
      <c r="U68" s="217" t="s">
        <v>40</v>
      </c>
      <c r="V68" s="201" t="s">
        <v>302</v>
      </c>
      <c r="W68" s="219">
        <v>0</v>
      </c>
      <c r="X68" s="220">
        <v>46218</v>
      </c>
      <c r="Y68" s="220">
        <v>46222</v>
      </c>
      <c r="Z68" s="221" t="s">
        <v>40</v>
      </c>
      <c r="AA68" s="88" t="s">
        <v>234</v>
      </c>
      <c r="AB68" s="222">
        <v>0</v>
      </c>
      <c r="AC68" s="223">
        <v>46233</v>
      </c>
      <c r="AD68" s="223">
        <v>46242</v>
      </c>
      <c r="AE68" s="233" t="s">
        <v>40</v>
      </c>
      <c r="AF68" s="206" t="s">
        <v>234</v>
      </c>
      <c r="AG68" s="225">
        <v>0</v>
      </c>
      <c r="AH68" s="226">
        <v>46243</v>
      </c>
      <c r="AI68" s="226">
        <v>46250</v>
      </c>
      <c r="AJ68" s="227" t="s">
        <v>34</v>
      </c>
      <c r="AK68" s="228" t="s">
        <v>190</v>
      </c>
      <c r="AL68" s="228">
        <v>1</v>
      </c>
      <c r="AM68" s="229">
        <v>46337</v>
      </c>
      <c r="AN68" s="229">
        <v>46343</v>
      </c>
      <c r="AO68" s="230" t="s">
        <v>40</v>
      </c>
      <c r="AP68" s="231">
        <v>0</v>
      </c>
    </row>
    <row r="69" spans="1:42" ht="15">
      <c r="A69" s="7" t="s">
        <v>231</v>
      </c>
      <c r="B69" s="9" t="s">
        <v>315</v>
      </c>
      <c r="C69" s="195">
        <v>1</v>
      </c>
      <c r="D69" s="46">
        <v>46146</v>
      </c>
      <c r="E69" s="46">
        <v>46157</v>
      </c>
      <c r="F69" s="389" t="s">
        <v>219</v>
      </c>
      <c r="G69" s="34" t="s">
        <v>219</v>
      </c>
      <c r="H69" s="388">
        <v>0</v>
      </c>
      <c r="I69" s="229">
        <v>46184</v>
      </c>
      <c r="J69" s="229">
        <v>46197</v>
      </c>
      <c r="K69" s="230" t="s">
        <v>40</v>
      </c>
      <c r="L69" s="212" t="s">
        <v>302</v>
      </c>
      <c r="M69" s="231">
        <v>0</v>
      </c>
      <c r="N69" s="47">
        <v>46184</v>
      </c>
      <c r="O69" s="47">
        <v>46197</v>
      </c>
      <c r="P69" s="214" t="s">
        <v>40</v>
      </c>
      <c r="Q69" s="197" t="s">
        <v>302</v>
      </c>
      <c r="R69" s="215">
        <v>0</v>
      </c>
      <c r="S69" s="216">
        <v>46209</v>
      </c>
      <c r="T69" s="216">
        <v>46218</v>
      </c>
      <c r="U69" s="217" t="s">
        <v>40</v>
      </c>
      <c r="V69" s="201" t="s">
        <v>302</v>
      </c>
      <c r="W69" s="219">
        <v>0</v>
      </c>
      <c r="X69" s="220">
        <v>46218</v>
      </c>
      <c r="Y69" s="220">
        <v>46222</v>
      </c>
      <c r="Z69" s="221" t="s">
        <v>40</v>
      </c>
      <c r="AA69" s="88" t="s">
        <v>234</v>
      </c>
      <c r="AB69" s="222">
        <v>0</v>
      </c>
      <c r="AC69" s="223">
        <v>46233</v>
      </c>
      <c r="AD69" s="223">
        <v>46242</v>
      </c>
      <c r="AE69" s="233" t="s">
        <v>40</v>
      </c>
      <c r="AF69" s="206" t="s">
        <v>234</v>
      </c>
      <c r="AG69" s="225">
        <v>0</v>
      </c>
      <c r="AH69" s="226">
        <v>46243</v>
      </c>
      <c r="AI69" s="226">
        <v>46250</v>
      </c>
      <c r="AJ69" s="227" t="s">
        <v>34</v>
      </c>
      <c r="AK69" s="228" t="s">
        <v>190</v>
      </c>
      <c r="AL69" s="228">
        <v>1</v>
      </c>
      <c r="AM69" s="229">
        <v>46337</v>
      </c>
      <c r="AN69" s="229">
        <v>46343</v>
      </c>
      <c r="AO69" s="230" t="s">
        <v>40</v>
      </c>
      <c r="AP69" s="231">
        <v>0</v>
      </c>
    </row>
    <row r="70" spans="1:42" ht="15">
      <c r="A70" s="7" t="s">
        <v>231</v>
      </c>
      <c r="B70" s="9" t="s">
        <v>316</v>
      </c>
      <c r="C70" s="195">
        <v>1</v>
      </c>
      <c r="D70" s="46">
        <v>46146</v>
      </c>
      <c r="E70" s="46">
        <v>46157</v>
      </c>
      <c r="F70" s="389" t="s">
        <v>219</v>
      </c>
      <c r="G70" s="34" t="s">
        <v>219</v>
      </c>
      <c r="H70" s="388">
        <v>0</v>
      </c>
      <c r="I70" s="229">
        <v>46184</v>
      </c>
      <c r="J70" s="229">
        <v>46197</v>
      </c>
      <c r="K70" s="230" t="s">
        <v>40</v>
      </c>
      <c r="L70" s="212" t="s">
        <v>302</v>
      </c>
      <c r="M70" s="231">
        <v>0</v>
      </c>
      <c r="N70" s="47">
        <v>46184</v>
      </c>
      <c r="O70" s="47">
        <v>46197</v>
      </c>
      <c r="P70" s="214" t="s">
        <v>40</v>
      </c>
      <c r="Q70" s="197" t="s">
        <v>302</v>
      </c>
      <c r="R70" s="215">
        <v>0</v>
      </c>
      <c r="S70" s="216">
        <v>46209</v>
      </c>
      <c r="T70" s="216">
        <v>46218</v>
      </c>
      <c r="U70" s="217" t="s">
        <v>40</v>
      </c>
      <c r="V70" s="201" t="s">
        <v>302</v>
      </c>
      <c r="W70" s="219">
        <v>0</v>
      </c>
      <c r="X70" s="220">
        <v>46218</v>
      </c>
      <c r="Y70" s="220">
        <v>46222</v>
      </c>
      <c r="Z70" s="221" t="s">
        <v>40</v>
      </c>
      <c r="AA70" s="88" t="s">
        <v>234</v>
      </c>
      <c r="AB70" s="222">
        <v>0</v>
      </c>
      <c r="AC70" s="223">
        <v>46233</v>
      </c>
      <c r="AD70" s="223">
        <v>46242</v>
      </c>
      <c r="AE70" s="233" t="s">
        <v>40</v>
      </c>
      <c r="AF70" s="206" t="s">
        <v>234</v>
      </c>
      <c r="AG70" s="225">
        <v>0</v>
      </c>
      <c r="AH70" s="226">
        <v>46243</v>
      </c>
      <c r="AI70" s="226">
        <v>46250</v>
      </c>
      <c r="AJ70" s="227" t="s">
        <v>34</v>
      </c>
      <c r="AK70" s="228" t="s">
        <v>190</v>
      </c>
      <c r="AL70" s="228">
        <v>1</v>
      </c>
      <c r="AM70" s="229">
        <v>46337</v>
      </c>
      <c r="AN70" s="229">
        <v>46343</v>
      </c>
      <c r="AO70" s="230" t="s">
        <v>40</v>
      </c>
      <c r="AP70" s="231">
        <v>0</v>
      </c>
    </row>
    <row r="71" spans="1:42" ht="15">
      <c r="A71" s="7" t="s">
        <v>231</v>
      </c>
      <c r="B71" s="9" t="s">
        <v>317</v>
      </c>
      <c r="C71" s="195">
        <v>1</v>
      </c>
      <c r="D71" s="46">
        <v>46146</v>
      </c>
      <c r="E71" s="46">
        <v>46157</v>
      </c>
      <c r="F71" s="389" t="s">
        <v>219</v>
      </c>
      <c r="G71" s="34" t="s">
        <v>219</v>
      </c>
      <c r="H71" s="388">
        <v>0</v>
      </c>
      <c r="I71" s="229">
        <v>46184</v>
      </c>
      <c r="J71" s="229">
        <v>46197</v>
      </c>
      <c r="K71" s="230" t="s">
        <v>40</v>
      </c>
      <c r="L71" s="212" t="s">
        <v>302</v>
      </c>
      <c r="M71" s="231">
        <v>0</v>
      </c>
      <c r="N71" s="47">
        <v>46184</v>
      </c>
      <c r="O71" s="47">
        <v>46197</v>
      </c>
      <c r="P71" s="214" t="s">
        <v>40</v>
      </c>
      <c r="Q71" s="197" t="s">
        <v>302</v>
      </c>
      <c r="R71" s="215">
        <v>0</v>
      </c>
      <c r="S71" s="216">
        <v>46209</v>
      </c>
      <c r="T71" s="216">
        <v>46218</v>
      </c>
      <c r="U71" s="217" t="s">
        <v>40</v>
      </c>
      <c r="V71" s="201" t="s">
        <v>302</v>
      </c>
      <c r="W71" s="219">
        <v>0</v>
      </c>
      <c r="X71" s="220">
        <v>46218</v>
      </c>
      <c r="Y71" s="220">
        <v>46222</v>
      </c>
      <c r="Z71" s="221" t="s">
        <v>40</v>
      </c>
      <c r="AA71" s="88" t="s">
        <v>234</v>
      </c>
      <c r="AB71" s="222">
        <v>0</v>
      </c>
      <c r="AC71" s="223">
        <v>46233</v>
      </c>
      <c r="AD71" s="223">
        <v>46242</v>
      </c>
      <c r="AE71" s="233" t="s">
        <v>40</v>
      </c>
      <c r="AF71" s="206" t="s">
        <v>234</v>
      </c>
      <c r="AG71" s="225">
        <v>0</v>
      </c>
      <c r="AH71" s="226">
        <v>46243</v>
      </c>
      <c r="AI71" s="226">
        <v>46250</v>
      </c>
      <c r="AJ71" s="227" t="s">
        <v>34</v>
      </c>
      <c r="AK71" s="228" t="s">
        <v>190</v>
      </c>
      <c r="AL71" s="228">
        <v>1</v>
      </c>
      <c r="AM71" s="229">
        <v>46337</v>
      </c>
      <c r="AN71" s="229">
        <v>46343</v>
      </c>
      <c r="AO71" s="230" t="s">
        <v>40</v>
      </c>
      <c r="AP71" s="231">
        <v>0</v>
      </c>
    </row>
    <row r="72" spans="1:42" ht="15">
      <c r="A72" s="7" t="s">
        <v>231</v>
      </c>
      <c r="B72" s="9" t="s">
        <v>318</v>
      </c>
      <c r="C72" s="195">
        <v>1</v>
      </c>
      <c r="D72" s="46">
        <v>46146</v>
      </c>
      <c r="E72" s="46">
        <v>46157</v>
      </c>
      <c r="F72" s="389" t="s">
        <v>219</v>
      </c>
      <c r="G72" s="34" t="s">
        <v>219</v>
      </c>
      <c r="H72" s="388">
        <v>0</v>
      </c>
      <c r="I72" s="229">
        <v>46184</v>
      </c>
      <c r="J72" s="229">
        <v>46197</v>
      </c>
      <c r="K72" s="230" t="s">
        <v>40</v>
      </c>
      <c r="L72" s="212" t="s">
        <v>302</v>
      </c>
      <c r="M72" s="231">
        <v>0</v>
      </c>
      <c r="N72" s="47">
        <v>46184</v>
      </c>
      <c r="O72" s="47">
        <v>46197</v>
      </c>
      <c r="P72" s="214" t="s">
        <v>40</v>
      </c>
      <c r="Q72" s="197" t="s">
        <v>302</v>
      </c>
      <c r="R72" s="215">
        <v>0</v>
      </c>
      <c r="S72" s="216">
        <v>46209</v>
      </c>
      <c r="T72" s="216">
        <v>46218</v>
      </c>
      <c r="U72" s="217" t="s">
        <v>40</v>
      </c>
      <c r="V72" s="201" t="s">
        <v>302</v>
      </c>
      <c r="W72" s="219">
        <v>0</v>
      </c>
      <c r="X72" s="220">
        <v>46218</v>
      </c>
      <c r="Y72" s="220">
        <v>46222</v>
      </c>
      <c r="Z72" s="221" t="s">
        <v>40</v>
      </c>
      <c r="AA72" s="88" t="s">
        <v>234</v>
      </c>
      <c r="AB72" s="222">
        <v>0</v>
      </c>
      <c r="AC72" s="223">
        <v>46233</v>
      </c>
      <c r="AD72" s="223">
        <v>46242</v>
      </c>
      <c r="AE72" s="233" t="s">
        <v>40</v>
      </c>
      <c r="AF72" s="206" t="s">
        <v>234</v>
      </c>
      <c r="AG72" s="225">
        <v>0</v>
      </c>
      <c r="AH72" s="226">
        <v>46243</v>
      </c>
      <c r="AI72" s="226">
        <v>46250</v>
      </c>
      <c r="AJ72" s="227" t="s">
        <v>34</v>
      </c>
      <c r="AK72" s="228" t="s">
        <v>190</v>
      </c>
      <c r="AL72" s="228">
        <v>1</v>
      </c>
      <c r="AM72" s="229">
        <v>46337</v>
      </c>
      <c r="AN72" s="229">
        <v>46343</v>
      </c>
      <c r="AO72" s="230" t="s">
        <v>40</v>
      </c>
      <c r="AP72" s="231">
        <v>0</v>
      </c>
    </row>
    <row r="73" spans="1:42" ht="15">
      <c r="A73" s="7" t="s">
        <v>231</v>
      </c>
      <c r="B73" s="9" t="s">
        <v>319</v>
      </c>
      <c r="C73" s="195">
        <v>1</v>
      </c>
      <c r="D73" s="46">
        <v>46146</v>
      </c>
      <c r="E73" s="46">
        <v>46157</v>
      </c>
      <c r="F73" s="389" t="s">
        <v>219</v>
      </c>
      <c r="G73" s="34" t="s">
        <v>219</v>
      </c>
      <c r="H73" s="388">
        <v>0</v>
      </c>
      <c r="I73" s="229">
        <v>46184</v>
      </c>
      <c r="J73" s="229">
        <v>46197</v>
      </c>
      <c r="K73" s="230" t="s">
        <v>40</v>
      </c>
      <c r="L73" s="212" t="s">
        <v>302</v>
      </c>
      <c r="M73" s="231">
        <v>0</v>
      </c>
      <c r="N73" s="47">
        <v>46184</v>
      </c>
      <c r="O73" s="47">
        <v>46197</v>
      </c>
      <c r="P73" s="214" t="s">
        <v>40</v>
      </c>
      <c r="Q73" s="197" t="s">
        <v>302</v>
      </c>
      <c r="R73" s="215">
        <v>0</v>
      </c>
      <c r="S73" s="216">
        <v>46209</v>
      </c>
      <c r="T73" s="216">
        <v>46218</v>
      </c>
      <c r="U73" s="217" t="s">
        <v>40</v>
      </c>
      <c r="V73" s="201" t="s">
        <v>302</v>
      </c>
      <c r="W73" s="219">
        <v>0</v>
      </c>
      <c r="X73" s="220">
        <v>46218</v>
      </c>
      <c r="Y73" s="220">
        <v>46222</v>
      </c>
      <c r="Z73" s="221" t="s">
        <v>40</v>
      </c>
      <c r="AA73" s="88" t="s">
        <v>234</v>
      </c>
      <c r="AB73" s="222">
        <v>0</v>
      </c>
      <c r="AC73" s="223">
        <v>46233</v>
      </c>
      <c r="AD73" s="223">
        <v>46242</v>
      </c>
      <c r="AE73" s="233" t="s">
        <v>40</v>
      </c>
      <c r="AF73" s="206" t="s">
        <v>234</v>
      </c>
      <c r="AG73" s="225">
        <v>0</v>
      </c>
      <c r="AH73" s="226">
        <v>46243</v>
      </c>
      <c r="AI73" s="226">
        <v>46250</v>
      </c>
      <c r="AJ73" s="227" t="s">
        <v>34</v>
      </c>
      <c r="AK73" s="228" t="s">
        <v>190</v>
      </c>
      <c r="AL73" s="228">
        <v>1</v>
      </c>
      <c r="AM73" s="229">
        <v>46337</v>
      </c>
      <c r="AN73" s="229">
        <v>46343</v>
      </c>
      <c r="AO73" s="230" t="s">
        <v>40</v>
      </c>
      <c r="AP73" s="231">
        <v>0</v>
      </c>
    </row>
    <row r="74" spans="1:42" ht="15">
      <c r="A74" s="7" t="s">
        <v>231</v>
      </c>
      <c r="B74" s="9" t="s">
        <v>320</v>
      </c>
      <c r="C74" s="195">
        <v>1</v>
      </c>
      <c r="D74" s="46">
        <v>46146</v>
      </c>
      <c r="E74" s="46">
        <v>46157</v>
      </c>
      <c r="F74" s="389" t="s">
        <v>219</v>
      </c>
      <c r="G74" s="34" t="s">
        <v>219</v>
      </c>
      <c r="H74" s="388">
        <v>0</v>
      </c>
      <c r="I74" s="229">
        <v>46184</v>
      </c>
      <c r="J74" s="229">
        <v>46197</v>
      </c>
      <c r="K74" s="230" t="s">
        <v>40</v>
      </c>
      <c r="L74" s="212" t="s">
        <v>302</v>
      </c>
      <c r="M74" s="231">
        <v>0</v>
      </c>
      <c r="N74" s="47">
        <v>46184</v>
      </c>
      <c r="O74" s="47">
        <v>46197</v>
      </c>
      <c r="P74" s="214" t="s">
        <v>40</v>
      </c>
      <c r="Q74" s="197" t="s">
        <v>302</v>
      </c>
      <c r="R74" s="215">
        <v>0</v>
      </c>
      <c r="S74" s="216">
        <v>46209</v>
      </c>
      <c r="T74" s="216">
        <v>46218</v>
      </c>
      <c r="U74" s="217" t="s">
        <v>40</v>
      </c>
      <c r="V74" s="201" t="s">
        <v>302</v>
      </c>
      <c r="W74" s="219">
        <v>0</v>
      </c>
      <c r="X74" s="220">
        <v>46218</v>
      </c>
      <c r="Y74" s="220">
        <v>46222</v>
      </c>
      <c r="Z74" s="221" t="s">
        <v>40</v>
      </c>
      <c r="AA74" s="88" t="s">
        <v>234</v>
      </c>
      <c r="AB74" s="222">
        <v>0</v>
      </c>
      <c r="AC74" s="223">
        <v>46233</v>
      </c>
      <c r="AD74" s="223">
        <v>46242</v>
      </c>
      <c r="AE74" s="233" t="s">
        <v>40</v>
      </c>
      <c r="AF74" s="206" t="s">
        <v>234</v>
      </c>
      <c r="AG74" s="225">
        <v>0</v>
      </c>
      <c r="AH74" s="226">
        <v>46243</v>
      </c>
      <c r="AI74" s="226">
        <v>46250</v>
      </c>
      <c r="AJ74" s="227" t="s">
        <v>34</v>
      </c>
      <c r="AK74" s="228" t="s">
        <v>190</v>
      </c>
      <c r="AL74" s="228">
        <v>1</v>
      </c>
      <c r="AM74" s="229">
        <v>46337</v>
      </c>
      <c r="AN74" s="229">
        <v>46343</v>
      </c>
      <c r="AO74" s="230" t="s">
        <v>40</v>
      </c>
      <c r="AP74" s="231">
        <v>0</v>
      </c>
    </row>
    <row r="75" spans="1:42" ht="15">
      <c r="A75" s="7" t="s">
        <v>231</v>
      </c>
      <c r="B75" s="9" t="s">
        <v>321</v>
      </c>
      <c r="C75" s="195">
        <v>1</v>
      </c>
      <c r="D75" s="46">
        <v>46146</v>
      </c>
      <c r="E75" s="46">
        <v>46157</v>
      </c>
      <c r="F75" s="389" t="s">
        <v>219</v>
      </c>
      <c r="G75" s="34" t="s">
        <v>219</v>
      </c>
      <c r="H75" s="388">
        <v>0</v>
      </c>
      <c r="I75" s="229">
        <v>46184</v>
      </c>
      <c r="J75" s="229">
        <v>46197</v>
      </c>
      <c r="K75" s="230" t="s">
        <v>40</v>
      </c>
      <c r="L75" s="212" t="s">
        <v>302</v>
      </c>
      <c r="M75" s="231">
        <v>0</v>
      </c>
      <c r="N75" s="47">
        <v>46184</v>
      </c>
      <c r="O75" s="47">
        <v>46197</v>
      </c>
      <c r="P75" s="214" t="s">
        <v>40</v>
      </c>
      <c r="Q75" s="197" t="s">
        <v>302</v>
      </c>
      <c r="R75" s="215">
        <v>0</v>
      </c>
      <c r="S75" s="216">
        <v>46209</v>
      </c>
      <c r="T75" s="216">
        <v>46218</v>
      </c>
      <c r="U75" s="217" t="s">
        <v>40</v>
      </c>
      <c r="V75" s="201" t="s">
        <v>302</v>
      </c>
      <c r="W75" s="219">
        <v>0</v>
      </c>
      <c r="X75" s="220">
        <v>46218</v>
      </c>
      <c r="Y75" s="220">
        <v>46222</v>
      </c>
      <c r="Z75" s="221" t="s">
        <v>40</v>
      </c>
      <c r="AA75" s="88" t="s">
        <v>234</v>
      </c>
      <c r="AB75" s="222">
        <v>0</v>
      </c>
      <c r="AC75" s="223">
        <v>46233</v>
      </c>
      <c r="AD75" s="223">
        <v>46242</v>
      </c>
      <c r="AE75" s="233" t="s">
        <v>40</v>
      </c>
      <c r="AF75" s="206" t="s">
        <v>234</v>
      </c>
      <c r="AG75" s="225">
        <v>0</v>
      </c>
      <c r="AH75" s="226">
        <v>46243</v>
      </c>
      <c r="AI75" s="226">
        <v>46250</v>
      </c>
      <c r="AJ75" s="227" t="s">
        <v>34</v>
      </c>
      <c r="AK75" s="228" t="s">
        <v>190</v>
      </c>
      <c r="AL75" s="228">
        <v>1</v>
      </c>
      <c r="AM75" s="229">
        <v>46337</v>
      </c>
      <c r="AN75" s="229">
        <v>46343</v>
      </c>
      <c r="AO75" s="230" t="s">
        <v>40</v>
      </c>
      <c r="AP75" s="231">
        <v>0</v>
      </c>
    </row>
    <row r="76" spans="1:42" ht="15">
      <c r="A76" s="7" t="s">
        <v>231</v>
      </c>
      <c r="B76" s="9" t="s">
        <v>322</v>
      </c>
      <c r="C76" s="195">
        <v>1</v>
      </c>
      <c r="D76" s="46">
        <v>46146</v>
      </c>
      <c r="E76" s="46">
        <v>46157</v>
      </c>
      <c r="F76" s="389" t="s">
        <v>219</v>
      </c>
      <c r="G76" s="34" t="s">
        <v>219</v>
      </c>
      <c r="H76" s="388">
        <v>0</v>
      </c>
      <c r="I76" s="229">
        <v>46184</v>
      </c>
      <c r="J76" s="229">
        <v>46197</v>
      </c>
      <c r="K76" s="230" t="s">
        <v>40</v>
      </c>
      <c r="L76" s="212" t="s">
        <v>302</v>
      </c>
      <c r="M76" s="231">
        <v>0</v>
      </c>
      <c r="N76" s="47">
        <v>46184</v>
      </c>
      <c r="O76" s="47">
        <v>46197</v>
      </c>
      <c r="P76" s="214" t="s">
        <v>40</v>
      </c>
      <c r="Q76" s="197" t="s">
        <v>302</v>
      </c>
      <c r="R76" s="215">
        <v>0</v>
      </c>
      <c r="S76" s="216">
        <v>46209</v>
      </c>
      <c r="T76" s="216">
        <v>46218</v>
      </c>
      <c r="U76" s="217" t="s">
        <v>40</v>
      </c>
      <c r="V76" s="201" t="s">
        <v>302</v>
      </c>
      <c r="W76" s="219">
        <v>0</v>
      </c>
      <c r="X76" s="220">
        <v>46218</v>
      </c>
      <c r="Y76" s="220">
        <v>46222</v>
      </c>
      <c r="Z76" s="221" t="s">
        <v>40</v>
      </c>
      <c r="AA76" s="88" t="s">
        <v>234</v>
      </c>
      <c r="AB76" s="222">
        <v>0</v>
      </c>
      <c r="AC76" s="223">
        <v>46233</v>
      </c>
      <c r="AD76" s="223">
        <v>46242</v>
      </c>
      <c r="AE76" s="233" t="s">
        <v>40</v>
      </c>
      <c r="AF76" s="206" t="s">
        <v>234</v>
      </c>
      <c r="AG76" s="225">
        <v>0</v>
      </c>
      <c r="AH76" s="226">
        <v>46243</v>
      </c>
      <c r="AI76" s="226">
        <v>46250</v>
      </c>
      <c r="AJ76" s="227" t="s">
        <v>34</v>
      </c>
      <c r="AK76" s="228" t="s">
        <v>190</v>
      </c>
      <c r="AL76" s="228">
        <v>1</v>
      </c>
      <c r="AM76" s="229">
        <v>46337</v>
      </c>
      <c r="AN76" s="229">
        <v>46343</v>
      </c>
      <c r="AO76" s="230" t="s">
        <v>40</v>
      </c>
      <c r="AP76" s="231">
        <v>0</v>
      </c>
    </row>
    <row r="77" spans="1:42" ht="15">
      <c r="A77" s="7" t="s">
        <v>231</v>
      </c>
      <c r="B77" s="9" t="s">
        <v>323</v>
      </c>
      <c r="C77" s="195">
        <v>1</v>
      </c>
      <c r="D77" s="46">
        <v>46146</v>
      </c>
      <c r="E77" s="46">
        <v>46157</v>
      </c>
      <c r="F77" s="389" t="s">
        <v>219</v>
      </c>
      <c r="G77" s="34" t="s">
        <v>219</v>
      </c>
      <c r="H77" s="388">
        <v>0</v>
      </c>
      <c r="I77" s="229">
        <v>46184</v>
      </c>
      <c r="J77" s="229">
        <v>46197</v>
      </c>
      <c r="K77" s="230" t="s">
        <v>40</v>
      </c>
      <c r="L77" s="212" t="s">
        <v>302</v>
      </c>
      <c r="M77" s="231">
        <v>0</v>
      </c>
      <c r="N77" s="47">
        <v>46184</v>
      </c>
      <c r="O77" s="47">
        <v>46197</v>
      </c>
      <c r="P77" s="214" t="s">
        <v>40</v>
      </c>
      <c r="Q77" s="197" t="s">
        <v>302</v>
      </c>
      <c r="R77" s="215">
        <v>0</v>
      </c>
      <c r="S77" s="216">
        <v>46209</v>
      </c>
      <c r="T77" s="216">
        <v>46218</v>
      </c>
      <c r="U77" s="217" t="s">
        <v>40</v>
      </c>
      <c r="V77" s="201" t="s">
        <v>302</v>
      </c>
      <c r="W77" s="219">
        <v>0</v>
      </c>
      <c r="X77" s="220">
        <v>46218</v>
      </c>
      <c r="Y77" s="220">
        <v>46222</v>
      </c>
      <c r="Z77" s="221" t="s">
        <v>40</v>
      </c>
      <c r="AA77" s="88" t="s">
        <v>234</v>
      </c>
      <c r="AB77" s="222">
        <v>0</v>
      </c>
      <c r="AC77" s="223">
        <v>46233</v>
      </c>
      <c r="AD77" s="223">
        <v>46242</v>
      </c>
      <c r="AE77" s="233" t="s">
        <v>40</v>
      </c>
      <c r="AF77" s="206" t="s">
        <v>234</v>
      </c>
      <c r="AG77" s="225">
        <v>0</v>
      </c>
      <c r="AH77" s="226">
        <v>46243</v>
      </c>
      <c r="AI77" s="226">
        <v>46250</v>
      </c>
      <c r="AJ77" s="227" t="s">
        <v>34</v>
      </c>
      <c r="AK77" s="228" t="s">
        <v>190</v>
      </c>
      <c r="AL77" s="228">
        <v>1</v>
      </c>
      <c r="AM77" s="229">
        <v>46337</v>
      </c>
      <c r="AN77" s="229">
        <v>46343</v>
      </c>
      <c r="AO77" s="230" t="s">
        <v>40</v>
      </c>
      <c r="AP77" s="231">
        <v>0</v>
      </c>
    </row>
    <row r="78" spans="1:42" ht="15">
      <c r="A78" s="7" t="s">
        <v>231</v>
      </c>
      <c r="B78" s="9" t="s">
        <v>324</v>
      </c>
      <c r="C78" s="195">
        <v>1</v>
      </c>
      <c r="D78" s="46">
        <v>46146</v>
      </c>
      <c r="E78" s="46">
        <v>46157</v>
      </c>
      <c r="F78" s="389" t="s">
        <v>219</v>
      </c>
      <c r="G78" s="34" t="s">
        <v>219</v>
      </c>
      <c r="H78" s="388">
        <v>0</v>
      </c>
      <c r="I78" s="229">
        <v>46184</v>
      </c>
      <c r="J78" s="229">
        <v>46197</v>
      </c>
      <c r="K78" s="230" t="s">
        <v>40</v>
      </c>
      <c r="L78" s="212" t="s">
        <v>302</v>
      </c>
      <c r="M78" s="231">
        <v>0</v>
      </c>
      <c r="N78" s="47">
        <v>46184</v>
      </c>
      <c r="O78" s="47">
        <v>46197</v>
      </c>
      <c r="P78" s="214" t="s">
        <v>40</v>
      </c>
      <c r="Q78" s="197" t="s">
        <v>302</v>
      </c>
      <c r="R78" s="215">
        <v>0</v>
      </c>
      <c r="S78" s="216">
        <v>46209</v>
      </c>
      <c r="T78" s="216">
        <v>46218</v>
      </c>
      <c r="U78" s="217" t="s">
        <v>40</v>
      </c>
      <c r="V78" s="201" t="s">
        <v>302</v>
      </c>
      <c r="W78" s="219">
        <v>0</v>
      </c>
      <c r="X78" s="220">
        <v>46218</v>
      </c>
      <c r="Y78" s="220">
        <v>46222</v>
      </c>
      <c r="Z78" s="221" t="s">
        <v>40</v>
      </c>
      <c r="AA78" s="88" t="s">
        <v>234</v>
      </c>
      <c r="AB78" s="222">
        <v>0</v>
      </c>
      <c r="AC78" s="223">
        <v>46233</v>
      </c>
      <c r="AD78" s="223">
        <v>46242</v>
      </c>
      <c r="AE78" s="233" t="s">
        <v>40</v>
      </c>
      <c r="AF78" s="206" t="s">
        <v>234</v>
      </c>
      <c r="AG78" s="225">
        <v>0</v>
      </c>
      <c r="AH78" s="226">
        <v>46243</v>
      </c>
      <c r="AI78" s="226">
        <v>46250</v>
      </c>
      <c r="AJ78" s="227" t="s">
        <v>34</v>
      </c>
      <c r="AK78" s="228" t="s">
        <v>190</v>
      </c>
      <c r="AL78" s="228">
        <v>1</v>
      </c>
      <c r="AM78" s="229">
        <v>46337</v>
      </c>
      <c r="AN78" s="229">
        <v>46343</v>
      </c>
      <c r="AO78" s="230" t="s">
        <v>40</v>
      </c>
      <c r="AP78" s="231">
        <v>0</v>
      </c>
    </row>
    <row r="79" spans="1:42" ht="15">
      <c r="A79" s="7" t="s">
        <v>231</v>
      </c>
      <c r="B79" s="9" t="s">
        <v>325</v>
      </c>
      <c r="C79" s="195">
        <v>1</v>
      </c>
      <c r="D79" s="46">
        <v>46146</v>
      </c>
      <c r="E79" s="46">
        <v>46157</v>
      </c>
      <c r="F79" s="389" t="s">
        <v>219</v>
      </c>
      <c r="G79" s="34" t="s">
        <v>219</v>
      </c>
      <c r="H79" s="388">
        <v>0</v>
      </c>
      <c r="I79" s="229">
        <v>46184</v>
      </c>
      <c r="J79" s="229">
        <v>46197</v>
      </c>
      <c r="K79" s="230" t="s">
        <v>40</v>
      </c>
      <c r="L79" s="212" t="s">
        <v>302</v>
      </c>
      <c r="M79" s="231">
        <v>0</v>
      </c>
      <c r="N79" s="47">
        <v>46184</v>
      </c>
      <c r="O79" s="47">
        <v>46197</v>
      </c>
      <c r="P79" s="214" t="s">
        <v>40</v>
      </c>
      <c r="Q79" s="197" t="s">
        <v>302</v>
      </c>
      <c r="R79" s="215">
        <v>0</v>
      </c>
      <c r="S79" s="216">
        <v>46209</v>
      </c>
      <c r="T79" s="216">
        <v>46218</v>
      </c>
      <c r="U79" s="217" t="s">
        <v>40</v>
      </c>
      <c r="V79" s="201" t="s">
        <v>302</v>
      </c>
      <c r="W79" s="219">
        <v>0</v>
      </c>
      <c r="X79" s="220">
        <v>46218</v>
      </c>
      <c r="Y79" s="220">
        <v>46222</v>
      </c>
      <c r="Z79" s="221" t="s">
        <v>40</v>
      </c>
      <c r="AA79" s="88" t="s">
        <v>234</v>
      </c>
      <c r="AB79" s="222">
        <v>0</v>
      </c>
      <c r="AC79" s="223">
        <v>46233</v>
      </c>
      <c r="AD79" s="223">
        <v>46242</v>
      </c>
      <c r="AE79" s="233" t="s">
        <v>40</v>
      </c>
      <c r="AF79" s="206" t="s">
        <v>234</v>
      </c>
      <c r="AG79" s="225">
        <v>0</v>
      </c>
      <c r="AH79" s="226">
        <v>46243</v>
      </c>
      <c r="AI79" s="226">
        <v>46250</v>
      </c>
      <c r="AJ79" s="227" t="s">
        <v>34</v>
      </c>
      <c r="AK79" s="228" t="s">
        <v>190</v>
      </c>
      <c r="AL79" s="228">
        <v>1</v>
      </c>
      <c r="AM79" s="229">
        <v>46337</v>
      </c>
      <c r="AN79" s="229">
        <v>46343</v>
      </c>
      <c r="AO79" s="230" t="s">
        <v>40</v>
      </c>
      <c r="AP79" s="231">
        <v>0</v>
      </c>
    </row>
    <row r="80" spans="1:42" ht="15">
      <c r="A80" s="7" t="s">
        <v>231</v>
      </c>
      <c r="B80" s="9" t="s">
        <v>326</v>
      </c>
      <c r="C80" s="195">
        <v>1</v>
      </c>
      <c r="D80" s="46">
        <v>46146</v>
      </c>
      <c r="E80" s="46">
        <v>46157</v>
      </c>
      <c r="F80" s="389" t="s">
        <v>219</v>
      </c>
      <c r="G80" s="34" t="s">
        <v>219</v>
      </c>
      <c r="H80" s="388">
        <v>0</v>
      </c>
      <c r="I80" s="229">
        <v>46184</v>
      </c>
      <c r="J80" s="229">
        <v>46197</v>
      </c>
      <c r="K80" s="230" t="s">
        <v>40</v>
      </c>
      <c r="L80" s="212" t="s">
        <v>302</v>
      </c>
      <c r="M80" s="231">
        <v>0</v>
      </c>
      <c r="N80" s="47">
        <v>46184</v>
      </c>
      <c r="O80" s="47">
        <v>46197</v>
      </c>
      <c r="P80" s="214" t="s">
        <v>40</v>
      </c>
      <c r="Q80" s="197" t="s">
        <v>302</v>
      </c>
      <c r="R80" s="215">
        <v>0</v>
      </c>
      <c r="S80" s="216">
        <v>46209</v>
      </c>
      <c r="T80" s="216">
        <v>46218</v>
      </c>
      <c r="U80" s="217" t="s">
        <v>40</v>
      </c>
      <c r="V80" s="201" t="s">
        <v>302</v>
      </c>
      <c r="W80" s="219">
        <v>0</v>
      </c>
      <c r="X80" s="220">
        <v>46218</v>
      </c>
      <c r="Y80" s="220">
        <v>46222</v>
      </c>
      <c r="Z80" s="221" t="s">
        <v>40</v>
      </c>
      <c r="AA80" s="88" t="s">
        <v>234</v>
      </c>
      <c r="AB80" s="222">
        <v>0</v>
      </c>
      <c r="AC80" s="223">
        <v>46233</v>
      </c>
      <c r="AD80" s="223">
        <v>46242</v>
      </c>
      <c r="AE80" s="233" t="s">
        <v>40</v>
      </c>
      <c r="AF80" s="206" t="s">
        <v>234</v>
      </c>
      <c r="AG80" s="225">
        <v>0</v>
      </c>
      <c r="AH80" s="226">
        <v>46243</v>
      </c>
      <c r="AI80" s="226">
        <v>46250</v>
      </c>
      <c r="AJ80" s="227" t="s">
        <v>34</v>
      </c>
      <c r="AK80" s="228" t="s">
        <v>190</v>
      </c>
      <c r="AL80" s="228">
        <v>1</v>
      </c>
      <c r="AM80" s="229">
        <v>46337</v>
      </c>
      <c r="AN80" s="229">
        <v>46343</v>
      </c>
      <c r="AO80" s="230" t="s">
        <v>40</v>
      </c>
      <c r="AP80" s="231">
        <v>0</v>
      </c>
    </row>
    <row r="81" spans="1:42" ht="15">
      <c r="A81" s="7" t="s">
        <v>231</v>
      </c>
      <c r="B81" s="9" t="s">
        <v>327</v>
      </c>
      <c r="C81" s="195">
        <v>1</v>
      </c>
      <c r="D81" s="46">
        <v>46146</v>
      </c>
      <c r="E81" s="46">
        <v>46157</v>
      </c>
      <c r="F81" s="389" t="s">
        <v>219</v>
      </c>
      <c r="G81" s="34" t="s">
        <v>219</v>
      </c>
      <c r="H81" s="388">
        <v>0</v>
      </c>
      <c r="I81" s="229">
        <v>46184</v>
      </c>
      <c r="J81" s="229">
        <v>46197</v>
      </c>
      <c r="K81" s="230" t="s">
        <v>40</v>
      </c>
      <c r="L81" s="212" t="s">
        <v>302</v>
      </c>
      <c r="M81" s="231">
        <v>0</v>
      </c>
      <c r="N81" s="47">
        <v>46184</v>
      </c>
      <c r="O81" s="47">
        <v>46197</v>
      </c>
      <c r="P81" s="214" t="s">
        <v>40</v>
      </c>
      <c r="Q81" s="197" t="s">
        <v>302</v>
      </c>
      <c r="R81" s="215">
        <v>0</v>
      </c>
      <c r="S81" s="216">
        <v>46209</v>
      </c>
      <c r="T81" s="216">
        <v>46218</v>
      </c>
      <c r="U81" s="217" t="s">
        <v>40</v>
      </c>
      <c r="V81" s="201" t="s">
        <v>302</v>
      </c>
      <c r="W81" s="219">
        <v>0</v>
      </c>
      <c r="X81" s="220">
        <v>46218</v>
      </c>
      <c r="Y81" s="220">
        <v>46222</v>
      </c>
      <c r="Z81" s="221" t="s">
        <v>40</v>
      </c>
      <c r="AA81" s="88" t="s">
        <v>234</v>
      </c>
      <c r="AB81" s="222">
        <v>0</v>
      </c>
      <c r="AC81" s="223">
        <v>46233</v>
      </c>
      <c r="AD81" s="223">
        <v>46242</v>
      </c>
      <c r="AE81" s="233" t="s">
        <v>40</v>
      </c>
      <c r="AF81" s="206" t="s">
        <v>234</v>
      </c>
      <c r="AG81" s="225">
        <v>0</v>
      </c>
      <c r="AH81" s="226">
        <v>46243</v>
      </c>
      <c r="AI81" s="226">
        <v>46250</v>
      </c>
      <c r="AJ81" s="227" t="s">
        <v>34</v>
      </c>
      <c r="AK81" s="228" t="s">
        <v>190</v>
      </c>
      <c r="AL81" s="228">
        <v>1</v>
      </c>
      <c r="AM81" s="229">
        <v>46337</v>
      </c>
      <c r="AN81" s="229">
        <v>46343</v>
      </c>
      <c r="AO81" s="230" t="s">
        <v>40</v>
      </c>
      <c r="AP81" s="231">
        <v>0</v>
      </c>
    </row>
    <row r="82" spans="1:42" ht="15">
      <c r="A82" s="7" t="s">
        <v>231</v>
      </c>
      <c r="B82" s="9" t="s">
        <v>328</v>
      </c>
      <c r="C82" s="195">
        <v>1</v>
      </c>
      <c r="D82" s="46">
        <v>46146</v>
      </c>
      <c r="E82" s="46">
        <v>46157</v>
      </c>
      <c r="F82" s="389" t="s">
        <v>219</v>
      </c>
      <c r="G82" s="34" t="s">
        <v>219</v>
      </c>
      <c r="H82" s="388">
        <v>0</v>
      </c>
      <c r="I82" s="229">
        <v>46184</v>
      </c>
      <c r="J82" s="229">
        <v>46197</v>
      </c>
      <c r="K82" s="230" t="s">
        <v>40</v>
      </c>
      <c r="L82" s="212" t="s">
        <v>302</v>
      </c>
      <c r="M82" s="231">
        <v>0</v>
      </c>
      <c r="N82" s="47">
        <v>46184</v>
      </c>
      <c r="O82" s="47">
        <v>46197</v>
      </c>
      <c r="P82" s="214" t="s">
        <v>40</v>
      </c>
      <c r="Q82" s="197" t="s">
        <v>302</v>
      </c>
      <c r="R82" s="215">
        <v>0</v>
      </c>
      <c r="S82" s="216">
        <v>46209</v>
      </c>
      <c r="T82" s="216">
        <v>46218</v>
      </c>
      <c r="U82" s="217" t="s">
        <v>40</v>
      </c>
      <c r="V82" s="201" t="s">
        <v>302</v>
      </c>
      <c r="W82" s="219">
        <v>0</v>
      </c>
      <c r="X82" s="220">
        <v>46218</v>
      </c>
      <c r="Y82" s="220">
        <v>46222</v>
      </c>
      <c r="Z82" s="221" t="s">
        <v>40</v>
      </c>
      <c r="AA82" s="88" t="s">
        <v>234</v>
      </c>
      <c r="AB82" s="222">
        <v>0</v>
      </c>
      <c r="AC82" s="223">
        <v>46233</v>
      </c>
      <c r="AD82" s="223">
        <v>46242</v>
      </c>
      <c r="AE82" s="233" t="s">
        <v>40</v>
      </c>
      <c r="AF82" s="206" t="s">
        <v>234</v>
      </c>
      <c r="AG82" s="225">
        <v>0</v>
      </c>
      <c r="AH82" s="226">
        <v>46243</v>
      </c>
      <c r="AI82" s="226">
        <v>46250</v>
      </c>
      <c r="AJ82" s="227" t="s">
        <v>34</v>
      </c>
      <c r="AK82" s="228" t="s">
        <v>190</v>
      </c>
      <c r="AL82" s="228">
        <v>1</v>
      </c>
      <c r="AM82" s="229">
        <v>46337</v>
      </c>
      <c r="AN82" s="229">
        <v>46343</v>
      </c>
      <c r="AO82" s="230" t="s">
        <v>40</v>
      </c>
      <c r="AP82" s="231">
        <v>0</v>
      </c>
    </row>
    <row r="83" spans="1:42" ht="15">
      <c r="A83" s="7" t="s">
        <v>231</v>
      </c>
      <c r="B83" s="9" t="s">
        <v>329</v>
      </c>
      <c r="C83" s="195">
        <v>1</v>
      </c>
      <c r="D83" s="46">
        <v>46146</v>
      </c>
      <c r="E83" s="46">
        <v>46157</v>
      </c>
      <c r="F83" s="389" t="s">
        <v>219</v>
      </c>
      <c r="G83" s="34" t="s">
        <v>219</v>
      </c>
      <c r="H83" s="388">
        <v>0</v>
      </c>
      <c r="I83" s="229">
        <v>46184</v>
      </c>
      <c r="J83" s="229">
        <v>46197</v>
      </c>
      <c r="K83" s="230" t="s">
        <v>40</v>
      </c>
      <c r="L83" s="212" t="s">
        <v>302</v>
      </c>
      <c r="M83" s="231">
        <v>0</v>
      </c>
      <c r="N83" s="47">
        <v>46184</v>
      </c>
      <c r="O83" s="47">
        <v>46197</v>
      </c>
      <c r="P83" s="214" t="s">
        <v>40</v>
      </c>
      <c r="Q83" s="197" t="s">
        <v>302</v>
      </c>
      <c r="R83" s="215">
        <v>0</v>
      </c>
      <c r="S83" s="216">
        <v>46209</v>
      </c>
      <c r="T83" s="216">
        <v>46218</v>
      </c>
      <c r="U83" s="217" t="s">
        <v>40</v>
      </c>
      <c r="V83" s="201" t="s">
        <v>302</v>
      </c>
      <c r="W83" s="219">
        <v>0</v>
      </c>
      <c r="X83" s="220">
        <v>46218</v>
      </c>
      <c r="Y83" s="220">
        <v>46222</v>
      </c>
      <c r="Z83" s="221" t="s">
        <v>40</v>
      </c>
      <c r="AA83" s="88" t="s">
        <v>234</v>
      </c>
      <c r="AB83" s="222">
        <v>0</v>
      </c>
      <c r="AC83" s="223">
        <v>46233</v>
      </c>
      <c r="AD83" s="223">
        <v>46242</v>
      </c>
      <c r="AE83" s="233" t="s">
        <v>40</v>
      </c>
      <c r="AF83" s="206" t="s">
        <v>234</v>
      </c>
      <c r="AG83" s="225">
        <v>0</v>
      </c>
      <c r="AH83" s="226">
        <v>46243</v>
      </c>
      <c r="AI83" s="226">
        <v>46250</v>
      </c>
      <c r="AJ83" s="227" t="s">
        <v>34</v>
      </c>
      <c r="AK83" s="228" t="s">
        <v>190</v>
      </c>
      <c r="AL83" s="228">
        <v>1</v>
      </c>
      <c r="AM83" s="229">
        <v>46337</v>
      </c>
      <c r="AN83" s="229">
        <v>46343</v>
      </c>
      <c r="AO83" s="230" t="s">
        <v>40</v>
      </c>
      <c r="AP83" s="231">
        <v>0</v>
      </c>
    </row>
    <row r="84" spans="1:42" ht="15">
      <c r="A84" s="7" t="s">
        <v>231</v>
      </c>
      <c r="B84" s="9" t="s">
        <v>330</v>
      </c>
      <c r="C84" s="195">
        <v>1</v>
      </c>
      <c r="D84" s="46">
        <v>46146</v>
      </c>
      <c r="E84" s="46">
        <v>46157</v>
      </c>
      <c r="F84" s="389" t="s">
        <v>219</v>
      </c>
      <c r="G84" s="34" t="s">
        <v>219</v>
      </c>
      <c r="H84" s="388">
        <v>0</v>
      </c>
      <c r="I84" s="229">
        <v>46184</v>
      </c>
      <c r="J84" s="229">
        <v>46197</v>
      </c>
      <c r="K84" s="230" t="s">
        <v>40</v>
      </c>
      <c r="L84" s="212" t="s">
        <v>302</v>
      </c>
      <c r="M84" s="231">
        <v>0</v>
      </c>
      <c r="N84" s="47">
        <v>46184</v>
      </c>
      <c r="O84" s="47">
        <v>46197</v>
      </c>
      <c r="P84" s="214" t="s">
        <v>40</v>
      </c>
      <c r="Q84" s="197" t="s">
        <v>302</v>
      </c>
      <c r="R84" s="215">
        <v>0</v>
      </c>
      <c r="S84" s="216">
        <v>46209</v>
      </c>
      <c r="T84" s="216">
        <v>46218</v>
      </c>
      <c r="U84" s="217" t="s">
        <v>40</v>
      </c>
      <c r="V84" s="201" t="s">
        <v>302</v>
      </c>
      <c r="W84" s="219">
        <v>0</v>
      </c>
      <c r="X84" s="220">
        <v>46218</v>
      </c>
      <c r="Y84" s="220">
        <v>46222</v>
      </c>
      <c r="Z84" s="221" t="s">
        <v>40</v>
      </c>
      <c r="AA84" s="88" t="s">
        <v>234</v>
      </c>
      <c r="AB84" s="222">
        <v>0</v>
      </c>
      <c r="AC84" s="223">
        <v>46233</v>
      </c>
      <c r="AD84" s="223">
        <v>46242</v>
      </c>
      <c r="AE84" s="233" t="s">
        <v>40</v>
      </c>
      <c r="AF84" s="206" t="s">
        <v>234</v>
      </c>
      <c r="AG84" s="225">
        <v>0</v>
      </c>
      <c r="AH84" s="226">
        <v>46243</v>
      </c>
      <c r="AI84" s="226">
        <v>46250</v>
      </c>
      <c r="AJ84" s="227" t="s">
        <v>34</v>
      </c>
      <c r="AK84" s="228" t="s">
        <v>190</v>
      </c>
      <c r="AL84" s="228">
        <v>1</v>
      </c>
      <c r="AM84" s="229">
        <v>46337</v>
      </c>
      <c r="AN84" s="229">
        <v>46343</v>
      </c>
      <c r="AO84" s="230" t="s">
        <v>40</v>
      </c>
      <c r="AP84" s="231">
        <v>0</v>
      </c>
    </row>
    <row r="85" spans="1:42" ht="15">
      <c r="A85" s="7" t="s">
        <v>231</v>
      </c>
      <c r="B85" s="9" t="s">
        <v>331</v>
      </c>
      <c r="C85" s="195">
        <v>1</v>
      </c>
      <c r="D85" s="46">
        <v>46146</v>
      </c>
      <c r="E85" s="46">
        <v>46157</v>
      </c>
      <c r="F85" s="389" t="s">
        <v>219</v>
      </c>
      <c r="G85" s="34" t="s">
        <v>219</v>
      </c>
      <c r="H85" s="388">
        <v>0</v>
      </c>
      <c r="I85" s="229">
        <v>46184</v>
      </c>
      <c r="J85" s="229">
        <v>46197</v>
      </c>
      <c r="K85" s="230" t="s">
        <v>40</v>
      </c>
      <c r="L85" s="212" t="s">
        <v>302</v>
      </c>
      <c r="M85" s="231">
        <v>0</v>
      </c>
      <c r="N85" s="47">
        <v>46184</v>
      </c>
      <c r="O85" s="47">
        <v>46197</v>
      </c>
      <c r="P85" s="214" t="s">
        <v>40</v>
      </c>
      <c r="Q85" s="197" t="s">
        <v>302</v>
      </c>
      <c r="R85" s="215">
        <v>0</v>
      </c>
      <c r="S85" s="216">
        <v>46209</v>
      </c>
      <c r="T85" s="216">
        <v>46218</v>
      </c>
      <c r="U85" s="217" t="s">
        <v>40</v>
      </c>
      <c r="V85" s="201" t="s">
        <v>302</v>
      </c>
      <c r="W85" s="219">
        <v>0</v>
      </c>
      <c r="X85" s="220">
        <v>46218</v>
      </c>
      <c r="Y85" s="220">
        <v>46222</v>
      </c>
      <c r="Z85" s="221" t="s">
        <v>40</v>
      </c>
      <c r="AA85" s="88" t="s">
        <v>234</v>
      </c>
      <c r="AB85" s="222">
        <v>0</v>
      </c>
      <c r="AC85" s="223">
        <v>46233</v>
      </c>
      <c r="AD85" s="223">
        <v>46242</v>
      </c>
      <c r="AE85" s="233" t="s">
        <v>40</v>
      </c>
      <c r="AF85" s="206" t="s">
        <v>234</v>
      </c>
      <c r="AG85" s="225">
        <v>0</v>
      </c>
      <c r="AH85" s="226">
        <v>46243</v>
      </c>
      <c r="AI85" s="226">
        <v>46250</v>
      </c>
      <c r="AJ85" s="227" t="s">
        <v>34</v>
      </c>
      <c r="AK85" s="228" t="s">
        <v>190</v>
      </c>
      <c r="AL85" s="228">
        <v>1</v>
      </c>
      <c r="AM85" s="229">
        <v>46337</v>
      </c>
      <c r="AN85" s="229">
        <v>46343</v>
      </c>
      <c r="AO85" s="230" t="s">
        <v>40</v>
      </c>
      <c r="AP85" s="231">
        <v>0</v>
      </c>
    </row>
    <row r="86" spans="1:42" ht="15">
      <c r="A86" s="7" t="s">
        <v>231</v>
      </c>
      <c r="B86" s="9" t="s">
        <v>332</v>
      </c>
      <c r="C86" s="195">
        <v>1</v>
      </c>
      <c r="D86" s="46">
        <v>46146</v>
      </c>
      <c r="E86" s="46">
        <v>46157</v>
      </c>
      <c r="F86" s="389" t="s">
        <v>219</v>
      </c>
      <c r="G86" s="34" t="s">
        <v>219</v>
      </c>
      <c r="H86" s="388">
        <v>0</v>
      </c>
      <c r="I86" s="229">
        <v>46184</v>
      </c>
      <c r="J86" s="229">
        <v>46197</v>
      </c>
      <c r="K86" s="230" t="s">
        <v>40</v>
      </c>
      <c r="L86" s="212" t="s">
        <v>302</v>
      </c>
      <c r="M86" s="231">
        <v>0</v>
      </c>
      <c r="N86" s="47">
        <v>46184</v>
      </c>
      <c r="O86" s="47">
        <v>46197</v>
      </c>
      <c r="P86" s="214" t="s">
        <v>40</v>
      </c>
      <c r="Q86" s="197" t="s">
        <v>302</v>
      </c>
      <c r="R86" s="215">
        <v>0</v>
      </c>
      <c r="S86" s="216">
        <v>46209</v>
      </c>
      <c r="T86" s="216">
        <v>46218</v>
      </c>
      <c r="U86" s="217" t="s">
        <v>40</v>
      </c>
      <c r="V86" s="201" t="s">
        <v>302</v>
      </c>
      <c r="W86" s="219">
        <v>0</v>
      </c>
      <c r="X86" s="220">
        <v>46218</v>
      </c>
      <c r="Y86" s="220">
        <v>46222</v>
      </c>
      <c r="Z86" s="221" t="s">
        <v>40</v>
      </c>
      <c r="AA86" s="88" t="s">
        <v>234</v>
      </c>
      <c r="AB86" s="222">
        <v>0</v>
      </c>
      <c r="AC86" s="223">
        <v>46233</v>
      </c>
      <c r="AD86" s="223">
        <v>46242</v>
      </c>
      <c r="AE86" s="233" t="s">
        <v>40</v>
      </c>
      <c r="AF86" s="206" t="s">
        <v>234</v>
      </c>
      <c r="AG86" s="225">
        <v>0</v>
      </c>
      <c r="AH86" s="226">
        <v>46243</v>
      </c>
      <c r="AI86" s="226">
        <v>46250</v>
      </c>
      <c r="AJ86" s="227" t="s">
        <v>34</v>
      </c>
      <c r="AK86" s="228" t="s">
        <v>190</v>
      </c>
      <c r="AL86" s="228">
        <v>1</v>
      </c>
      <c r="AM86" s="229">
        <v>46337</v>
      </c>
      <c r="AN86" s="229">
        <v>46343</v>
      </c>
      <c r="AO86" s="230" t="s">
        <v>40</v>
      </c>
      <c r="AP86" s="231">
        <v>0</v>
      </c>
    </row>
    <row r="87" spans="1:42" ht="15">
      <c r="A87" s="7" t="s">
        <v>231</v>
      </c>
      <c r="B87" s="9" t="s">
        <v>333</v>
      </c>
      <c r="C87" s="195">
        <v>1</v>
      </c>
      <c r="D87" s="46">
        <v>46146</v>
      </c>
      <c r="E87" s="46">
        <v>46157</v>
      </c>
      <c r="F87" s="389" t="s">
        <v>219</v>
      </c>
      <c r="G87" s="34" t="s">
        <v>219</v>
      </c>
      <c r="H87" s="388">
        <v>0</v>
      </c>
      <c r="I87" s="229">
        <v>46184</v>
      </c>
      <c r="J87" s="229">
        <v>46197</v>
      </c>
      <c r="K87" s="230" t="s">
        <v>40</v>
      </c>
      <c r="L87" s="212" t="s">
        <v>302</v>
      </c>
      <c r="M87" s="231">
        <v>0</v>
      </c>
      <c r="N87" s="47">
        <v>46184</v>
      </c>
      <c r="O87" s="47">
        <v>46197</v>
      </c>
      <c r="P87" s="214" t="s">
        <v>40</v>
      </c>
      <c r="Q87" s="197" t="s">
        <v>302</v>
      </c>
      <c r="R87" s="215">
        <v>0</v>
      </c>
      <c r="S87" s="216">
        <v>46209</v>
      </c>
      <c r="T87" s="216">
        <v>46218</v>
      </c>
      <c r="U87" s="217" t="s">
        <v>40</v>
      </c>
      <c r="V87" s="201" t="s">
        <v>302</v>
      </c>
      <c r="W87" s="219">
        <v>0</v>
      </c>
      <c r="X87" s="220">
        <v>46218</v>
      </c>
      <c r="Y87" s="220">
        <v>46222</v>
      </c>
      <c r="Z87" s="221" t="s">
        <v>40</v>
      </c>
      <c r="AA87" s="88" t="s">
        <v>234</v>
      </c>
      <c r="AB87" s="222">
        <v>0</v>
      </c>
      <c r="AC87" s="223">
        <v>46233</v>
      </c>
      <c r="AD87" s="223">
        <v>46242</v>
      </c>
      <c r="AE87" s="233" t="s">
        <v>40</v>
      </c>
      <c r="AF87" s="206" t="s">
        <v>234</v>
      </c>
      <c r="AG87" s="225">
        <v>0</v>
      </c>
      <c r="AH87" s="226">
        <v>46243</v>
      </c>
      <c r="AI87" s="226">
        <v>46250</v>
      </c>
      <c r="AJ87" s="227" t="s">
        <v>34</v>
      </c>
      <c r="AK87" s="228" t="s">
        <v>190</v>
      </c>
      <c r="AL87" s="228">
        <v>1</v>
      </c>
      <c r="AM87" s="229">
        <v>46337</v>
      </c>
      <c r="AN87" s="229">
        <v>46343</v>
      </c>
      <c r="AO87" s="230" t="s">
        <v>40</v>
      </c>
      <c r="AP87" s="231">
        <v>0</v>
      </c>
    </row>
    <row r="88" spans="1:42" ht="15">
      <c r="A88" s="7" t="s">
        <v>231</v>
      </c>
      <c r="B88" s="9" t="s">
        <v>334</v>
      </c>
      <c r="C88" s="195">
        <v>1</v>
      </c>
      <c r="D88" s="46">
        <v>46146</v>
      </c>
      <c r="E88" s="46">
        <v>46157</v>
      </c>
      <c r="F88" s="389" t="s">
        <v>219</v>
      </c>
      <c r="G88" s="34" t="s">
        <v>219</v>
      </c>
      <c r="H88" s="388">
        <v>0</v>
      </c>
      <c r="I88" s="229">
        <v>46184</v>
      </c>
      <c r="J88" s="229">
        <v>46197</v>
      </c>
      <c r="K88" s="230" t="s">
        <v>40</v>
      </c>
      <c r="L88" s="212" t="s">
        <v>302</v>
      </c>
      <c r="M88" s="231">
        <v>0</v>
      </c>
      <c r="N88" s="47">
        <v>46184</v>
      </c>
      <c r="O88" s="47">
        <v>46197</v>
      </c>
      <c r="P88" s="214" t="s">
        <v>40</v>
      </c>
      <c r="Q88" s="197" t="s">
        <v>302</v>
      </c>
      <c r="R88" s="215">
        <v>0</v>
      </c>
      <c r="S88" s="216">
        <v>46209</v>
      </c>
      <c r="T88" s="216">
        <v>46218</v>
      </c>
      <c r="U88" s="217" t="s">
        <v>40</v>
      </c>
      <c r="V88" s="201" t="s">
        <v>302</v>
      </c>
      <c r="W88" s="219">
        <v>0</v>
      </c>
      <c r="X88" s="220">
        <v>46218</v>
      </c>
      <c r="Y88" s="220">
        <v>46222</v>
      </c>
      <c r="Z88" s="221" t="s">
        <v>40</v>
      </c>
      <c r="AA88" s="88" t="s">
        <v>234</v>
      </c>
      <c r="AB88" s="222">
        <v>0</v>
      </c>
      <c r="AC88" s="223">
        <v>46233</v>
      </c>
      <c r="AD88" s="223">
        <v>46242</v>
      </c>
      <c r="AE88" s="233" t="s">
        <v>40</v>
      </c>
      <c r="AF88" s="206" t="s">
        <v>234</v>
      </c>
      <c r="AG88" s="225">
        <v>0</v>
      </c>
      <c r="AH88" s="226">
        <v>46243</v>
      </c>
      <c r="AI88" s="226">
        <v>46250</v>
      </c>
      <c r="AJ88" s="227" t="s">
        <v>34</v>
      </c>
      <c r="AK88" s="228" t="s">
        <v>190</v>
      </c>
      <c r="AL88" s="228">
        <v>1</v>
      </c>
      <c r="AM88" s="229">
        <v>46337</v>
      </c>
      <c r="AN88" s="229">
        <v>46343</v>
      </c>
      <c r="AO88" s="230" t="s">
        <v>40</v>
      </c>
      <c r="AP88" s="231">
        <v>0</v>
      </c>
    </row>
    <row r="89" spans="1:42" ht="15">
      <c r="A89" s="7" t="s">
        <v>231</v>
      </c>
      <c r="B89" s="9" t="s">
        <v>335</v>
      </c>
      <c r="C89" s="195">
        <v>1</v>
      </c>
      <c r="D89" s="46">
        <v>46146</v>
      </c>
      <c r="E89" s="46">
        <v>46157</v>
      </c>
      <c r="F89" s="389" t="s">
        <v>219</v>
      </c>
      <c r="G89" s="34" t="s">
        <v>219</v>
      </c>
      <c r="H89" s="388">
        <v>0</v>
      </c>
      <c r="I89" s="229">
        <v>46184</v>
      </c>
      <c r="J89" s="229">
        <v>46197</v>
      </c>
      <c r="K89" s="230" t="s">
        <v>40</v>
      </c>
      <c r="L89" s="212" t="s">
        <v>302</v>
      </c>
      <c r="M89" s="231">
        <v>0</v>
      </c>
      <c r="N89" s="47">
        <v>46184</v>
      </c>
      <c r="O89" s="47">
        <v>46197</v>
      </c>
      <c r="P89" s="214" t="s">
        <v>40</v>
      </c>
      <c r="Q89" s="197" t="s">
        <v>302</v>
      </c>
      <c r="R89" s="215">
        <v>0</v>
      </c>
      <c r="S89" s="216">
        <v>46209</v>
      </c>
      <c r="T89" s="216">
        <v>46218</v>
      </c>
      <c r="U89" s="217" t="s">
        <v>40</v>
      </c>
      <c r="V89" s="201" t="s">
        <v>302</v>
      </c>
      <c r="W89" s="219">
        <v>0</v>
      </c>
      <c r="X89" s="220">
        <v>46218</v>
      </c>
      <c r="Y89" s="220">
        <v>46222</v>
      </c>
      <c r="Z89" s="221" t="s">
        <v>40</v>
      </c>
      <c r="AA89" s="88" t="s">
        <v>234</v>
      </c>
      <c r="AB89" s="222">
        <v>0</v>
      </c>
      <c r="AC89" s="223">
        <v>46233</v>
      </c>
      <c r="AD89" s="223">
        <v>46242</v>
      </c>
      <c r="AE89" s="233" t="s">
        <v>40</v>
      </c>
      <c r="AF89" s="206" t="s">
        <v>234</v>
      </c>
      <c r="AG89" s="225">
        <v>0</v>
      </c>
      <c r="AH89" s="226">
        <v>46243</v>
      </c>
      <c r="AI89" s="226">
        <v>46250</v>
      </c>
      <c r="AJ89" s="227" t="s">
        <v>34</v>
      </c>
      <c r="AK89" s="228" t="s">
        <v>190</v>
      </c>
      <c r="AL89" s="228">
        <v>1</v>
      </c>
      <c r="AM89" s="229">
        <v>46337</v>
      </c>
      <c r="AN89" s="229">
        <v>46343</v>
      </c>
      <c r="AO89" s="230" t="s">
        <v>40</v>
      </c>
      <c r="AP89" s="231">
        <v>0</v>
      </c>
    </row>
    <row r="90" spans="1:42" ht="15">
      <c r="A90" s="7" t="s">
        <v>231</v>
      </c>
      <c r="B90" s="9" t="s">
        <v>336</v>
      </c>
      <c r="C90" s="195">
        <v>1</v>
      </c>
      <c r="D90" s="46">
        <v>46146</v>
      </c>
      <c r="E90" s="46">
        <v>46157</v>
      </c>
      <c r="F90" s="389" t="s">
        <v>219</v>
      </c>
      <c r="G90" s="34" t="s">
        <v>219</v>
      </c>
      <c r="H90" s="388">
        <v>0</v>
      </c>
      <c r="I90" s="229">
        <v>46184</v>
      </c>
      <c r="J90" s="229">
        <v>46197</v>
      </c>
      <c r="K90" s="230" t="s">
        <v>40</v>
      </c>
      <c r="L90" s="212" t="s">
        <v>302</v>
      </c>
      <c r="M90" s="231">
        <v>0</v>
      </c>
      <c r="N90" s="47">
        <v>46184</v>
      </c>
      <c r="O90" s="47">
        <v>46197</v>
      </c>
      <c r="P90" s="214" t="s">
        <v>40</v>
      </c>
      <c r="Q90" s="197" t="s">
        <v>302</v>
      </c>
      <c r="R90" s="215">
        <v>0</v>
      </c>
      <c r="S90" s="216">
        <v>46209</v>
      </c>
      <c r="T90" s="216">
        <v>46218</v>
      </c>
      <c r="U90" s="217" t="s">
        <v>40</v>
      </c>
      <c r="V90" s="201" t="s">
        <v>302</v>
      </c>
      <c r="W90" s="219">
        <v>0</v>
      </c>
      <c r="X90" s="220">
        <v>46218</v>
      </c>
      <c r="Y90" s="220">
        <v>46222</v>
      </c>
      <c r="Z90" s="221" t="s">
        <v>40</v>
      </c>
      <c r="AA90" s="88" t="s">
        <v>234</v>
      </c>
      <c r="AB90" s="222">
        <v>0</v>
      </c>
      <c r="AC90" s="223">
        <v>46233</v>
      </c>
      <c r="AD90" s="223">
        <v>46242</v>
      </c>
      <c r="AE90" s="233" t="s">
        <v>40</v>
      </c>
      <c r="AF90" s="206" t="s">
        <v>234</v>
      </c>
      <c r="AG90" s="225">
        <v>0</v>
      </c>
      <c r="AH90" s="226">
        <v>46243</v>
      </c>
      <c r="AI90" s="226">
        <v>46250</v>
      </c>
      <c r="AJ90" s="227" t="s">
        <v>34</v>
      </c>
      <c r="AK90" s="228" t="s">
        <v>190</v>
      </c>
      <c r="AL90" s="228">
        <v>1</v>
      </c>
      <c r="AM90" s="229">
        <v>46337</v>
      </c>
      <c r="AN90" s="229">
        <v>46343</v>
      </c>
      <c r="AO90" s="230" t="s">
        <v>40</v>
      </c>
      <c r="AP90" s="231">
        <v>0</v>
      </c>
    </row>
    <row r="91" spans="1:42" ht="15">
      <c r="A91" s="7" t="s">
        <v>231</v>
      </c>
      <c r="B91" s="9" t="s">
        <v>337</v>
      </c>
      <c r="C91" s="195">
        <v>1</v>
      </c>
      <c r="D91" s="46">
        <v>46146</v>
      </c>
      <c r="E91" s="46">
        <v>46157</v>
      </c>
      <c r="F91" s="389" t="s">
        <v>219</v>
      </c>
      <c r="G91" s="34" t="s">
        <v>219</v>
      </c>
      <c r="H91" s="388">
        <v>0</v>
      </c>
      <c r="I91" s="229">
        <v>46184</v>
      </c>
      <c r="J91" s="229">
        <v>46197</v>
      </c>
      <c r="K91" s="230" t="s">
        <v>40</v>
      </c>
      <c r="L91" s="212" t="s">
        <v>302</v>
      </c>
      <c r="M91" s="231">
        <v>0</v>
      </c>
      <c r="N91" s="47">
        <v>46184</v>
      </c>
      <c r="O91" s="47">
        <v>46197</v>
      </c>
      <c r="P91" s="214" t="s">
        <v>40</v>
      </c>
      <c r="Q91" s="197" t="s">
        <v>302</v>
      </c>
      <c r="R91" s="215">
        <v>0</v>
      </c>
      <c r="S91" s="216">
        <v>46209</v>
      </c>
      <c r="T91" s="216">
        <v>46218</v>
      </c>
      <c r="U91" s="217" t="s">
        <v>40</v>
      </c>
      <c r="V91" s="201" t="s">
        <v>302</v>
      </c>
      <c r="W91" s="219">
        <v>0</v>
      </c>
      <c r="X91" s="220">
        <v>46218</v>
      </c>
      <c r="Y91" s="220">
        <v>46222</v>
      </c>
      <c r="Z91" s="221" t="s">
        <v>40</v>
      </c>
      <c r="AA91" s="88" t="s">
        <v>234</v>
      </c>
      <c r="AB91" s="222">
        <v>0</v>
      </c>
      <c r="AC91" s="223">
        <v>46233</v>
      </c>
      <c r="AD91" s="223">
        <v>46242</v>
      </c>
      <c r="AE91" s="233" t="s">
        <v>40</v>
      </c>
      <c r="AF91" s="206" t="s">
        <v>234</v>
      </c>
      <c r="AG91" s="225">
        <v>0</v>
      </c>
      <c r="AH91" s="226">
        <v>46243</v>
      </c>
      <c r="AI91" s="226">
        <v>46250</v>
      </c>
      <c r="AJ91" s="227" t="s">
        <v>34</v>
      </c>
      <c r="AK91" s="228" t="s">
        <v>190</v>
      </c>
      <c r="AL91" s="228">
        <v>1</v>
      </c>
      <c r="AM91" s="229">
        <v>46337</v>
      </c>
      <c r="AN91" s="229">
        <v>46343</v>
      </c>
      <c r="AO91" s="230" t="s">
        <v>40</v>
      </c>
      <c r="AP91" s="231">
        <v>0</v>
      </c>
    </row>
    <row r="92" spans="1:42" ht="15">
      <c r="A92" s="7" t="s">
        <v>231</v>
      </c>
      <c r="B92" s="9" t="s">
        <v>338</v>
      </c>
      <c r="C92" s="195">
        <v>1</v>
      </c>
      <c r="D92" s="46">
        <v>46146</v>
      </c>
      <c r="E92" s="46">
        <v>46157</v>
      </c>
      <c r="F92" s="389" t="s">
        <v>219</v>
      </c>
      <c r="G92" s="34" t="s">
        <v>219</v>
      </c>
      <c r="H92" s="388">
        <v>0</v>
      </c>
      <c r="I92" s="229">
        <v>46184</v>
      </c>
      <c r="J92" s="229">
        <v>46197</v>
      </c>
      <c r="K92" s="230" t="s">
        <v>40</v>
      </c>
      <c r="L92" s="212" t="s">
        <v>302</v>
      </c>
      <c r="M92" s="231">
        <v>0</v>
      </c>
      <c r="N92" s="47">
        <v>46184</v>
      </c>
      <c r="O92" s="47">
        <v>46197</v>
      </c>
      <c r="P92" s="214" t="s">
        <v>40</v>
      </c>
      <c r="Q92" s="197" t="s">
        <v>302</v>
      </c>
      <c r="R92" s="215">
        <v>0</v>
      </c>
      <c r="S92" s="216">
        <v>46209</v>
      </c>
      <c r="T92" s="216">
        <v>46218</v>
      </c>
      <c r="U92" s="217" t="s">
        <v>40</v>
      </c>
      <c r="V92" s="201" t="s">
        <v>302</v>
      </c>
      <c r="W92" s="219">
        <v>0</v>
      </c>
      <c r="X92" s="220">
        <v>46218</v>
      </c>
      <c r="Y92" s="220">
        <v>46222</v>
      </c>
      <c r="Z92" s="221" t="s">
        <v>40</v>
      </c>
      <c r="AA92" s="88" t="s">
        <v>234</v>
      </c>
      <c r="AB92" s="222">
        <v>0</v>
      </c>
      <c r="AC92" s="223">
        <v>46233</v>
      </c>
      <c r="AD92" s="223">
        <v>46242</v>
      </c>
      <c r="AE92" s="233" t="s">
        <v>40</v>
      </c>
      <c r="AF92" s="206" t="s">
        <v>234</v>
      </c>
      <c r="AG92" s="225">
        <v>0</v>
      </c>
      <c r="AH92" s="226">
        <v>46243</v>
      </c>
      <c r="AI92" s="226">
        <v>46250</v>
      </c>
      <c r="AJ92" s="227" t="s">
        <v>34</v>
      </c>
      <c r="AK92" s="228" t="s">
        <v>190</v>
      </c>
      <c r="AL92" s="228">
        <v>1</v>
      </c>
      <c r="AM92" s="229">
        <v>46337</v>
      </c>
      <c r="AN92" s="229">
        <v>46343</v>
      </c>
      <c r="AO92" s="230" t="s">
        <v>40</v>
      </c>
      <c r="AP92" s="231">
        <v>0</v>
      </c>
    </row>
    <row r="93" spans="1:42" ht="15">
      <c r="A93" s="7" t="s">
        <v>231</v>
      </c>
      <c r="B93" s="9" t="s">
        <v>339</v>
      </c>
      <c r="C93" s="195">
        <v>1</v>
      </c>
      <c r="D93" s="46">
        <v>46146</v>
      </c>
      <c r="E93" s="46">
        <v>46157</v>
      </c>
      <c r="F93" s="389" t="s">
        <v>219</v>
      </c>
      <c r="G93" s="34" t="s">
        <v>219</v>
      </c>
      <c r="H93" s="388">
        <v>0</v>
      </c>
      <c r="I93" s="229">
        <v>46184</v>
      </c>
      <c r="J93" s="229">
        <v>46197</v>
      </c>
      <c r="K93" s="230" t="s">
        <v>40</v>
      </c>
      <c r="L93" s="212" t="s">
        <v>302</v>
      </c>
      <c r="M93" s="231">
        <v>0</v>
      </c>
      <c r="N93" s="47">
        <v>46184</v>
      </c>
      <c r="O93" s="47">
        <v>46197</v>
      </c>
      <c r="P93" s="214" t="s">
        <v>40</v>
      </c>
      <c r="Q93" s="197" t="s">
        <v>302</v>
      </c>
      <c r="R93" s="215">
        <v>0</v>
      </c>
      <c r="S93" s="216">
        <v>46209</v>
      </c>
      <c r="T93" s="216">
        <v>46218</v>
      </c>
      <c r="U93" s="217" t="s">
        <v>40</v>
      </c>
      <c r="V93" s="201" t="s">
        <v>302</v>
      </c>
      <c r="W93" s="219">
        <v>0</v>
      </c>
      <c r="X93" s="220">
        <v>46218</v>
      </c>
      <c r="Y93" s="220">
        <v>46222</v>
      </c>
      <c r="Z93" s="221" t="s">
        <v>40</v>
      </c>
      <c r="AA93" s="88" t="s">
        <v>234</v>
      </c>
      <c r="AB93" s="222">
        <v>0</v>
      </c>
      <c r="AC93" s="223">
        <v>46233</v>
      </c>
      <c r="AD93" s="223">
        <v>46242</v>
      </c>
      <c r="AE93" s="233" t="s">
        <v>40</v>
      </c>
      <c r="AF93" s="206" t="s">
        <v>234</v>
      </c>
      <c r="AG93" s="225">
        <v>0</v>
      </c>
      <c r="AH93" s="226">
        <v>46243</v>
      </c>
      <c r="AI93" s="226">
        <v>46250</v>
      </c>
      <c r="AJ93" s="227" t="s">
        <v>34</v>
      </c>
      <c r="AK93" s="228" t="s">
        <v>190</v>
      </c>
      <c r="AL93" s="228">
        <v>1</v>
      </c>
      <c r="AM93" s="229">
        <v>46337</v>
      </c>
      <c r="AN93" s="229">
        <v>46343</v>
      </c>
      <c r="AO93" s="230" t="s">
        <v>40</v>
      </c>
      <c r="AP93" s="231">
        <v>0</v>
      </c>
    </row>
    <row r="94" spans="1:42" ht="15">
      <c r="A94" s="7" t="s">
        <v>231</v>
      </c>
      <c r="B94" s="9" t="s">
        <v>340</v>
      </c>
      <c r="C94" s="195">
        <v>1</v>
      </c>
      <c r="D94" s="46">
        <v>46146</v>
      </c>
      <c r="E94" s="46">
        <v>46157</v>
      </c>
      <c r="F94" s="389" t="s">
        <v>219</v>
      </c>
      <c r="G94" s="34" t="s">
        <v>219</v>
      </c>
      <c r="H94" s="388">
        <v>0</v>
      </c>
      <c r="I94" s="229">
        <v>46184</v>
      </c>
      <c r="J94" s="229">
        <v>46197</v>
      </c>
      <c r="K94" s="230" t="s">
        <v>40</v>
      </c>
      <c r="L94" s="212" t="s">
        <v>302</v>
      </c>
      <c r="M94" s="231">
        <v>0</v>
      </c>
      <c r="N94" s="47">
        <v>46184</v>
      </c>
      <c r="O94" s="47">
        <v>46197</v>
      </c>
      <c r="P94" s="214" t="s">
        <v>40</v>
      </c>
      <c r="Q94" s="197" t="s">
        <v>302</v>
      </c>
      <c r="R94" s="215">
        <v>0</v>
      </c>
      <c r="S94" s="216">
        <v>46209</v>
      </c>
      <c r="T94" s="216">
        <v>46218</v>
      </c>
      <c r="U94" s="217" t="s">
        <v>40</v>
      </c>
      <c r="V94" s="201" t="s">
        <v>302</v>
      </c>
      <c r="W94" s="219">
        <v>0</v>
      </c>
      <c r="X94" s="220">
        <v>46218</v>
      </c>
      <c r="Y94" s="220">
        <v>46222</v>
      </c>
      <c r="Z94" s="221" t="s">
        <v>40</v>
      </c>
      <c r="AA94" s="88" t="s">
        <v>234</v>
      </c>
      <c r="AB94" s="222">
        <v>0</v>
      </c>
      <c r="AC94" s="223">
        <v>46233</v>
      </c>
      <c r="AD94" s="223">
        <v>46242</v>
      </c>
      <c r="AE94" s="233" t="s">
        <v>40</v>
      </c>
      <c r="AF94" s="206" t="s">
        <v>234</v>
      </c>
      <c r="AG94" s="225">
        <v>0</v>
      </c>
      <c r="AH94" s="226">
        <v>46243</v>
      </c>
      <c r="AI94" s="226">
        <v>46250</v>
      </c>
      <c r="AJ94" s="227" t="s">
        <v>34</v>
      </c>
      <c r="AK94" s="228" t="s">
        <v>190</v>
      </c>
      <c r="AL94" s="228">
        <v>1</v>
      </c>
      <c r="AM94" s="229">
        <v>46337</v>
      </c>
      <c r="AN94" s="229">
        <v>46343</v>
      </c>
      <c r="AO94" s="230" t="s">
        <v>40</v>
      </c>
      <c r="AP94" s="231">
        <v>0</v>
      </c>
    </row>
    <row r="95" spans="1:42" ht="15">
      <c r="A95" s="7" t="s">
        <v>231</v>
      </c>
      <c r="B95" s="9" t="s">
        <v>341</v>
      </c>
      <c r="C95" s="195">
        <v>1</v>
      </c>
      <c r="D95" s="46">
        <v>46146</v>
      </c>
      <c r="E95" s="46">
        <v>46157</v>
      </c>
      <c r="F95" s="389" t="s">
        <v>219</v>
      </c>
      <c r="G95" s="34" t="s">
        <v>219</v>
      </c>
      <c r="H95" s="388">
        <v>0</v>
      </c>
      <c r="I95" s="229">
        <v>46184</v>
      </c>
      <c r="J95" s="229">
        <v>46197</v>
      </c>
      <c r="K95" s="230" t="s">
        <v>40</v>
      </c>
      <c r="L95" s="212" t="s">
        <v>302</v>
      </c>
      <c r="M95" s="231">
        <v>0</v>
      </c>
      <c r="N95" s="47">
        <v>46184</v>
      </c>
      <c r="O95" s="47">
        <v>46197</v>
      </c>
      <c r="P95" s="214" t="s">
        <v>40</v>
      </c>
      <c r="Q95" s="197" t="s">
        <v>302</v>
      </c>
      <c r="R95" s="215">
        <v>0</v>
      </c>
      <c r="S95" s="216">
        <v>46209</v>
      </c>
      <c r="T95" s="216">
        <v>46218</v>
      </c>
      <c r="U95" s="217" t="s">
        <v>40</v>
      </c>
      <c r="V95" s="201" t="s">
        <v>302</v>
      </c>
      <c r="W95" s="219">
        <v>0</v>
      </c>
      <c r="X95" s="220">
        <v>46218</v>
      </c>
      <c r="Y95" s="220">
        <v>46222</v>
      </c>
      <c r="Z95" s="221" t="s">
        <v>40</v>
      </c>
      <c r="AA95" s="88" t="s">
        <v>234</v>
      </c>
      <c r="AB95" s="222">
        <v>0</v>
      </c>
      <c r="AC95" s="223">
        <v>46233</v>
      </c>
      <c r="AD95" s="223">
        <v>46242</v>
      </c>
      <c r="AE95" s="233" t="s">
        <v>40</v>
      </c>
      <c r="AF95" s="206" t="s">
        <v>234</v>
      </c>
      <c r="AG95" s="225">
        <v>0</v>
      </c>
      <c r="AH95" s="226">
        <v>46243</v>
      </c>
      <c r="AI95" s="226">
        <v>46250</v>
      </c>
      <c r="AJ95" s="227" t="s">
        <v>34</v>
      </c>
      <c r="AK95" s="228" t="s">
        <v>190</v>
      </c>
      <c r="AL95" s="228">
        <v>1</v>
      </c>
      <c r="AM95" s="229">
        <v>46337</v>
      </c>
      <c r="AN95" s="229">
        <v>46343</v>
      </c>
      <c r="AO95" s="230" t="s">
        <v>40</v>
      </c>
      <c r="AP95" s="231">
        <v>0</v>
      </c>
    </row>
    <row r="96" spans="1:42" ht="15">
      <c r="A96" s="7" t="s">
        <v>231</v>
      </c>
      <c r="B96" s="9" t="s">
        <v>342</v>
      </c>
      <c r="C96" s="195">
        <v>1</v>
      </c>
      <c r="D96" s="46">
        <v>46146</v>
      </c>
      <c r="E96" s="46">
        <v>46157</v>
      </c>
      <c r="F96" s="389" t="s">
        <v>219</v>
      </c>
      <c r="G96" s="34" t="s">
        <v>219</v>
      </c>
      <c r="H96" s="388">
        <v>0</v>
      </c>
      <c r="I96" s="229">
        <v>46184</v>
      </c>
      <c r="J96" s="229">
        <v>46197</v>
      </c>
      <c r="K96" s="230" t="s">
        <v>40</v>
      </c>
      <c r="L96" s="212" t="s">
        <v>302</v>
      </c>
      <c r="M96" s="231">
        <v>0</v>
      </c>
      <c r="N96" s="47">
        <v>46184</v>
      </c>
      <c r="O96" s="47">
        <v>46197</v>
      </c>
      <c r="P96" s="214" t="s">
        <v>40</v>
      </c>
      <c r="Q96" s="197" t="s">
        <v>302</v>
      </c>
      <c r="R96" s="215">
        <v>0</v>
      </c>
      <c r="S96" s="216">
        <v>46209</v>
      </c>
      <c r="T96" s="216">
        <v>46218</v>
      </c>
      <c r="U96" s="217" t="s">
        <v>40</v>
      </c>
      <c r="V96" s="201" t="s">
        <v>302</v>
      </c>
      <c r="W96" s="219">
        <v>0</v>
      </c>
      <c r="X96" s="220">
        <v>46218</v>
      </c>
      <c r="Y96" s="220">
        <v>46222</v>
      </c>
      <c r="Z96" s="221" t="s">
        <v>40</v>
      </c>
      <c r="AA96" s="88" t="s">
        <v>234</v>
      </c>
      <c r="AB96" s="222">
        <v>0</v>
      </c>
      <c r="AC96" s="223">
        <v>46233</v>
      </c>
      <c r="AD96" s="223">
        <v>46242</v>
      </c>
      <c r="AE96" s="233" t="s">
        <v>40</v>
      </c>
      <c r="AF96" s="206" t="s">
        <v>234</v>
      </c>
      <c r="AG96" s="225">
        <v>0</v>
      </c>
      <c r="AH96" s="226">
        <v>46243</v>
      </c>
      <c r="AI96" s="226">
        <v>46250</v>
      </c>
      <c r="AJ96" s="227" t="s">
        <v>34</v>
      </c>
      <c r="AK96" s="228" t="s">
        <v>190</v>
      </c>
      <c r="AL96" s="228">
        <v>1</v>
      </c>
      <c r="AM96" s="229">
        <v>46337</v>
      </c>
      <c r="AN96" s="229">
        <v>46343</v>
      </c>
      <c r="AO96" s="230" t="s">
        <v>40</v>
      </c>
      <c r="AP96" s="231">
        <v>0</v>
      </c>
    </row>
    <row r="97" spans="1:42" ht="15">
      <c r="A97" s="7" t="s">
        <v>231</v>
      </c>
      <c r="B97" s="9" t="s">
        <v>343</v>
      </c>
      <c r="C97" s="195">
        <v>1</v>
      </c>
      <c r="D97" s="46">
        <v>46146</v>
      </c>
      <c r="E97" s="46">
        <v>46157</v>
      </c>
      <c r="F97" s="389" t="s">
        <v>219</v>
      </c>
      <c r="G97" s="34" t="s">
        <v>219</v>
      </c>
      <c r="H97" s="388">
        <v>0</v>
      </c>
      <c r="I97" s="229">
        <v>46198</v>
      </c>
      <c r="J97" s="229">
        <v>46211</v>
      </c>
      <c r="K97" s="230" t="s">
        <v>40</v>
      </c>
      <c r="L97" s="212" t="s">
        <v>302</v>
      </c>
      <c r="M97" s="231">
        <v>0</v>
      </c>
      <c r="N97" s="47">
        <v>46198</v>
      </c>
      <c r="O97" s="47">
        <v>46211</v>
      </c>
      <c r="P97" s="214" t="s">
        <v>40</v>
      </c>
      <c r="Q97" s="197" t="s">
        <v>302</v>
      </c>
      <c r="R97" s="215">
        <v>0</v>
      </c>
      <c r="S97" s="216">
        <v>46209</v>
      </c>
      <c r="T97" s="216">
        <v>46218</v>
      </c>
      <c r="U97" s="217" t="s">
        <v>40</v>
      </c>
      <c r="V97" s="201" t="s">
        <v>302</v>
      </c>
      <c r="W97" s="219">
        <v>0</v>
      </c>
      <c r="X97" s="220">
        <v>46218</v>
      </c>
      <c r="Y97" s="220">
        <v>46222</v>
      </c>
      <c r="Z97" s="221" t="s">
        <v>40</v>
      </c>
      <c r="AA97" s="88" t="s">
        <v>234</v>
      </c>
      <c r="AB97" s="222">
        <v>0</v>
      </c>
      <c r="AC97" s="223">
        <v>46233</v>
      </c>
      <c r="AD97" s="223">
        <v>46242</v>
      </c>
      <c r="AE97" s="233" t="s">
        <v>40</v>
      </c>
      <c r="AF97" s="206" t="s">
        <v>234</v>
      </c>
      <c r="AG97" s="225">
        <v>0</v>
      </c>
      <c r="AH97" s="226">
        <v>46243</v>
      </c>
      <c r="AI97" s="226">
        <v>46250</v>
      </c>
      <c r="AJ97" s="227" t="s">
        <v>34</v>
      </c>
      <c r="AK97" s="228" t="s">
        <v>190</v>
      </c>
      <c r="AL97" s="228">
        <v>1</v>
      </c>
      <c r="AM97" s="229">
        <v>46337</v>
      </c>
      <c r="AN97" s="229">
        <v>46343</v>
      </c>
      <c r="AO97" s="230" t="s">
        <v>40</v>
      </c>
      <c r="AP97" s="231">
        <v>0</v>
      </c>
    </row>
    <row r="98" spans="1:42" ht="15">
      <c r="A98" s="7" t="s">
        <v>231</v>
      </c>
      <c r="B98" s="9" t="s">
        <v>344</v>
      </c>
      <c r="C98" s="195">
        <v>1</v>
      </c>
      <c r="D98" s="46">
        <v>46146</v>
      </c>
      <c r="E98" s="46">
        <v>46157</v>
      </c>
      <c r="F98" s="389" t="s">
        <v>219</v>
      </c>
      <c r="G98" s="34" t="s">
        <v>219</v>
      </c>
      <c r="H98" s="388">
        <v>0</v>
      </c>
      <c r="I98" s="229">
        <v>46198</v>
      </c>
      <c r="J98" s="229">
        <v>46211</v>
      </c>
      <c r="K98" s="230" t="s">
        <v>40</v>
      </c>
      <c r="L98" s="212" t="s">
        <v>302</v>
      </c>
      <c r="M98" s="231">
        <v>0</v>
      </c>
      <c r="N98" s="47">
        <v>46198</v>
      </c>
      <c r="O98" s="47">
        <v>46211</v>
      </c>
      <c r="P98" s="214" t="s">
        <v>40</v>
      </c>
      <c r="Q98" s="197" t="s">
        <v>302</v>
      </c>
      <c r="R98" s="215">
        <v>0</v>
      </c>
      <c r="S98" s="216">
        <v>46209</v>
      </c>
      <c r="T98" s="216">
        <v>46218</v>
      </c>
      <c r="U98" s="217" t="s">
        <v>40</v>
      </c>
      <c r="V98" s="201" t="s">
        <v>302</v>
      </c>
      <c r="W98" s="219">
        <v>0</v>
      </c>
      <c r="X98" s="220">
        <v>46218</v>
      </c>
      <c r="Y98" s="220">
        <v>46222</v>
      </c>
      <c r="Z98" s="221" t="s">
        <v>40</v>
      </c>
      <c r="AA98" s="88" t="s">
        <v>234</v>
      </c>
      <c r="AB98" s="222">
        <v>0</v>
      </c>
      <c r="AC98" s="223">
        <v>46233</v>
      </c>
      <c r="AD98" s="223">
        <v>46242</v>
      </c>
      <c r="AE98" s="233" t="s">
        <v>40</v>
      </c>
      <c r="AF98" s="206" t="s">
        <v>234</v>
      </c>
      <c r="AG98" s="225">
        <v>0</v>
      </c>
      <c r="AH98" s="226">
        <v>46243</v>
      </c>
      <c r="AI98" s="226">
        <v>46250</v>
      </c>
      <c r="AJ98" s="227" t="s">
        <v>34</v>
      </c>
      <c r="AK98" s="228" t="s">
        <v>190</v>
      </c>
      <c r="AL98" s="228">
        <v>1</v>
      </c>
      <c r="AM98" s="229">
        <v>46337</v>
      </c>
      <c r="AN98" s="229">
        <v>46343</v>
      </c>
      <c r="AO98" s="230" t="s">
        <v>40</v>
      </c>
      <c r="AP98" s="231">
        <v>0</v>
      </c>
    </row>
    <row r="99" spans="1:42" ht="15">
      <c r="A99" s="7" t="s">
        <v>231</v>
      </c>
      <c r="B99" s="9" t="s">
        <v>345</v>
      </c>
      <c r="C99" s="195">
        <v>1</v>
      </c>
      <c r="D99" s="46">
        <v>46146</v>
      </c>
      <c r="E99" s="46">
        <v>46157</v>
      </c>
      <c r="F99" s="389" t="s">
        <v>219</v>
      </c>
      <c r="G99" s="34" t="s">
        <v>219</v>
      </c>
      <c r="H99" s="388">
        <v>0</v>
      </c>
      <c r="I99" s="229">
        <v>46198</v>
      </c>
      <c r="J99" s="229">
        <v>46211</v>
      </c>
      <c r="K99" s="230" t="s">
        <v>40</v>
      </c>
      <c r="L99" s="212" t="s">
        <v>302</v>
      </c>
      <c r="M99" s="231">
        <v>0</v>
      </c>
      <c r="N99" s="47">
        <v>46198</v>
      </c>
      <c r="O99" s="47">
        <v>46211</v>
      </c>
      <c r="P99" s="214" t="s">
        <v>40</v>
      </c>
      <c r="Q99" s="197" t="s">
        <v>302</v>
      </c>
      <c r="R99" s="215">
        <v>0</v>
      </c>
      <c r="S99" s="216">
        <v>46209</v>
      </c>
      <c r="T99" s="216">
        <v>46218</v>
      </c>
      <c r="U99" s="217" t="s">
        <v>40</v>
      </c>
      <c r="V99" s="201" t="s">
        <v>302</v>
      </c>
      <c r="W99" s="219">
        <v>0</v>
      </c>
      <c r="X99" s="220">
        <v>46218</v>
      </c>
      <c r="Y99" s="220">
        <v>46222</v>
      </c>
      <c r="Z99" s="221" t="s">
        <v>40</v>
      </c>
      <c r="AA99" s="88" t="s">
        <v>234</v>
      </c>
      <c r="AB99" s="222">
        <v>0</v>
      </c>
      <c r="AC99" s="223">
        <v>46233</v>
      </c>
      <c r="AD99" s="223">
        <v>46242</v>
      </c>
      <c r="AE99" s="233" t="s">
        <v>40</v>
      </c>
      <c r="AF99" s="206" t="s">
        <v>234</v>
      </c>
      <c r="AG99" s="225">
        <v>0</v>
      </c>
      <c r="AH99" s="226">
        <v>46243</v>
      </c>
      <c r="AI99" s="226">
        <v>46250</v>
      </c>
      <c r="AJ99" s="227" t="s">
        <v>34</v>
      </c>
      <c r="AK99" s="228" t="s">
        <v>190</v>
      </c>
      <c r="AL99" s="228">
        <v>1</v>
      </c>
      <c r="AM99" s="229">
        <v>46337</v>
      </c>
      <c r="AN99" s="229">
        <v>46343</v>
      </c>
      <c r="AO99" s="230" t="s">
        <v>40</v>
      </c>
      <c r="AP99" s="231">
        <v>0</v>
      </c>
    </row>
    <row r="100" spans="1:42" ht="15">
      <c r="A100" s="7" t="s">
        <v>231</v>
      </c>
      <c r="B100" s="9" t="s">
        <v>346</v>
      </c>
      <c r="C100" s="195">
        <v>1</v>
      </c>
      <c r="D100" s="46">
        <v>46146</v>
      </c>
      <c r="E100" s="46">
        <v>46157</v>
      </c>
      <c r="F100" s="389" t="s">
        <v>219</v>
      </c>
      <c r="G100" s="34" t="s">
        <v>219</v>
      </c>
      <c r="H100" s="388">
        <v>0</v>
      </c>
      <c r="I100" s="229">
        <v>46198</v>
      </c>
      <c r="J100" s="229">
        <v>46211</v>
      </c>
      <c r="K100" s="230" t="s">
        <v>40</v>
      </c>
      <c r="L100" s="212" t="s">
        <v>302</v>
      </c>
      <c r="M100" s="231">
        <v>0</v>
      </c>
      <c r="N100" s="47">
        <v>46198</v>
      </c>
      <c r="O100" s="47">
        <v>46211</v>
      </c>
      <c r="P100" s="214" t="s">
        <v>40</v>
      </c>
      <c r="Q100" s="197" t="s">
        <v>302</v>
      </c>
      <c r="R100" s="215">
        <v>0</v>
      </c>
      <c r="S100" s="216">
        <v>46209</v>
      </c>
      <c r="T100" s="216">
        <v>46218</v>
      </c>
      <c r="U100" s="217" t="s">
        <v>40</v>
      </c>
      <c r="V100" s="201" t="s">
        <v>302</v>
      </c>
      <c r="W100" s="219">
        <v>0</v>
      </c>
      <c r="X100" s="220">
        <v>46218</v>
      </c>
      <c r="Y100" s="220">
        <v>46222</v>
      </c>
      <c r="Z100" s="221" t="s">
        <v>40</v>
      </c>
      <c r="AA100" s="88" t="s">
        <v>234</v>
      </c>
      <c r="AB100" s="222">
        <v>0</v>
      </c>
      <c r="AC100" s="223">
        <v>46233</v>
      </c>
      <c r="AD100" s="223">
        <v>46242</v>
      </c>
      <c r="AE100" s="233" t="s">
        <v>40</v>
      </c>
      <c r="AF100" s="206" t="s">
        <v>234</v>
      </c>
      <c r="AG100" s="225">
        <v>0</v>
      </c>
      <c r="AH100" s="226">
        <v>46243</v>
      </c>
      <c r="AI100" s="226">
        <v>46250</v>
      </c>
      <c r="AJ100" s="227" t="s">
        <v>34</v>
      </c>
      <c r="AK100" s="228" t="s">
        <v>190</v>
      </c>
      <c r="AL100" s="228">
        <v>1</v>
      </c>
      <c r="AM100" s="229">
        <v>46337</v>
      </c>
      <c r="AN100" s="229">
        <v>46343</v>
      </c>
      <c r="AO100" s="230" t="s">
        <v>40</v>
      </c>
      <c r="AP100" s="231">
        <v>0</v>
      </c>
    </row>
    <row r="101" spans="1:42" ht="15">
      <c r="A101" s="7" t="s">
        <v>231</v>
      </c>
      <c r="B101" s="9" t="s">
        <v>347</v>
      </c>
      <c r="C101" s="195">
        <v>1</v>
      </c>
      <c r="D101" s="46">
        <v>46146</v>
      </c>
      <c r="E101" s="46">
        <v>46157</v>
      </c>
      <c r="F101" s="389" t="s">
        <v>219</v>
      </c>
      <c r="G101" s="34" t="s">
        <v>219</v>
      </c>
      <c r="H101" s="388">
        <v>0</v>
      </c>
      <c r="I101" s="229">
        <v>46198</v>
      </c>
      <c r="J101" s="229">
        <v>46211</v>
      </c>
      <c r="K101" s="230" t="s">
        <v>40</v>
      </c>
      <c r="L101" s="212" t="s">
        <v>302</v>
      </c>
      <c r="M101" s="231">
        <v>0</v>
      </c>
      <c r="N101" s="47">
        <v>46198</v>
      </c>
      <c r="O101" s="47">
        <v>46211</v>
      </c>
      <c r="P101" s="214" t="s">
        <v>40</v>
      </c>
      <c r="Q101" s="197" t="s">
        <v>302</v>
      </c>
      <c r="R101" s="215">
        <v>0</v>
      </c>
      <c r="S101" s="216">
        <v>46209</v>
      </c>
      <c r="T101" s="216">
        <v>46218</v>
      </c>
      <c r="U101" s="217" t="s">
        <v>40</v>
      </c>
      <c r="V101" s="201" t="s">
        <v>302</v>
      </c>
      <c r="W101" s="219">
        <v>0</v>
      </c>
      <c r="X101" s="220">
        <v>46218</v>
      </c>
      <c r="Y101" s="220">
        <v>46222</v>
      </c>
      <c r="Z101" s="221" t="s">
        <v>40</v>
      </c>
      <c r="AA101" s="88" t="s">
        <v>234</v>
      </c>
      <c r="AB101" s="222">
        <v>0</v>
      </c>
      <c r="AC101" s="223">
        <v>46233</v>
      </c>
      <c r="AD101" s="223">
        <v>46242</v>
      </c>
      <c r="AE101" s="233" t="s">
        <v>40</v>
      </c>
      <c r="AF101" s="206" t="s">
        <v>234</v>
      </c>
      <c r="AG101" s="225">
        <v>0</v>
      </c>
      <c r="AH101" s="226">
        <v>46243</v>
      </c>
      <c r="AI101" s="226">
        <v>46250</v>
      </c>
      <c r="AJ101" s="227" t="s">
        <v>34</v>
      </c>
      <c r="AK101" s="228" t="s">
        <v>190</v>
      </c>
      <c r="AL101" s="228">
        <v>1</v>
      </c>
      <c r="AM101" s="229">
        <v>46337</v>
      </c>
      <c r="AN101" s="229">
        <v>46343</v>
      </c>
      <c r="AO101" s="230" t="s">
        <v>40</v>
      </c>
      <c r="AP101" s="231">
        <v>0</v>
      </c>
    </row>
    <row r="102" spans="1:42" ht="15">
      <c r="A102" s="7" t="s">
        <v>231</v>
      </c>
      <c r="B102" s="9" t="s">
        <v>348</v>
      </c>
      <c r="C102" s="195">
        <v>1</v>
      </c>
      <c r="D102" s="46">
        <v>46146</v>
      </c>
      <c r="E102" s="46">
        <v>46157</v>
      </c>
      <c r="F102" s="389" t="s">
        <v>219</v>
      </c>
      <c r="G102" s="34" t="s">
        <v>219</v>
      </c>
      <c r="H102" s="388">
        <v>0</v>
      </c>
      <c r="I102" s="229">
        <v>46198</v>
      </c>
      <c r="J102" s="229">
        <v>46211</v>
      </c>
      <c r="K102" s="230" t="s">
        <v>40</v>
      </c>
      <c r="L102" s="212" t="s">
        <v>302</v>
      </c>
      <c r="M102" s="231">
        <v>0</v>
      </c>
      <c r="N102" s="47">
        <v>46198</v>
      </c>
      <c r="O102" s="47">
        <v>46211</v>
      </c>
      <c r="P102" s="214" t="s">
        <v>40</v>
      </c>
      <c r="Q102" s="197" t="s">
        <v>302</v>
      </c>
      <c r="R102" s="215">
        <v>0</v>
      </c>
      <c r="S102" s="216">
        <v>46209</v>
      </c>
      <c r="T102" s="216">
        <v>46218</v>
      </c>
      <c r="U102" s="217" t="s">
        <v>40</v>
      </c>
      <c r="V102" s="201" t="s">
        <v>302</v>
      </c>
      <c r="W102" s="219">
        <v>0</v>
      </c>
      <c r="X102" s="220">
        <v>46218</v>
      </c>
      <c r="Y102" s="220">
        <v>46222</v>
      </c>
      <c r="Z102" s="221" t="s">
        <v>40</v>
      </c>
      <c r="AA102" s="88" t="s">
        <v>234</v>
      </c>
      <c r="AB102" s="222">
        <v>0</v>
      </c>
      <c r="AC102" s="223">
        <v>46233</v>
      </c>
      <c r="AD102" s="223">
        <v>46242</v>
      </c>
      <c r="AE102" s="233" t="s">
        <v>40</v>
      </c>
      <c r="AF102" s="206" t="s">
        <v>234</v>
      </c>
      <c r="AG102" s="225">
        <v>0</v>
      </c>
      <c r="AH102" s="226">
        <v>46243</v>
      </c>
      <c r="AI102" s="226">
        <v>46250</v>
      </c>
      <c r="AJ102" s="227" t="s">
        <v>34</v>
      </c>
      <c r="AK102" s="228" t="s">
        <v>190</v>
      </c>
      <c r="AL102" s="228">
        <v>1</v>
      </c>
      <c r="AM102" s="229">
        <v>46337</v>
      </c>
      <c r="AN102" s="229">
        <v>46343</v>
      </c>
      <c r="AO102" s="230" t="s">
        <v>40</v>
      </c>
      <c r="AP102" s="231">
        <v>0</v>
      </c>
    </row>
    <row r="103" spans="1:42" ht="15">
      <c r="A103" s="7" t="s">
        <v>231</v>
      </c>
      <c r="B103" s="9" t="s">
        <v>349</v>
      </c>
      <c r="C103" s="195">
        <v>1</v>
      </c>
      <c r="D103" s="46">
        <v>46146</v>
      </c>
      <c r="E103" s="46">
        <v>46157</v>
      </c>
      <c r="F103" s="389" t="s">
        <v>219</v>
      </c>
      <c r="G103" s="34" t="s">
        <v>219</v>
      </c>
      <c r="H103" s="388">
        <v>0</v>
      </c>
      <c r="I103" s="229">
        <v>46198</v>
      </c>
      <c r="J103" s="229">
        <v>46211</v>
      </c>
      <c r="K103" s="230" t="s">
        <v>40</v>
      </c>
      <c r="L103" s="212" t="s">
        <v>302</v>
      </c>
      <c r="M103" s="231">
        <v>0</v>
      </c>
      <c r="N103" s="47">
        <v>46198</v>
      </c>
      <c r="O103" s="47">
        <v>46211</v>
      </c>
      <c r="P103" s="214" t="s">
        <v>40</v>
      </c>
      <c r="Q103" s="197" t="s">
        <v>302</v>
      </c>
      <c r="R103" s="215">
        <v>0</v>
      </c>
      <c r="S103" s="216">
        <v>46209</v>
      </c>
      <c r="T103" s="216">
        <v>46218</v>
      </c>
      <c r="U103" s="217" t="s">
        <v>40</v>
      </c>
      <c r="V103" s="201" t="s">
        <v>302</v>
      </c>
      <c r="W103" s="219">
        <v>0</v>
      </c>
      <c r="X103" s="220">
        <v>46218</v>
      </c>
      <c r="Y103" s="220">
        <v>46222</v>
      </c>
      <c r="Z103" s="221" t="s">
        <v>40</v>
      </c>
      <c r="AA103" s="88" t="s">
        <v>234</v>
      </c>
      <c r="AB103" s="222">
        <v>0</v>
      </c>
      <c r="AC103" s="223">
        <v>46233</v>
      </c>
      <c r="AD103" s="223">
        <v>46242</v>
      </c>
      <c r="AE103" s="233" t="s">
        <v>40</v>
      </c>
      <c r="AF103" s="206" t="s">
        <v>234</v>
      </c>
      <c r="AG103" s="225">
        <v>0</v>
      </c>
      <c r="AH103" s="226">
        <v>46243</v>
      </c>
      <c r="AI103" s="226">
        <v>46250</v>
      </c>
      <c r="AJ103" s="227" t="s">
        <v>34</v>
      </c>
      <c r="AK103" s="228" t="s">
        <v>190</v>
      </c>
      <c r="AL103" s="228">
        <v>1</v>
      </c>
      <c r="AM103" s="229">
        <v>46337</v>
      </c>
      <c r="AN103" s="229">
        <v>46343</v>
      </c>
      <c r="AO103" s="230" t="s">
        <v>40</v>
      </c>
      <c r="AP103" s="231">
        <v>0</v>
      </c>
    </row>
    <row r="104" spans="1:42" ht="15">
      <c r="A104" s="7" t="s">
        <v>231</v>
      </c>
      <c r="B104" s="9" t="s">
        <v>350</v>
      </c>
      <c r="C104" s="195">
        <v>1</v>
      </c>
      <c r="D104" s="46">
        <v>46146</v>
      </c>
      <c r="E104" s="46">
        <v>46157</v>
      </c>
      <c r="F104" s="389" t="s">
        <v>219</v>
      </c>
      <c r="G104" s="34" t="s">
        <v>219</v>
      </c>
      <c r="H104" s="388">
        <v>0</v>
      </c>
      <c r="I104" s="229">
        <v>46198</v>
      </c>
      <c r="J104" s="229">
        <v>46211</v>
      </c>
      <c r="K104" s="230" t="s">
        <v>40</v>
      </c>
      <c r="L104" s="212" t="s">
        <v>302</v>
      </c>
      <c r="M104" s="231">
        <v>0</v>
      </c>
      <c r="N104" s="47">
        <v>46198</v>
      </c>
      <c r="O104" s="47">
        <v>46211</v>
      </c>
      <c r="P104" s="214" t="s">
        <v>40</v>
      </c>
      <c r="Q104" s="197" t="s">
        <v>302</v>
      </c>
      <c r="R104" s="215">
        <v>0</v>
      </c>
      <c r="S104" s="216">
        <v>46209</v>
      </c>
      <c r="T104" s="216">
        <v>46218</v>
      </c>
      <c r="U104" s="217" t="s">
        <v>40</v>
      </c>
      <c r="V104" s="201" t="s">
        <v>302</v>
      </c>
      <c r="W104" s="219">
        <v>0</v>
      </c>
      <c r="X104" s="220">
        <v>46218</v>
      </c>
      <c r="Y104" s="220">
        <v>46222</v>
      </c>
      <c r="Z104" s="221" t="s">
        <v>40</v>
      </c>
      <c r="AA104" s="88" t="s">
        <v>234</v>
      </c>
      <c r="AB104" s="222">
        <v>0</v>
      </c>
      <c r="AC104" s="223">
        <v>46233</v>
      </c>
      <c r="AD104" s="223">
        <v>46242</v>
      </c>
      <c r="AE104" s="233" t="s">
        <v>40</v>
      </c>
      <c r="AF104" s="206" t="s">
        <v>234</v>
      </c>
      <c r="AG104" s="225">
        <v>0</v>
      </c>
      <c r="AH104" s="226">
        <v>46243</v>
      </c>
      <c r="AI104" s="226">
        <v>46250</v>
      </c>
      <c r="AJ104" s="227" t="s">
        <v>34</v>
      </c>
      <c r="AK104" s="228" t="s">
        <v>190</v>
      </c>
      <c r="AL104" s="228">
        <v>1</v>
      </c>
      <c r="AM104" s="229">
        <v>46337</v>
      </c>
      <c r="AN104" s="229">
        <v>46343</v>
      </c>
      <c r="AO104" s="230" t="s">
        <v>40</v>
      </c>
      <c r="AP104" s="231">
        <v>0</v>
      </c>
    </row>
    <row r="105" spans="1:42" ht="15">
      <c r="A105" s="7" t="s">
        <v>231</v>
      </c>
      <c r="B105" s="9" t="s">
        <v>351</v>
      </c>
      <c r="C105" s="195">
        <v>1</v>
      </c>
      <c r="D105" s="46">
        <v>46146</v>
      </c>
      <c r="E105" s="46">
        <v>46157</v>
      </c>
      <c r="F105" s="389" t="s">
        <v>219</v>
      </c>
      <c r="G105" s="34" t="s">
        <v>219</v>
      </c>
      <c r="H105" s="388">
        <v>0</v>
      </c>
      <c r="I105" s="229">
        <v>46198</v>
      </c>
      <c r="J105" s="229">
        <v>46211</v>
      </c>
      <c r="K105" s="230" t="s">
        <v>40</v>
      </c>
      <c r="L105" s="212" t="s">
        <v>302</v>
      </c>
      <c r="M105" s="231">
        <v>0</v>
      </c>
      <c r="N105" s="47">
        <v>46198</v>
      </c>
      <c r="O105" s="47">
        <v>46211</v>
      </c>
      <c r="P105" s="214" t="s">
        <v>40</v>
      </c>
      <c r="Q105" s="197" t="s">
        <v>302</v>
      </c>
      <c r="R105" s="215">
        <v>0</v>
      </c>
      <c r="S105" s="216">
        <v>46209</v>
      </c>
      <c r="T105" s="216">
        <v>46218</v>
      </c>
      <c r="U105" s="217" t="s">
        <v>40</v>
      </c>
      <c r="V105" s="201" t="s">
        <v>302</v>
      </c>
      <c r="W105" s="219">
        <v>0</v>
      </c>
      <c r="X105" s="220">
        <v>46218</v>
      </c>
      <c r="Y105" s="220">
        <v>46222</v>
      </c>
      <c r="Z105" s="221" t="s">
        <v>40</v>
      </c>
      <c r="AA105" s="88" t="s">
        <v>234</v>
      </c>
      <c r="AB105" s="222">
        <v>0</v>
      </c>
      <c r="AC105" s="223">
        <v>46233</v>
      </c>
      <c r="AD105" s="223">
        <v>46242</v>
      </c>
      <c r="AE105" s="233" t="s">
        <v>40</v>
      </c>
      <c r="AF105" s="206" t="s">
        <v>234</v>
      </c>
      <c r="AG105" s="225">
        <v>0</v>
      </c>
      <c r="AH105" s="226">
        <v>46243</v>
      </c>
      <c r="AI105" s="226">
        <v>46250</v>
      </c>
      <c r="AJ105" s="227" t="s">
        <v>34</v>
      </c>
      <c r="AK105" s="228" t="s">
        <v>190</v>
      </c>
      <c r="AL105" s="228">
        <v>1</v>
      </c>
      <c r="AM105" s="229">
        <v>46337</v>
      </c>
      <c r="AN105" s="229">
        <v>46343</v>
      </c>
      <c r="AO105" s="230" t="s">
        <v>40</v>
      </c>
      <c r="AP105" s="231">
        <v>0</v>
      </c>
    </row>
    <row r="106" spans="1:42" ht="15">
      <c r="A106" s="7" t="s">
        <v>231</v>
      </c>
      <c r="B106" s="9" t="s">
        <v>352</v>
      </c>
      <c r="C106" s="195">
        <v>1</v>
      </c>
      <c r="D106" s="46">
        <v>46146</v>
      </c>
      <c r="E106" s="46">
        <v>46157</v>
      </c>
      <c r="F106" s="389" t="s">
        <v>219</v>
      </c>
      <c r="G106" s="34" t="s">
        <v>219</v>
      </c>
      <c r="H106" s="388">
        <v>0</v>
      </c>
      <c r="I106" s="229">
        <v>46198</v>
      </c>
      <c r="J106" s="229">
        <v>46211</v>
      </c>
      <c r="K106" s="230" t="s">
        <v>40</v>
      </c>
      <c r="L106" s="212" t="s">
        <v>302</v>
      </c>
      <c r="M106" s="231">
        <v>0</v>
      </c>
      <c r="N106" s="47">
        <v>46198</v>
      </c>
      <c r="O106" s="47">
        <v>46211</v>
      </c>
      <c r="P106" s="214" t="s">
        <v>40</v>
      </c>
      <c r="Q106" s="197" t="s">
        <v>302</v>
      </c>
      <c r="R106" s="215">
        <v>0</v>
      </c>
      <c r="S106" s="216">
        <v>46209</v>
      </c>
      <c r="T106" s="216">
        <v>46218</v>
      </c>
      <c r="U106" s="217" t="s">
        <v>40</v>
      </c>
      <c r="V106" s="201" t="s">
        <v>302</v>
      </c>
      <c r="W106" s="219">
        <v>0</v>
      </c>
      <c r="X106" s="220">
        <v>46218</v>
      </c>
      <c r="Y106" s="220">
        <v>46222</v>
      </c>
      <c r="Z106" s="221" t="s">
        <v>40</v>
      </c>
      <c r="AA106" s="88" t="s">
        <v>234</v>
      </c>
      <c r="AB106" s="222">
        <v>0</v>
      </c>
      <c r="AC106" s="223">
        <v>46233</v>
      </c>
      <c r="AD106" s="223">
        <v>46242</v>
      </c>
      <c r="AE106" s="233" t="s">
        <v>40</v>
      </c>
      <c r="AF106" s="206" t="s">
        <v>234</v>
      </c>
      <c r="AG106" s="225">
        <v>0</v>
      </c>
      <c r="AH106" s="226">
        <v>46243</v>
      </c>
      <c r="AI106" s="226">
        <v>46250</v>
      </c>
      <c r="AJ106" s="227" t="s">
        <v>34</v>
      </c>
      <c r="AK106" s="228" t="s">
        <v>190</v>
      </c>
      <c r="AL106" s="228">
        <v>1</v>
      </c>
      <c r="AM106" s="229">
        <v>46337</v>
      </c>
      <c r="AN106" s="229">
        <v>46343</v>
      </c>
      <c r="AO106" s="230" t="s">
        <v>40</v>
      </c>
      <c r="AP106" s="231">
        <v>0</v>
      </c>
    </row>
    <row r="107" spans="1:42" ht="15">
      <c r="A107" s="7" t="s">
        <v>231</v>
      </c>
      <c r="B107" s="9" t="s">
        <v>353</v>
      </c>
      <c r="C107" s="195">
        <v>1</v>
      </c>
      <c r="D107" s="46">
        <v>46146</v>
      </c>
      <c r="E107" s="46">
        <v>46157</v>
      </c>
      <c r="F107" s="389" t="s">
        <v>219</v>
      </c>
      <c r="G107" s="34" t="s">
        <v>219</v>
      </c>
      <c r="H107" s="388">
        <v>0</v>
      </c>
      <c r="I107" s="229">
        <v>46198</v>
      </c>
      <c r="J107" s="229">
        <v>46211</v>
      </c>
      <c r="K107" s="230" t="s">
        <v>40</v>
      </c>
      <c r="L107" s="212" t="s">
        <v>302</v>
      </c>
      <c r="M107" s="231">
        <v>0</v>
      </c>
      <c r="N107" s="47">
        <v>46198</v>
      </c>
      <c r="O107" s="47">
        <v>46211</v>
      </c>
      <c r="P107" s="214" t="s">
        <v>40</v>
      </c>
      <c r="Q107" s="197" t="s">
        <v>302</v>
      </c>
      <c r="R107" s="215">
        <v>0</v>
      </c>
      <c r="S107" s="216">
        <v>46209</v>
      </c>
      <c r="T107" s="216">
        <v>46218</v>
      </c>
      <c r="U107" s="217" t="s">
        <v>40</v>
      </c>
      <c r="V107" s="201" t="s">
        <v>302</v>
      </c>
      <c r="W107" s="219">
        <v>0</v>
      </c>
      <c r="X107" s="220">
        <v>46218</v>
      </c>
      <c r="Y107" s="220">
        <v>46222</v>
      </c>
      <c r="Z107" s="221" t="s">
        <v>40</v>
      </c>
      <c r="AA107" s="88" t="s">
        <v>234</v>
      </c>
      <c r="AB107" s="222">
        <v>0</v>
      </c>
      <c r="AC107" s="223">
        <v>46233</v>
      </c>
      <c r="AD107" s="223">
        <v>46242</v>
      </c>
      <c r="AE107" s="233" t="s">
        <v>40</v>
      </c>
      <c r="AF107" s="206" t="s">
        <v>234</v>
      </c>
      <c r="AG107" s="225">
        <v>0</v>
      </c>
      <c r="AH107" s="226">
        <v>46243</v>
      </c>
      <c r="AI107" s="226">
        <v>46250</v>
      </c>
      <c r="AJ107" s="227" t="s">
        <v>34</v>
      </c>
      <c r="AK107" s="228" t="s">
        <v>190</v>
      </c>
      <c r="AL107" s="228">
        <v>1</v>
      </c>
      <c r="AM107" s="229">
        <v>46337</v>
      </c>
      <c r="AN107" s="229">
        <v>46343</v>
      </c>
      <c r="AO107" s="230" t="s">
        <v>40</v>
      </c>
      <c r="AP107" s="231">
        <v>0</v>
      </c>
    </row>
    <row r="108" spans="1:42" ht="15">
      <c r="A108" s="7" t="s">
        <v>231</v>
      </c>
      <c r="B108" s="9" t="s">
        <v>354</v>
      </c>
      <c r="C108" s="195">
        <v>1</v>
      </c>
      <c r="D108" s="46">
        <v>46146</v>
      </c>
      <c r="E108" s="46">
        <v>46157</v>
      </c>
      <c r="F108" s="389" t="s">
        <v>219</v>
      </c>
      <c r="G108" s="34" t="s">
        <v>219</v>
      </c>
      <c r="H108" s="388">
        <v>0</v>
      </c>
      <c r="I108" s="229">
        <v>46198</v>
      </c>
      <c r="J108" s="229">
        <v>46211</v>
      </c>
      <c r="K108" s="230" t="s">
        <v>40</v>
      </c>
      <c r="L108" s="212" t="s">
        <v>302</v>
      </c>
      <c r="M108" s="231">
        <v>0</v>
      </c>
      <c r="N108" s="47">
        <v>46198</v>
      </c>
      <c r="O108" s="47">
        <v>46211</v>
      </c>
      <c r="P108" s="214" t="s">
        <v>40</v>
      </c>
      <c r="Q108" s="197" t="s">
        <v>302</v>
      </c>
      <c r="R108" s="215">
        <v>0</v>
      </c>
      <c r="S108" s="216">
        <v>46209</v>
      </c>
      <c r="T108" s="216">
        <v>46218</v>
      </c>
      <c r="U108" s="217" t="s">
        <v>40</v>
      </c>
      <c r="V108" s="201" t="s">
        <v>302</v>
      </c>
      <c r="W108" s="219">
        <v>0</v>
      </c>
      <c r="X108" s="220">
        <v>46218</v>
      </c>
      <c r="Y108" s="220">
        <v>46222</v>
      </c>
      <c r="Z108" s="221" t="s">
        <v>40</v>
      </c>
      <c r="AA108" s="88" t="s">
        <v>234</v>
      </c>
      <c r="AB108" s="222">
        <v>0</v>
      </c>
      <c r="AC108" s="223">
        <v>46233</v>
      </c>
      <c r="AD108" s="223">
        <v>46242</v>
      </c>
      <c r="AE108" s="233" t="s">
        <v>40</v>
      </c>
      <c r="AF108" s="206" t="s">
        <v>234</v>
      </c>
      <c r="AG108" s="225">
        <v>0</v>
      </c>
      <c r="AH108" s="226">
        <v>46243</v>
      </c>
      <c r="AI108" s="226">
        <v>46250</v>
      </c>
      <c r="AJ108" s="227" t="s">
        <v>34</v>
      </c>
      <c r="AK108" s="228" t="s">
        <v>190</v>
      </c>
      <c r="AL108" s="228">
        <v>1</v>
      </c>
      <c r="AM108" s="229">
        <v>46337</v>
      </c>
      <c r="AN108" s="229">
        <v>46343</v>
      </c>
      <c r="AO108" s="230" t="s">
        <v>40</v>
      </c>
      <c r="AP108" s="231">
        <v>0</v>
      </c>
    </row>
    <row r="109" spans="1:42" ht="15">
      <c r="A109" s="7" t="s">
        <v>231</v>
      </c>
      <c r="B109" s="9" t="s">
        <v>355</v>
      </c>
      <c r="C109" s="195">
        <v>1</v>
      </c>
      <c r="D109" s="46">
        <v>46146</v>
      </c>
      <c r="E109" s="46">
        <v>46157</v>
      </c>
      <c r="F109" s="389" t="s">
        <v>219</v>
      </c>
      <c r="G109" s="34" t="s">
        <v>219</v>
      </c>
      <c r="H109" s="388">
        <v>0</v>
      </c>
      <c r="I109" s="229">
        <v>46198</v>
      </c>
      <c r="J109" s="229">
        <v>46211</v>
      </c>
      <c r="K109" s="230" t="s">
        <v>40</v>
      </c>
      <c r="L109" s="212" t="s">
        <v>302</v>
      </c>
      <c r="M109" s="231">
        <v>0</v>
      </c>
      <c r="N109" s="47">
        <v>46198</v>
      </c>
      <c r="O109" s="47">
        <v>46211</v>
      </c>
      <c r="P109" s="214" t="s">
        <v>40</v>
      </c>
      <c r="Q109" s="197" t="s">
        <v>302</v>
      </c>
      <c r="R109" s="215">
        <v>0</v>
      </c>
      <c r="S109" s="216">
        <v>46209</v>
      </c>
      <c r="T109" s="216">
        <v>46218</v>
      </c>
      <c r="U109" s="217" t="s">
        <v>40</v>
      </c>
      <c r="V109" s="201" t="s">
        <v>302</v>
      </c>
      <c r="W109" s="219">
        <v>0</v>
      </c>
      <c r="X109" s="220">
        <v>46218</v>
      </c>
      <c r="Y109" s="220">
        <v>46222</v>
      </c>
      <c r="Z109" s="221" t="s">
        <v>40</v>
      </c>
      <c r="AA109" s="88" t="s">
        <v>234</v>
      </c>
      <c r="AB109" s="222">
        <v>0</v>
      </c>
      <c r="AC109" s="223">
        <v>46233</v>
      </c>
      <c r="AD109" s="223">
        <v>46242</v>
      </c>
      <c r="AE109" s="233" t="s">
        <v>40</v>
      </c>
      <c r="AF109" s="206" t="s">
        <v>234</v>
      </c>
      <c r="AG109" s="225">
        <v>0</v>
      </c>
      <c r="AH109" s="226">
        <v>46243</v>
      </c>
      <c r="AI109" s="226">
        <v>46250</v>
      </c>
      <c r="AJ109" s="227" t="s">
        <v>34</v>
      </c>
      <c r="AK109" s="228" t="s">
        <v>190</v>
      </c>
      <c r="AL109" s="228">
        <v>1</v>
      </c>
      <c r="AM109" s="229">
        <v>46337</v>
      </c>
      <c r="AN109" s="229">
        <v>46343</v>
      </c>
      <c r="AO109" s="230" t="s">
        <v>40</v>
      </c>
      <c r="AP109" s="231">
        <v>0</v>
      </c>
    </row>
    <row r="110" spans="1:42" ht="15">
      <c r="A110" s="7" t="s">
        <v>231</v>
      </c>
      <c r="B110" s="9" t="s">
        <v>356</v>
      </c>
      <c r="C110" s="195">
        <v>1</v>
      </c>
      <c r="D110" s="46">
        <v>46146</v>
      </c>
      <c r="E110" s="46">
        <v>46157</v>
      </c>
      <c r="F110" s="389" t="s">
        <v>219</v>
      </c>
      <c r="G110" s="34" t="s">
        <v>219</v>
      </c>
      <c r="H110" s="388">
        <v>0</v>
      </c>
      <c r="I110" s="229">
        <v>46198</v>
      </c>
      <c r="J110" s="229">
        <v>46211</v>
      </c>
      <c r="K110" s="230" t="s">
        <v>40</v>
      </c>
      <c r="L110" s="212" t="s">
        <v>302</v>
      </c>
      <c r="M110" s="231">
        <v>0</v>
      </c>
      <c r="N110" s="47">
        <v>46198</v>
      </c>
      <c r="O110" s="47">
        <v>46211</v>
      </c>
      <c r="P110" s="214" t="s">
        <v>40</v>
      </c>
      <c r="Q110" s="197" t="s">
        <v>302</v>
      </c>
      <c r="R110" s="215">
        <v>0</v>
      </c>
      <c r="S110" s="216">
        <v>46209</v>
      </c>
      <c r="T110" s="216">
        <v>46218</v>
      </c>
      <c r="U110" s="217" t="s">
        <v>40</v>
      </c>
      <c r="V110" s="201" t="s">
        <v>302</v>
      </c>
      <c r="W110" s="219">
        <v>0</v>
      </c>
      <c r="X110" s="220">
        <v>46218</v>
      </c>
      <c r="Y110" s="220">
        <v>46222</v>
      </c>
      <c r="Z110" s="221" t="s">
        <v>40</v>
      </c>
      <c r="AA110" s="88" t="s">
        <v>234</v>
      </c>
      <c r="AB110" s="222">
        <v>0</v>
      </c>
      <c r="AC110" s="223">
        <v>46233</v>
      </c>
      <c r="AD110" s="223">
        <v>46242</v>
      </c>
      <c r="AE110" s="233" t="s">
        <v>40</v>
      </c>
      <c r="AF110" s="206" t="s">
        <v>234</v>
      </c>
      <c r="AG110" s="225">
        <v>0</v>
      </c>
      <c r="AH110" s="226">
        <v>46243</v>
      </c>
      <c r="AI110" s="226">
        <v>46250</v>
      </c>
      <c r="AJ110" s="227" t="s">
        <v>34</v>
      </c>
      <c r="AK110" s="228" t="s">
        <v>190</v>
      </c>
      <c r="AL110" s="228">
        <v>1</v>
      </c>
      <c r="AM110" s="229">
        <v>46337</v>
      </c>
      <c r="AN110" s="229">
        <v>46343</v>
      </c>
      <c r="AO110" s="230" t="s">
        <v>40</v>
      </c>
      <c r="AP110" s="231">
        <v>0</v>
      </c>
    </row>
    <row r="111" spans="1:42" ht="15">
      <c r="A111" s="7" t="s">
        <v>231</v>
      </c>
      <c r="B111" s="9" t="s">
        <v>357</v>
      </c>
      <c r="C111" s="195">
        <v>1</v>
      </c>
      <c r="D111" s="46">
        <v>46146</v>
      </c>
      <c r="E111" s="46">
        <v>46157</v>
      </c>
      <c r="F111" s="389" t="s">
        <v>34</v>
      </c>
      <c r="G111" s="34" t="s">
        <v>34</v>
      </c>
      <c r="H111" s="388">
        <v>0</v>
      </c>
      <c r="I111" s="229">
        <v>46198</v>
      </c>
      <c r="J111" s="229">
        <v>46211</v>
      </c>
      <c r="K111" s="230" t="s">
        <v>40</v>
      </c>
      <c r="L111" s="212" t="s">
        <v>302</v>
      </c>
      <c r="M111" s="231">
        <v>0</v>
      </c>
      <c r="N111" s="47">
        <v>46198</v>
      </c>
      <c r="O111" s="47">
        <v>46211</v>
      </c>
      <c r="P111" s="214" t="s">
        <v>40</v>
      </c>
      <c r="Q111" s="197" t="s">
        <v>302</v>
      </c>
      <c r="R111" s="215">
        <v>0</v>
      </c>
      <c r="S111" s="216">
        <v>46209</v>
      </c>
      <c r="T111" s="216">
        <v>46218</v>
      </c>
      <c r="U111" s="217" t="s">
        <v>40</v>
      </c>
      <c r="V111" s="201" t="s">
        <v>302</v>
      </c>
      <c r="W111" s="219">
        <v>0</v>
      </c>
      <c r="X111" s="220">
        <v>46218</v>
      </c>
      <c r="Y111" s="220">
        <v>46222</v>
      </c>
      <c r="Z111" s="221" t="s">
        <v>40</v>
      </c>
      <c r="AA111" s="88" t="s">
        <v>234</v>
      </c>
      <c r="AB111" s="222">
        <v>0</v>
      </c>
      <c r="AC111" s="223">
        <v>46233</v>
      </c>
      <c r="AD111" s="223">
        <v>46242</v>
      </c>
      <c r="AE111" s="233" t="s">
        <v>40</v>
      </c>
      <c r="AF111" s="206" t="s">
        <v>234</v>
      </c>
      <c r="AG111" s="225">
        <v>0</v>
      </c>
      <c r="AH111" s="226">
        <v>46243</v>
      </c>
      <c r="AI111" s="226">
        <v>46250</v>
      </c>
      <c r="AJ111" s="227" t="s">
        <v>34</v>
      </c>
      <c r="AK111" s="228" t="s">
        <v>190</v>
      </c>
      <c r="AL111" s="228">
        <v>1</v>
      </c>
      <c r="AM111" s="229">
        <v>46337</v>
      </c>
      <c r="AN111" s="229">
        <v>46343</v>
      </c>
      <c r="AO111" s="230" t="s">
        <v>40</v>
      </c>
      <c r="AP111" s="231">
        <v>0</v>
      </c>
    </row>
    <row r="112" spans="1:42" ht="15">
      <c r="A112" s="7" t="s">
        <v>231</v>
      </c>
      <c r="B112" s="9" t="s">
        <v>358</v>
      </c>
      <c r="C112" s="195">
        <v>1</v>
      </c>
      <c r="D112" s="46">
        <v>46146</v>
      </c>
      <c r="E112" s="46">
        <v>46157</v>
      </c>
      <c r="F112" s="389" t="s">
        <v>34</v>
      </c>
      <c r="G112" s="34" t="s">
        <v>34</v>
      </c>
      <c r="H112" s="388">
        <v>1</v>
      </c>
      <c r="I112" s="229">
        <v>46198</v>
      </c>
      <c r="J112" s="229">
        <v>46211</v>
      </c>
      <c r="K112" s="230" t="s">
        <v>232</v>
      </c>
      <c r="L112" s="212" t="s">
        <v>235</v>
      </c>
      <c r="M112" s="231">
        <v>1</v>
      </c>
      <c r="N112" s="47">
        <v>46198</v>
      </c>
      <c r="O112" s="47">
        <v>46211</v>
      </c>
      <c r="P112" s="214" t="s">
        <v>232</v>
      </c>
      <c r="Q112" s="197" t="s">
        <v>235</v>
      </c>
      <c r="R112" s="215">
        <v>0.8</v>
      </c>
      <c r="S112" s="216">
        <v>46209</v>
      </c>
      <c r="T112" s="216">
        <v>46218</v>
      </c>
      <c r="U112" s="236" t="s">
        <v>34</v>
      </c>
      <c r="V112" s="218" t="s">
        <v>34</v>
      </c>
      <c r="W112" s="219">
        <v>1</v>
      </c>
      <c r="X112" s="220">
        <v>46218</v>
      </c>
      <c r="Y112" s="220">
        <v>46222</v>
      </c>
      <c r="Z112" s="221" t="s">
        <v>40</v>
      </c>
      <c r="AA112" s="88" t="s">
        <v>214</v>
      </c>
      <c r="AB112" s="222">
        <v>0</v>
      </c>
      <c r="AC112" s="223">
        <v>46233</v>
      </c>
      <c r="AD112" s="223">
        <v>46242</v>
      </c>
      <c r="AE112" s="224" t="s">
        <v>34</v>
      </c>
      <c r="AF112" s="206" t="s">
        <v>34</v>
      </c>
      <c r="AG112" s="225">
        <v>1</v>
      </c>
      <c r="AH112" s="226">
        <v>46243</v>
      </c>
      <c r="AI112" s="226">
        <v>46250</v>
      </c>
      <c r="AJ112" s="227" t="s">
        <v>40</v>
      </c>
      <c r="AK112" s="209" t="s">
        <v>215</v>
      </c>
      <c r="AL112" s="228">
        <v>0</v>
      </c>
      <c r="AM112" s="229">
        <v>46337</v>
      </c>
      <c r="AN112" s="229">
        <v>46343</v>
      </c>
      <c r="AO112" s="230" t="s">
        <v>40</v>
      </c>
      <c r="AP112" s="231">
        <v>0</v>
      </c>
    </row>
    <row r="113" spans="1:42" ht="15">
      <c r="A113" s="7" t="s">
        <v>231</v>
      </c>
      <c r="B113" s="9" t="s">
        <v>359</v>
      </c>
      <c r="C113" s="195">
        <v>1</v>
      </c>
      <c r="D113" s="46">
        <v>46146</v>
      </c>
      <c r="E113" s="46">
        <v>46157</v>
      </c>
      <c r="F113" s="389" t="s">
        <v>34</v>
      </c>
      <c r="G113" s="438" t="s">
        <v>360</v>
      </c>
      <c r="H113" s="388">
        <v>0.95</v>
      </c>
      <c r="I113" s="229">
        <v>46198</v>
      </c>
      <c r="J113" s="229">
        <v>46211</v>
      </c>
      <c r="K113" s="230" t="s">
        <v>34</v>
      </c>
      <c r="L113" s="212" t="s">
        <v>34</v>
      </c>
      <c r="M113" s="231">
        <v>1</v>
      </c>
      <c r="N113" s="47">
        <v>46198</v>
      </c>
      <c r="O113" s="47">
        <v>46211</v>
      </c>
      <c r="P113" s="214" t="s">
        <v>34</v>
      </c>
      <c r="Q113" s="197" t="s">
        <v>225</v>
      </c>
      <c r="R113" s="215">
        <v>0</v>
      </c>
      <c r="S113" s="216">
        <v>46209</v>
      </c>
      <c r="T113" s="216">
        <v>46218</v>
      </c>
      <c r="U113" s="217" t="s">
        <v>34</v>
      </c>
      <c r="V113" s="199" t="s">
        <v>361</v>
      </c>
      <c r="W113" s="219">
        <v>1</v>
      </c>
      <c r="X113" s="220">
        <v>46218</v>
      </c>
      <c r="Y113" s="220">
        <v>46222</v>
      </c>
      <c r="Z113" s="232" t="s">
        <v>40</v>
      </c>
      <c r="AA113" s="88" t="s">
        <v>362</v>
      </c>
      <c r="AB113" s="222">
        <v>0</v>
      </c>
      <c r="AC113" s="223">
        <v>46233</v>
      </c>
      <c r="AD113" s="223">
        <v>46242</v>
      </c>
      <c r="AE113" s="233" t="s">
        <v>34</v>
      </c>
      <c r="AF113" s="206" t="s">
        <v>258</v>
      </c>
      <c r="AG113" s="225">
        <v>1</v>
      </c>
      <c r="AH113" s="226">
        <v>46243</v>
      </c>
      <c r="AI113" s="226">
        <v>46250</v>
      </c>
      <c r="AJ113" s="227" t="s">
        <v>34</v>
      </c>
      <c r="AK113" s="228" t="s">
        <v>190</v>
      </c>
      <c r="AL113" s="228">
        <v>1</v>
      </c>
      <c r="AM113" s="229">
        <v>46337</v>
      </c>
      <c r="AN113" s="229">
        <v>46343</v>
      </c>
      <c r="AO113" s="230" t="s">
        <v>40</v>
      </c>
      <c r="AP113" s="231">
        <v>0</v>
      </c>
    </row>
    <row r="114" spans="1:42" ht="15">
      <c r="A114" s="7" t="s">
        <v>231</v>
      </c>
      <c r="B114" s="9" t="s">
        <v>363</v>
      </c>
      <c r="C114" s="195">
        <v>1</v>
      </c>
      <c r="D114" s="46">
        <v>46146</v>
      </c>
      <c r="E114" s="46">
        <v>46157</v>
      </c>
      <c r="F114" s="389" t="s">
        <v>34</v>
      </c>
      <c r="G114" s="389" t="s">
        <v>34</v>
      </c>
      <c r="H114" s="388">
        <v>1</v>
      </c>
      <c r="I114" s="229">
        <v>46198</v>
      </c>
      <c r="J114" s="229">
        <v>46211</v>
      </c>
      <c r="K114" s="230" t="s">
        <v>34</v>
      </c>
      <c r="L114" s="212" t="s">
        <v>34</v>
      </c>
      <c r="M114" s="231">
        <v>1</v>
      </c>
      <c r="N114" s="47">
        <v>46198</v>
      </c>
      <c r="O114" s="47">
        <v>46211</v>
      </c>
      <c r="P114" s="214" t="s">
        <v>34</v>
      </c>
      <c r="Q114" s="197" t="s">
        <v>34</v>
      </c>
      <c r="R114" s="215">
        <v>1</v>
      </c>
      <c r="S114" s="216">
        <v>46209</v>
      </c>
      <c r="T114" s="216">
        <v>46218</v>
      </c>
      <c r="U114" s="217" t="s">
        <v>34</v>
      </c>
      <c r="V114" s="218" t="s">
        <v>34</v>
      </c>
      <c r="W114" s="219">
        <v>1</v>
      </c>
      <c r="X114" s="220">
        <v>46218</v>
      </c>
      <c r="Y114" s="220">
        <v>46222</v>
      </c>
      <c r="Z114" s="221" t="s">
        <v>34</v>
      </c>
      <c r="AA114" s="222" t="s">
        <v>34</v>
      </c>
      <c r="AB114" s="222">
        <v>1</v>
      </c>
      <c r="AC114" s="223">
        <v>46233</v>
      </c>
      <c r="AD114" s="223">
        <v>46242</v>
      </c>
      <c r="AE114" s="233" t="s">
        <v>34</v>
      </c>
      <c r="AF114" s="238" t="s">
        <v>34</v>
      </c>
      <c r="AG114" s="225">
        <v>1</v>
      </c>
      <c r="AH114" s="226">
        <v>46243</v>
      </c>
      <c r="AI114" s="226">
        <v>46250</v>
      </c>
      <c r="AJ114" s="227" t="s">
        <v>34</v>
      </c>
      <c r="AK114" s="228" t="s">
        <v>190</v>
      </c>
      <c r="AL114" s="228">
        <v>1</v>
      </c>
      <c r="AM114" s="229">
        <v>46337</v>
      </c>
      <c r="AN114" s="229">
        <v>46343</v>
      </c>
      <c r="AO114" s="230" t="s">
        <v>40</v>
      </c>
      <c r="AP114" s="231">
        <v>0</v>
      </c>
    </row>
    <row r="115" spans="1:42" ht="15">
      <c r="A115" s="7" t="s">
        <v>231</v>
      </c>
      <c r="B115" s="9" t="s">
        <v>364</v>
      </c>
      <c r="C115" s="195">
        <v>1</v>
      </c>
      <c r="D115" s="46">
        <v>46146</v>
      </c>
      <c r="E115" s="46">
        <v>46157</v>
      </c>
      <c r="F115" s="389" t="s">
        <v>34</v>
      </c>
      <c r="G115" s="34" t="s">
        <v>34</v>
      </c>
      <c r="H115" s="388">
        <v>1</v>
      </c>
      <c r="I115" s="229">
        <v>46198</v>
      </c>
      <c r="J115" s="229">
        <v>46211</v>
      </c>
      <c r="K115" s="230" t="s">
        <v>34</v>
      </c>
      <c r="L115" s="212" t="s">
        <v>34</v>
      </c>
      <c r="M115" s="231">
        <v>1</v>
      </c>
      <c r="N115" s="47">
        <v>46198</v>
      </c>
      <c r="O115" s="47">
        <v>46211</v>
      </c>
      <c r="P115" s="214" t="s">
        <v>34</v>
      </c>
      <c r="Q115" s="197" t="s">
        <v>34</v>
      </c>
      <c r="R115" s="215">
        <v>1</v>
      </c>
      <c r="S115" s="216">
        <v>46209</v>
      </c>
      <c r="T115" s="216">
        <v>46218</v>
      </c>
      <c r="U115" s="217" t="s">
        <v>34</v>
      </c>
      <c r="V115" s="218" t="s">
        <v>34</v>
      </c>
      <c r="W115" s="219">
        <v>1</v>
      </c>
      <c r="X115" s="220">
        <v>46218</v>
      </c>
      <c r="Y115" s="220">
        <v>46222</v>
      </c>
      <c r="Z115" s="221" t="s">
        <v>34</v>
      </c>
      <c r="AA115" s="222" t="s">
        <v>34</v>
      </c>
      <c r="AB115" s="222">
        <v>1</v>
      </c>
      <c r="AC115" s="223">
        <v>46233</v>
      </c>
      <c r="AD115" s="223">
        <v>46242</v>
      </c>
      <c r="AE115" s="233" t="s">
        <v>34</v>
      </c>
      <c r="AF115" s="238" t="s">
        <v>34</v>
      </c>
      <c r="AG115" s="225">
        <v>1</v>
      </c>
      <c r="AH115" s="226">
        <v>46243</v>
      </c>
      <c r="AI115" s="226">
        <v>46250</v>
      </c>
      <c r="AJ115" s="227" t="s">
        <v>34</v>
      </c>
      <c r="AK115" s="228" t="s">
        <v>190</v>
      </c>
      <c r="AL115" s="228">
        <v>1</v>
      </c>
      <c r="AM115" s="229">
        <v>46337</v>
      </c>
      <c r="AN115" s="229">
        <v>46343</v>
      </c>
      <c r="AO115" s="230" t="s">
        <v>40</v>
      </c>
      <c r="AP115" s="231">
        <v>0</v>
      </c>
    </row>
    <row r="116" spans="1:42" ht="15">
      <c r="A116" s="7" t="s">
        <v>231</v>
      </c>
      <c r="B116" s="9" t="s">
        <v>365</v>
      </c>
      <c r="C116" s="195">
        <v>1</v>
      </c>
      <c r="D116" s="46">
        <v>46146</v>
      </c>
      <c r="E116" s="46">
        <v>46157</v>
      </c>
      <c r="F116" s="389" t="s">
        <v>34</v>
      </c>
      <c r="G116" s="34" t="s">
        <v>34</v>
      </c>
      <c r="H116" s="388">
        <v>1</v>
      </c>
      <c r="I116" s="229">
        <v>46198</v>
      </c>
      <c r="J116" s="229">
        <v>46211</v>
      </c>
      <c r="K116" s="230" t="s">
        <v>34</v>
      </c>
      <c r="L116" s="212" t="s">
        <v>34</v>
      </c>
      <c r="M116" s="231">
        <v>1</v>
      </c>
      <c r="N116" s="47">
        <v>46198</v>
      </c>
      <c r="O116" s="47">
        <v>46211</v>
      </c>
      <c r="P116" s="214" t="s">
        <v>34</v>
      </c>
      <c r="Q116" s="197" t="s">
        <v>34</v>
      </c>
      <c r="R116" s="215">
        <v>1</v>
      </c>
      <c r="S116" s="216">
        <v>46209</v>
      </c>
      <c r="T116" s="216">
        <v>46218</v>
      </c>
      <c r="U116" s="217" t="s">
        <v>34</v>
      </c>
      <c r="V116" s="218" t="s">
        <v>34</v>
      </c>
      <c r="W116" s="219">
        <v>1</v>
      </c>
      <c r="X116" s="220">
        <v>46218</v>
      </c>
      <c r="Y116" s="220">
        <v>46222</v>
      </c>
      <c r="Z116" s="221" t="s">
        <v>34</v>
      </c>
      <c r="AA116" s="222" t="s">
        <v>34</v>
      </c>
      <c r="AB116" s="222">
        <v>1</v>
      </c>
      <c r="AC116" s="223">
        <v>46233</v>
      </c>
      <c r="AD116" s="223">
        <v>46242</v>
      </c>
      <c r="AE116" s="233" t="s">
        <v>34</v>
      </c>
      <c r="AF116" s="238" t="s">
        <v>34</v>
      </c>
      <c r="AG116" s="225">
        <v>1</v>
      </c>
      <c r="AH116" s="226">
        <v>46243</v>
      </c>
      <c r="AI116" s="226">
        <v>46250</v>
      </c>
      <c r="AJ116" s="227" t="s">
        <v>34</v>
      </c>
      <c r="AK116" s="228" t="s">
        <v>190</v>
      </c>
      <c r="AL116" s="228">
        <v>1</v>
      </c>
      <c r="AM116" s="229">
        <v>46337</v>
      </c>
      <c r="AN116" s="229">
        <v>46343</v>
      </c>
      <c r="AO116" s="230" t="s">
        <v>40</v>
      </c>
      <c r="AP116" s="231">
        <v>0</v>
      </c>
    </row>
    <row r="117" spans="1:42" ht="15">
      <c r="A117" s="7" t="s">
        <v>231</v>
      </c>
      <c r="B117" s="9" t="s">
        <v>366</v>
      </c>
      <c r="C117" s="195">
        <v>1</v>
      </c>
      <c r="D117" s="46">
        <v>46146</v>
      </c>
      <c r="E117" s="46">
        <v>46157</v>
      </c>
      <c r="F117" s="389" t="s">
        <v>34</v>
      </c>
      <c r="G117" s="34" t="s">
        <v>34</v>
      </c>
      <c r="H117" s="388">
        <v>1</v>
      </c>
      <c r="I117" s="229">
        <v>46198</v>
      </c>
      <c r="J117" s="229">
        <v>46211</v>
      </c>
      <c r="K117" s="230" t="s">
        <v>34</v>
      </c>
      <c r="L117" s="212" t="s">
        <v>34</v>
      </c>
      <c r="M117" s="231">
        <v>1</v>
      </c>
      <c r="N117" s="47">
        <v>46198</v>
      </c>
      <c r="O117" s="47">
        <v>46211</v>
      </c>
      <c r="P117" s="214" t="s">
        <v>34</v>
      </c>
      <c r="Q117" s="197" t="s">
        <v>34</v>
      </c>
      <c r="R117" s="215">
        <v>1</v>
      </c>
      <c r="S117" s="216">
        <v>46209</v>
      </c>
      <c r="T117" s="216">
        <v>46218</v>
      </c>
      <c r="U117" s="217" t="s">
        <v>34</v>
      </c>
      <c r="V117" s="218" t="s">
        <v>34</v>
      </c>
      <c r="W117" s="219">
        <v>1</v>
      </c>
      <c r="X117" s="220">
        <v>46218</v>
      </c>
      <c r="Y117" s="220">
        <v>46222</v>
      </c>
      <c r="Z117" s="221" t="s">
        <v>34</v>
      </c>
      <c r="AA117" s="222" t="s">
        <v>34</v>
      </c>
      <c r="AB117" s="222">
        <v>1</v>
      </c>
      <c r="AC117" s="223">
        <v>46233</v>
      </c>
      <c r="AD117" s="223">
        <v>46242</v>
      </c>
      <c r="AE117" s="233" t="s">
        <v>34</v>
      </c>
      <c r="AF117" s="238" t="s">
        <v>34</v>
      </c>
      <c r="AG117" s="225">
        <v>1</v>
      </c>
      <c r="AH117" s="226">
        <v>46243</v>
      </c>
      <c r="AI117" s="226">
        <v>46250</v>
      </c>
      <c r="AJ117" s="227" t="s">
        <v>34</v>
      </c>
      <c r="AK117" s="228" t="s">
        <v>190</v>
      </c>
      <c r="AL117" s="228">
        <v>1</v>
      </c>
      <c r="AM117" s="229">
        <v>46337</v>
      </c>
      <c r="AN117" s="229">
        <v>46343</v>
      </c>
      <c r="AO117" s="230" t="s">
        <v>40</v>
      </c>
      <c r="AP117" s="231">
        <v>0</v>
      </c>
    </row>
    <row r="118" spans="1:42" ht="15">
      <c r="A118" s="7" t="s">
        <v>231</v>
      </c>
      <c r="B118" s="9" t="s">
        <v>367</v>
      </c>
      <c r="C118" s="195">
        <v>1</v>
      </c>
      <c r="D118" s="46">
        <v>46146</v>
      </c>
      <c r="E118" s="46">
        <v>46157</v>
      </c>
      <c r="F118" s="389" t="s">
        <v>34</v>
      </c>
      <c r="G118" s="34" t="s">
        <v>34</v>
      </c>
      <c r="H118" s="388">
        <v>1</v>
      </c>
      <c r="I118" s="229">
        <v>46198</v>
      </c>
      <c r="J118" s="229">
        <v>46211</v>
      </c>
      <c r="K118" s="230" t="s">
        <v>34</v>
      </c>
      <c r="L118" s="212" t="s">
        <v>34</v>
      </c>
      <c r="M118" s="231">
        <v>1</v>
      </c>
      <c r="N118" s="47">
        <v>46198</v>
      </c>
      <c r="O118" s="47">
        <v>46211</v>
      </c>
      <c r="P118" s="214" t="s">
        <v>34</v>
      </c>
      <c r="Q118" s="197" t="s">
        <v>34</v>
      </c>
      <c r="R118" s="215">
        <v>1</v>
      </c>
      <c r="S118" s="216">
        <v>46209</v>
      </c>
      <c r="T118" s="216">
        <v>46218</v>
      </c>
      <c r="U118" s="217" t="s">
        <v>34</v>
      </c>
      <c r="V118" s="218" t="s">
        <v>34</v>
      </c>
      <c r="W118" s="219">
        <v>1</v>
      </c>
      <c r="X118" s="220">
        <v>46218</v>
      </c>
      <c r="Y118" s="220">
        <v>46222</v>
      </c>
      <c r="Z118" s="221" t="s">
        <v>34</v>
      </c>
      <c r="AA118" s="222" t="s">
        <v>34</v>
      </c>
      <c r="AB118" s="222">
        <v>1</v>
      </c>
      <c r="AC118" s="223">
        <v>46233</v>
      </c>
      <c r="AD118" s="223">
        <v>46242</v>
      </c>
      <c r="AE118" s="233" t="s">
        <v>34</v>
      </c>
      <c r="AF118" s="238" t="s">
        <v>34</v>
      </c>
      <c r="AG118" s="225">
        <v>1</v>
      </c>
      <c r="AH118" s="226">
        <v>46243</v>
      </c>
      <c r="AI118" s="226">
        <v>46250</v>
      </c>
      <c r="AJ118" s="227" t="s">
        <v>34</v>
      </c>
      <c r="AK118" s="228" t="s">
        <v>190</v>
      </c>
      <c r="AL118" s="228">
        <v>1</v>
      </c>
      <c r="AM118" s="229">
        <v>46337</v>
      </c>
      <c r="AN118" s="229">
        <v>46343</v>
      </c>
      <c r="AO118" s="230" t="s">
        <v>40</v>
      </c>
      <c r="AP118" s="231">
        <v>0</v>
      </c>
    </row>
    <row r="119" spans="1:42" ht="15">
      <c r="A119" s="7" t="s">
        <v>231</v>
      </c>
      <c r="B119" s="9" t="s">
        <v>368</v>
      </c>
      <c r="C119" s="195">
        <v>1</v>
      </c>
      <c r="D119" s="46">
        <v>46146</v>
      </c>
      <c r="E119" s="46">
        <v>46157</v>
      </c>
      <c r="F119" s="389" t="s">
        <v>34</v>
      </c>
      <c r="G119" s="34" t="s">
        <v>34</v>
      </c>
      <c r="H119" s="388">
        <v>1</v>
      </c>
      <c r="I119" s="229">
        <v>46198</v>
      </c>
      <c r="J119" s="229">
        <v>46211</v>
      </c>
      <c r="K119" s="230" t="s">
        <v>34</v>
      </c>
      <c r="L119" s="212" t="s">
        <v>34</v>
      </c>
      <c r="M119" s="231">
        <v>1</v>
      </c>
      <c r="N119" s="47">
        <v>46198</v>
      </c>
      <c r="O119" s="47">
        <v>46211</v>
      </c>
      <c r="P119" s="214" t="s">
        <v>34</v>
      </c>
      <c r="Q119" s="197" t="s">
        <v>34</v>
      </c>
      <c r="R119" s="215">
        <v>1</v>
      </c>
      <c r="S119" s="216">
        <v>46209</v>
      </c>
      <c r="T119" s="216">
        <v>46218</v>
      </c>
      <c r="U119" s="217" t="s">
        <v>34</v>
      </c>
      <c r="V119" s="218" t="s">
        <v>34</v>
      </c>
      <c r="W119" s="219">
        <v>1</v>
      </c>
      <c r="X119" s="220">
        <v>46218</v>
      </c>
      <c r="Y119" s="220">
        <v>46222</v>
      </c>
      <c r="Z119" s="221" t="s">
        <v>34</v>
      </c>
      <c r="AA119" s="222" t="s">
        <v>34</v>
      </c>
      <c r="AB119" s="222">
        <v>1</v>
      </c>
      <c r="AC119" s="223">
        <v>46233</v>
      </c>
      <c r="AD119" s="223">
        <v>46242</v>
      </c>
      <c r="AE119" s="233" t="s">
        <v>34</v>
      </c>
      <c r="AF119" s="238" t="s">
        <v>34</v>
      </c>
      <c r="AG119" s="225">
        <v>1</v>
      </c>
      <c r="AH119" s="226">
        <v>46243</v>
      </c>
      <c r="AI119" s="226">
        <v>46250</v>
      </c>
      <c r="AJ119" s="227" t="s">
        <v>34</v>
      </c>
      <c r="AK119" s="228" t="s">
        <v>190</v>
      </c>
      <c r="AL119" s="228">
        <v>1</v>
      </c>
      <c r="AM119" s="229">
        <v>46337</v>
      </c>
      <c r="AN119" s="229">
        <v>46343</v>
      </c>
      <c r="AO119" s="230" t="s">
        <v>40</v>
      </c>
      <c r="AP119" s="231">
        <v>0</v>
      </c>
    </row>
    <row r="120" spans="1:42">
      <c r="A120" s="7" t="s">
        <v>231</v>
      </c>
      <c r="B120" s="9" t="s">
        <v>369</v>
      </c>
      <c r="C120" s="195">
        <v>1</v>
      </c>
      <c r="D120" s="46">
        <v>46146</v>
      </c>
      <c r="E120" s="46">
        <v>46157</v>
      </c>
      <c r="F120" s="213" t="s">
        <v>34</v>
      </c>
      <c r="G120" s="213" t="s">
        <v>34</v>
      </c>
      <c r="H120" s="82">
        <v>1</v>
      </c>
      <c r="I120" s="229">
        <v>46198</v>
      </c>
      <c r="J120" s="229">
        <v>46211</v>
      </c>
      <c r="K120" s="230" t="s">
        <v>34</v>
      </c>
      <c r="L120" s="212" t="s">
        <v>34</v>
      </c>
      <c r="M120" s="231">
        <v>1</v>
      </c>
      <c r="N120" s="47">
        <v>46198</v>
      </c>
      <c r="O120" s="47">
        <v>46211</v>
      </c>
      <c r="P120" s="214" t="s">
        <v>34</v>
      </c>
      <c r="Q120" s="197" t="s">
        <v>34</v>
      </c>
      <c r="R120" s="215">
        <v>1</v>
      </c>
      <c r="S120" s="216">
        <v>46209</v>
      </c>
      <c r="T120" s="216">
        <v>46218</v>
      </c>
      <c r="U120" s="217" t="s">
        <v>34</v>
      </c>
      <c r="V120" s="218" t="s">
        <v>34</v>
      </c>
      <c r="W120" s="219">
        <v>1</v>
      </c>
      <c r="X120" s="220">
        <v>46218</v>
      </c>
      <c r="Y120" s="220">
        <v>46222</v>
      </c>
      <c r="Z120" s="221" t="s">
        <v>34</v>
      </c>
      <c r="AA120" s="222" t="s">
        <v>34</v>
      </c>
      <c r="AB120" s="222">
        <v>1</v>
      </c>
      <c r="AC120" s="223">
        <v>46233</v>
      </c>
      <c r="AD120" s="223">
        <v>46242</v>
      </c>
      <c r="AE120" s="233" t="s">
        <v>34</v>
      </c>
      <c r="AF120" s="238" t="s">
        <v>34</v>
      </c>
      <c r="AG120" s="225">
        <v>1</v>
      </c>
      <c r="AH120" s="226">
        <v>46243</v>
      </c>
      <c r="AI120" s="226">
        <v>46250</v>
      </c>
      <c r="AJ120" s="227" t="s">
        <v>34</v>
      </c>
      <c r="AK120" s="228" t="s">
        <v>190</v>
      </c>
      <c r="AL120" s="228">
        <v>1</v>
      </c>
      <c r="AM120" s="229">
        <v>46337</v>
      </c>
      <c r="AN120" s="229">
        <v>46343</v>
      </c>
      <c r="AO120" s="230" t="s">
        <v>40</v>
      </c>
      <c r="AP120" s="231">
        <v>0</v>
      </c>
    </row>
    <row r="121" spans="1:42">
      <c r="A121" s="5" t="s">
        <v>10</v>
      </c>
      <c r="B121" s="40"/>
      <c r="C121" s="239">
        <f>SUM(C3:C120)</f>
        <v>118</v>
      </c>
      <c r="D121" s="240"/>
      <c r="E121" s="240"/>
      <c r="F121" s="241"/>
      <c r="G121" s="241"/>
      <c r="H121" s="242">
        <f>AVERAGE(H3:H120)</f>
        <v>0.35720338983050848</v>
      </c>
      <c r="I121" s="272"/>
      <c r="J121" s="272"/>
      <c r="K121" s="261"/>
      <c r="L121" s="280"/>
      <c r="M121" s="262">
        <f>AVERAGE(M3:M120)</f>
        <v>0.2216101694915254</v>
      </c>
      <c r="N121" s="14"/>
      <c r="O121" s="14"/>
      <c r="P121" s="243"/>
      <c r="Q121" s="244"/>
      <c r="R121" s="245">
        <f>AVERAGE(R3:R120)</f>
        <v>0.19915254237288135</v>
      </c>
      <c r="S121" s="246"/>
      <c r="T121" s="246"/>
      <c r="U121" s="247"/>
      <c r="V121" s="248"/>
      <c r="W121" s="249">
        <f>AVERAGE(W3:W120)</f>
        <v>0.3347457627118644</v>
      </c>
      <c r="X121" s="250"/>
      <c r="Y121" s="250"/>
      <c r="Z121" s="251"/>
      <c r="AA121" s="252"/>
      <c r="AB121" s="252">
        <f>AVERAGE(AB3:AB120)</f>
        <v>0.22033898305084745</v>
      </c>
      <c r="AC121" s="253"/>
      <c r="AD121" s="253"/>
      <c r="AE121" s="254"/>
      <c r="AF121" s="255"/>
      <c r="AG121" s="256">
        <f>AVERAGE(AG3:AG120)</f>
        <v>0.32203389830508472</v>
      </c>
      <c r="AH121" s="257"/>
      <c r="AI121" s="257"/>
      <c r="AJ121" s="258"/>
      <c r="AK121" s="259"/>
      <c r="AL121" s="259">
        <f>AVERAGE(AL3:AL120)</f>
        <v>0.9576271186440678</v>
      </c>
      <c r="AM121" s="260"/>
      <c r="AN121" s="260"/>
      <c r="AO121" s="261"/>
      <c r="AP121" s="262">
        <f>AVERAGE(AP3:AP120)</f>
        <v>0</v>
      </c>
    </row>
    <row r="122" spans="1:42">
      <c r="D122" s="45"/>
      <c r="E122" s="45"/>
      <c r="S122" s="45"/>
      <c r="T122" s="45"/>
      <c r="X122" s="45"/>
      <c r="Y122" s="45"/>
      <c r="AC122" s="45"/>
      <c r="AD122" s="45"/>
      <c r="AH122" s="45"/>
      <c r="AI122" s="45"/>
      <c r="AM122" s="45"/>
      <c r="AN122" s="45"/>
    </row>
    <row r="123" spans="1:42" ht="18.600000000000001">
      <c r="A123" s="64" t="s">
        <v>228</v>
      </c>
      <c r="S123" s="45"/>
      <c r="T123" s="45"/>
      <c r="X123" s="45"/>
      <c r="Y123" s="45"/>
      <c r="AC123" s="45"/>
      <c r="AD123" s="45"/>
      <c r="AH123" s="45"/>
      <c r="AI123" s="45"/>
      <c r="AM123" s="45"/>
      <c r="AN123" s="45"/>
    </row>
    <row r="124" spans="1:42">
      <c r="A124" s="5" t="s">
        <v>172</v>
      </c>
      <c r="B124" s="40" t="s">
        <v>173</v>
      </c>
      <c r="C124" s="5" t="s">
        <v>174</v>
      </c>
      <c r="D124" s="5" t="s">
        <v>34</v>
      </c>
      <c r="E124" s="5" t="s">
        <v>175</v>
      </c>
      <c r="S124" s="45"/>
      <c r="T124" s="45"/>
      <c r="X124" s="45"/>
      <c r="Y124" s="45"/>
      <c r="AC124" s="45"/>
      <c r="AD124" s="45"/>
      <c r="AH124" s="45"/>
      <c r="AI124" s="45"/>
      <c r="AM124" s="45"/>
      <c r="AN124" s="45"/>
    </row>
    <row r="125" spans="1:42">
      <c r="A125" s="7" t="s">
        <v>176</v>
      </c>
      <c r="B125" s="266">
        <v>0.1</v>
      </c>
      <c r="C125" s="7">
        <f>118*B125</f>
        <v>11.8</v>
      </c>
      <c r="D125" s="275">
        <f>SUM(H3:H120)*0.1</f>
        <v>4.2149999999999999</v>
      </c>
      <c r="E125" s="268">
        <f t="shared" ref="E125:E132" si="0">D125/C125</f>
        <v>0.35720338983050842</v>
      </c>
      <c r="S125" s="45"/>
      <c r="T125" s="45"/>
      <c r="X125" s="45"/>
      <c r="Y125" s="45"/>
      <c r="AC125" s="45"/>
      <c r="AD125" s="45"/>
      <c r="AH125" s="45"/>
      <c r="AI125" s="45"/>
      <c r="AM125" s="45"/>
      <c r="AN125" s="45"/>
    </row>
    <row r="126" spans="1:42">
      <c r="A126" s="274" t="s">
        <v>177</v>
      </c>
      <c r="B126" s="266">
        <v>0.3</v>
      </c>
      <c r="C126" s="7">
        <f t="shared" ref="C126:C131" si="1">118*B126</f>
        <v>35.4</v>
      </c>
      <c r="D126" s="275">
        <f>SUM(M3:M120)*0.3</f>
        <v>7.8449999999999989</v>
      </c>
      <c r="E126" s="268">
        <f t="shared" si="0"/>
        <v>0.2216101694915254</v>
      </c>
      <c r="S126" s="45"/>
      <c r="T126" s="45"/>
      <c r="X126" s="45"/>
      <c r="Y126" s="45"/>
      <c r="AC126" s="45"/>
      <c r="AD126" s="45"/>
      <c r="AH126" s="45"/>
      <c r="AI126" s="45"/>
      <c r="AM126" s="45"/>
      <c r="AN126" s="45"/>
    </row>
    <row r="127" spans="1:42">
      <c r="A127" s="7" t="s">
        <v>178</v>
      </c>
      <c r="B127" s="266">
        <v>0.1</v>
      </c>
      <c r="C127" s="7">
        <f t="shared" si="1"/>
        <v>11.8</v>
      </c>
      <c r="D127" s="275">
        <f>SUM(R3:R120)*0.1</f>
        <v>2.35</v>
      </c>
      <c r="E127" s="268">
        <f t="shared" si="0"/>
        <v>0.19915254237288135</v>
      </c>
      <c r="S127" s="45"/>
      <c r="T127" s="45"/>
      <c r="X127" s="45"/>
      <c r="Y127" s="45"/>
      <c r="AC127" s="45"/>
      <c r="AD127" s="45"/>
      <c r="AH127" s="45"/>
      <c r="AI127" s="45"/>
      <c r="AM127" s="45"/>
      <c r="AN127" s="45"/>
    </row>
    <row r="128" spans="1:42">
      <c r="A128" s="7" t="s">
        <v>161</v>
      </c>
      <c r="B128" s="266">
        <v>0.2</v>
      </c>
      <c r="C128" s="7">
        <f t="shared" si="1"/>
        <v>23.6</v>
      </c>
      <c r="D128" s="275">
        <f>SUM(W3:W120)*0.2</f>
        <v>7.9</v>
      </c>
      <c r="E128" s="268">
        <f t="shared" si="0"/>
        <v>0.3347457627118644</v>
      </c>
    </row>
    <row r="129" spans="1:5">
      <c r="A129" s="7" t="s">
        <v>162</v>
      </c>
      <c r="B129" s="266">
        <v>0.05</v>
      </c>
      <c r="C129" s="7">
        <f t="shared" si="1"/>
        <v>5.9</v>
      </c>
      <c r="D129" s="275">
        <f>SUM(AB3:AB120)*0.05</f>
        <v>1.3</v>
      </c>
      <c r="E129" s="268">
        <f t="shared" si="0"/>
        <v>0.22033898305084745</v>
      </c>
    </row>
    <row r="130" spans="1:5">
      <c r="A130" s="7" t="s">
        <v>163</v>
      </c>
      <c r="B130" s="266">
        <v>0.2</v>
      </c>
      <c r="C130" s="7">
        <f t="shared" si="1"/>
        <v>23.6</v>
      </c>
      <c r="D130" s="275">
        <f>SUM(AG3:AG120)*0.2</f>
        <v>7.6000000000000005</v>
      </c>
      <c r="E130" s="268">
        <f t="shared" si="0"/>
        <v>0.32203389830508478</v>
      </c>
    </row>
    <row r="131" spans="1:5">
      <c r="A131" s="7" t="s">
        <v>164</v>
      </c>
      <c r="B131" s="266">
        <v>0.05</v>
      </c>
      <c r="C131" s="7">
        <f t="shared" si="1"/>
        <v>5.9</v>
      </c>
      <c r="D131" s="275">
        <f>SUM(AL3:AL120)*0.05</f>
        <v>5.65</v>
      </c>
      <c r="E131" s="268">
        <f t="shared" si="0"/>
        <v>0.9576271186440678</v>
      </c>
    </row>
    <row r="132" spans="1:5">
      <c r="A132" s="5" t="s">
        <v>179</v>
      </c>
      <c r="B132" s="62">
        <f>SUM(B125:B131)</f>
        <v>1</v>
      </c>
      <c r="C132" s="5">
        <f>SUM(C125:C131)</f>
        <v>118</v>
      </c>
      <c r="D132" s="276">
        <f>SUM(D125:D131)</f>
        <v>36.86</v>
      </c>
      <c r="E132" s="63">
        <f t="shared" si="0"/>
        <v>0.31237288135593222</v>
      </c>
    </row>
  </sheetData>
  <autoFilter ref="A2:AQ121" xr:uid="{6DF4D0EB-FD46-481C-82E5-28E74C9F0AA1}"/>
  <mergeCells count="7">
    <mergeCell ref="AH1:AL1"/>
    <mergeCell ref="N1:R1"/>
    <mergeCell ref="D1:H1"/>
    <mergeCell ref="S1:W1"/>
    <mergeCell ref="X1:AB1"/>
    <mergeCell ref="I1:M1"/>
    <mergeCell ref="AC1:AG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A272-B8A5-4057-A268-5C24DD9C3757}">
  <dimension ref="A1:AQ53"/>
  <sheetViews>
    <sheetView workbookViewId="0">
      <pane xSplit="3" ySplit="2" topLeftCell="AI13" activePane="bottomRight" state="frozen"/>
      <selection pane="bottomRight" activeCell="AQ23" sqref="AQ23"/>
      <selection pane="bottomLeft" activeCell="A3" sqref="A3"/>
      <selection pane="topRight" activeCell="D1" sqref="D1"/>
    </sheetView>
  </sheetViews>
  <sheetFormatPr defaultColWidth="8.7109375" defaultRowHeight="14.45"/>
  <cols>
    <col min="1" max="1" width="15.28515625" style="2" bestFit="1" customWidth="1"/>
    <col min="2" max="2" width="12.42578125" style="41" customWidth="1"/>
    <col min="3" max="3" width="14.140625" style="2" bestFit="1" customWidth="1"/>
    <col min="4" max="5" width="15.5703125" style="2" customWidth="1"/>
    <col min="6" max="6" width="17.7109375" style="11" customWidth="1"/>
    <col min="7" max="7" width="47.5703125" style="109" customWidth="1"/>
    <col min="8" max="11" width="15.5703125" style="2" customWidth="1"/>
    <col min="12" max="12" width="53.28515625" style="2" bestFit="1" customWidth="1"/>
    <col min="13" max="16" width="15.5703125" style="2" customWidth="1"/>
    <col min="17" max="17" width="67" style="2" customWidth="1"/>
    <col min="18" max="21" width="15.5703125" style="2" customWidth="1"/>
    <col min="22" max="22" width="27" style="2" customWidth="1"/>
    <col min="23" max="26" width="15.5703125" style="2" customWidth="1"/>
    <col min="27" max="27" width="35.28515625" style="2" bestFit="1" customWidth="1"/>
    <col min="28" max="31" width="15.5703125" style="2" customWidth="1"/>
    <col min="32" max="32" width="35.28515625" style="2" bestFit="1" customWidth="1"/>
    <col min="33" max="36" width="15.5703125" style="2" customWidth="1"/>
    <col min="37" max="37" width="23.28515625" style="2" bestFit="1" customWidth="1"/>
    <col min="38" max="42" width="15.5703125" style="2" customWidth="1"/>
    <col min="43" max="16384" width="8.7109375" style="2"/>
  </cols>
  <sheetData>
    <row r="1" spans="1:43" ht="18.600000000000001">
      <c r="A1" s="25" t="s">
        <v>1</v>
      </c>
      <c r="B1" s="26" t="s">
        <v>25</v>
      </c>
      <c r="C1" s="26" t="s">
        <v>26</v>
      </c>
      <c r="D1" s="523" t="s">
        <v>180</v>
      </c>
      <c r="E1" s="524"/>
      <c r="F1" s="524"/>
      <c r="G1" s="524"/>
      <c r="H1" s="525"/>
      <c r="I1" s="502" t="s">
        <v>181</v>
      </c>
      <c r="J1" s="503"/>
      <c r="K1" s="503"/>
      <c r="L1" s="503"/>
      <c r="M1" s="504"/>
      <c r="N1" s="520" t="s">
        <v>182</v>
      </c>
      <c r="O1" s="521"/>
      <c r="P1" s="521"/>
      <c r="Q1" s="521"/>
      <c r="R1" s="522"/>
      <c r="S1" s="526" t="s">
        <v>183</v>
      </c>
      <c r="T1" s="527"/>
      <c r="U1" s="527"/>
      <c r="V1" s="527"/>
      <c r="W1" s="528"/>
      <c r="X1" s="511" t="s">
        <v>184</v>
      </c>
      <c r="Y1" s="512"/>
      <c r="Z1" s="512"/>
      <c r="AA1" s="512"/>
      <c r="AB1" s="513"/>
      <c r="AC1" s="517" t="s">
        <v>185</v>
      </c>
      <c r="AD1" s="518"/>
      <c r="AE1" s="518"/>
      <c r="AF1" s="518"/>
      <c r="AG1" s="519"/>
      <c r="AH1" s="514" t="s">
        <v>229</v>
      </c>
      <c r="AI1" s="515"/>
      <c r="AJ1" s="515"/>
      <c r="AK1" s="515"/>
      <c r="AL1" s="516"/>
      <c r="AM1" s="502" t="s">
        <v>166</v>
      </c>
      <c r="AN1" s="503"/>
      <c r="AO1" s="503"/>
      <c r="AP1" s="504"/>
      <c r="AQ1" s="8"/>
    </row>
    <row r="2" spans="1:43" ht="15.95">
      <c r="A2" s="5"/>
      <c r="B2" s="40"/>
      <c r="C2" s="3"/>
      <c r="D2" s="33" t="s">
        <v>28</v>
      </c>
      <c r="E2" s="33" t="s">
        <v>29</v>
      </c>
      <c r="F2" s="33" t="s">
        <v>30</v>
      </c>
      <c r="G2" s="110" t="s">
        <v>187</v>
      </c>
      <c r="H2" s="33" t="s">
        <v>31</v>
      </c>
      <c r="I2" s="32" t="s">
        <v>28</v>
      </c>
      <c r="J2" s="32" t="s">
        <v>29</v>
      </c>
      <c r="K2" s="32" t="s">
        <v>30</v>
      </c>
      <c r="L2" s="32" t="s">
        <v>187</v>
      </c>
      <c r="M2" s="32" t="s">
        <v>31</v>
      </c>
      <c r="N2" s="27" t="s">
        <v>28</v>
      </c>
      <c r="O2" s="27" t="s">
        <v>29</v>
      </c>
      <c r="P2" s="27" t="s">
        <v>30</v>
      </c>
      <c r="Q2" s="27" t="s">
        <v>187</v>
      </c>
      <c r="R2" s="27" t="s">
        <v>31</v>
      </c>
      <c r="S2" s="28" t="s">
        <v>28</v>
      </c>
      <c r="T2" s="28" t="s">
        <v>29</v>
      </c>
      <c r="U2" s="28" t="s">
        <v>30</v>
      </c>
      <c r="V2" s="28" t="s">
        <v>187</v>
      </c>
      <c r="W2" s="28" t="s">
        <v>31</v>
      </c>
      <c r="X2" s="29" t="s">
        <v>28</v>
      </c>
      <c r="Y2" s="29" t="s">
        <v>29</v>
      </c>
      <c r="Z2" s="29" t="s">
        <v>30</v>
      </c>
      <c r="AA2" s="29" t="s">
        <v>187</v>
      </c>
      <c r="AB2" s="29" t="s">
        <v>31</v>
      </c>
      <c r="AC2" s="30" t="s">
        <v>28</v>
      </c>
      <c r="AD2" s="30" t="s">
        <v>29</v>
      </c>
      <c r="AE2" s="30" t="s">
        <v>30</v>
      </c>
      <c r="AF2" s="30" t="s">
        <v>187</v>
      </c>
      <c r="AG2" s="30" t="s">
        <v>31</v>
      </c>
      <c r="AH2" s="31" t="s">
        <v>28</v>
      </c>
      <c r="AI2" s="31" t="s">
        <v>29</v>
      </c>
      <c r="AJ2" s="31" t="s">
        <v>30</v>
      </c>
      <c r="AK2" s="31" t="s">
        <v>187</v>
      </c>
      <c r="AL2" s="31" t="s">
        <v>31</v>
      </c>
      <c r="AM2" s="32" t="s">
        <v>28</v>
      </c>
      <c r="AN2" s="32" t="s">
        <v>29</v>
      </c>
      <c r="AO2" s="32" t="s">
        <v>30</v>
      </c>
      <c r="AP2" s="32" t="s">
        <v>31</v>
      </c>
      <c r="AQ2" s="8"/>
    </row>
    <row r="3" spans="1:43" ht="15">
      <c r="A3" s="7" t="s">
        <v>370</v>
      </c>
      <c r="B3" s="9" t="s">
        <v>371</v>
      </c>
      <c r="C3" s="6">
        <v>1</v>
      </c>
      <c r="D3" s="46">
        <v>46146</v>
      </c>
      <c r="E3" s="46">
        <v>46155</v>
      </c>
      <c r="F3" s="34" t="s">
        <v>34</v>
      </c>
      <c r="G3" s="107" t="s">
        <v>372</v>
      </c>
      <c r="H3" s="82">
        <v>1</v>
      </c>
      <c r="I3" s="229">
        <v>46156</v>
      </c>
      <c r="J3" s="229">
        <v>46165</v>
      </c>
      <c r="K3" s="24" t="s">
        <v>40</v>
      </c>
      <c r="L3" s="281" t="s">
        <v>373</v>
      </c>
      <c r="M3" s="94">
        <v>0</v>
      </c>
      <c r="N3" s="47">
        <v>46156</v>
      </c>
      <c r="O3" s="47">
        <v>46165</v>
      </c>
      <c r="P3" s="13" t="s">
        <v>40</v>
      </c>
      <c r="Q3" s="83" t="s">
        <v>374</v>
      </c>
      <c r="R3" s="84">
        <v>0</v>
      </c>
      <c r="S3" s="48">
        <v>46198</v>
      </c>
      <c r="T3" s="48">
        <v>46212</v>
      </c>
      <c r="U3" s="65" t="s">
        <v>375</v>
      </c>
      <c r="V3" s="85" t="s">
        <v>376</v>
      </c>
      <c r="W3" s="86">
        <v>0.5</v>
      </c>
      <c r="X3" s="52">
        <v>46218</v>
      </c>
      <c r="Y3" s="52">
        <v>46222</v>
      </c>
      <c r="Z3" s="87" t="s">
        <v>377</v>
      </c>
      <c r="AA3" s="88" t="s">
        <v>378</v>
      </c>
      <c r="AB3" s="89">
        <v>0</v>
      </c>
      <c r="AC3" s="51">
        <v>46223</v>
      </c>
      <c r="AD3" s="51">
        <v>46232</v>
      </c>
      <c r="AE3" s="22" t="s">
        <v>34</v>
      </c>
      <c r="AF3" s="90" t="s">
        <v>34</v>
      </c>
      <c r="AG3" s="91">
        <v>1</v>
      </c>
      <c r="AH3" s="50">
        <v>46243</v>
      </c>
      <c r="AI3" s="50">
        <v>46250</v>
      </c>
      <c r="AJ3" s="20" t="s">
        <v>165</v>
      </c>
      <c r="AK3" s="92" t="s">
        <v>215</v>
      </c>
      <c r="AL3" s="93">
        <v>0</v>
      </c>
      <c r="AM3" s="49">
        <v>46337</v>
      </c>
      <c r="AN3" s="49">
        <v>46343</v>
      </c>
      <c r="AO3" s="24" t="s">
        <v>40</v>
      </c>
      <c r="AP3" s="94">
        <v>0</v>
      </c>
    </row>
    <row r="4" spans="1:43">
      <c r="A4" s="7" t="s">
        <v>370</v>
      </c>
      <c r="B4" s="9">
        <v>42205</v>
      </c>
      <c r="C4" s="6">
        <v>1</v>
      </c>
      <c r="D4" s="46">
        <v>46146</v>
      </c>
      <c r="E4" s="46">
        <v>46155</v>
      </c>
      <c r="F4" s="34" t="s">
        <v>34</v>
      </c>
      <c r="G4" s="107" t="s">
        <v>34</v>
      </c>
      <c r="H4" s="82">
        <v>1</v>
      </c>
      <c r="I4" s="229">
        <v>46156</v>
      </c>
      <c r="J4" s="229">
        <v>46165</v>
      </c>
      <c r="K4" s="24" t="s">
        <v>40</v>
      </c>
      <c r="L4" s="281" t="s">
        <v>373</v>
      </c>
      <c r="M4" s="94">
        <v>0</v>
      </c>
      <c r="N4" s="47">
        <v>46156</v>
      </c>
      <c r="O4" s="47">
        <v>46165</v>
      </c>
      <c r="P4" s="13" t="s">
        <v>40</v>
      </c>
      <c r="Q4" s="83" t="s">
        <v>374</v>
      </c>
      <c r="R4" s="84">
        <v>0</v>
      </c>
      <c r="S4" s="48">
        <v>46198</v>
      </c>
      <c r="T4" s="48">
        <v>46212</v>
      </c>
      <c r="U4" s="16" t="s">
        <v>34</v>
      </c>
      <c r="V4" s="85" t="s">
        <v>34</v>
      </c>
      <c r="W4" s="86">
        <v>1</v>
      </c>
      <c r="X4" s="52">
        <v>46218</v>
      </c>
      <c r="Y4" s="52">
        <v>46222</v>
      </c>
      <c r="Z4" s="87" t="s">
        <v>377</v>
      </c>
      <c r="AA4" s="95" t="s">
        <v>379</v>
      </c>
      <c r="AB4" s="89">
        <v>0</v>
      </c>
      <c r="AC4" s="51">
        <v>46223</v>
      </c>
      <c r="AD4" s="51">
        <v>46232</v>
      </c>
      <c r="AE4" s="22" t="s">
        <v>34</v>
      </c>
      <c r="AF4" s="90" t="s">
        <v>34</v>
      </c>
      <c r="AG4" s="91">
        <v>1</v>
      </c>
      <c r="AH4" s="50">
        <v>46243</v>
      </c>
      <c r="AI4" s="50">
        <v>46250</v>
      </c>
      <c r="AJ4" s="20" t="s">
        <v>165</v>
      </c>
      <c r="AK4" s="92" t="s">
        <v>215</v>
      </c>
      <c r="AL4" s="93">
        <v>0</v>
      </c>
      <c r="AM4" s="49">
        <v>46337</v>
      </c>
      <c r="AN4" s="49">
        <v>46343</v>
      </c>
      <c r="AO4" s="24" t="s">
        <v>40</v>
      </c>
      <c r="AP4" s="94">
        <v>0</v>
      </c>
    </row>
    <row r="5" spans="1:43">
      <c r="A5" s="7" t="s">
        <v>370</v>
      </c>
      <c r="B5" s="9" t="s">
        <v>380</v>
      </c>
      <c r="C5" s="6">
        <v>1</v>
      </c>
      <c r="D5" s="46">
        <v>46146</v>
      </c>
      <c r="E5" s="46">
        <v>46155</v>
      </c>
      <c r="F5" s="34" t="s">
        <v>34</v>
      </c>
      <c r="G5" s="107" t="s">
        <v>34</v>
      </c>
      <c r="H5" s="82">
        <v>1</v>
      </c>
      <c r="I5" s="229">
        <v>46156</v>
      </c>
      <c r="J5" s="229">
        <v>46165</v>
      </c>
      <c r="K5" s="24" t="s">
        <v>34</v>
      </c>
      <c r="L5" s="282" t="s">
        <v>34</v>
      </c>
      <c r="M5" s="94">
        <v>1</v>
      </c>
      <c r="N5" s="47">
        <v>46156</v>
      </c>
      <c r="O5" s="47">
        <v>46165</v>
      </c>
      <c r="P5" s="13" t="s">
        <v>34</v>
      </c>
      <c r="Q5" s="96" t="s">
        <v>34</v>
      </c>
      <c r="R5" s="84">
        <v>1</v>
      </c>
      <c r="S5" s="48">
        <v>46198</v>
      </c>
      <c r="T5" s="48">
        <v>46212</v>
      </c>
      <c r="U5" s="65" t="s">
        <v>375</v>
      </c>
      <c r="V5" s="85" t="s">
        <v>378</v>
      </c>
      <c r="W5" s="86">
        <v>0.5</v>
      </c>
      <c r="X5" s="52">
        <v>46218</v>
      </c>
      <c r="Y5" s="52">
        <v>46222</v>
      </c>
      <c r="Z5" s="87" t="s">
        <v>377</v>
      </c>
      <c r="AA5" s="88" t="s">
        <v>378</v>
      </c>
      <c r="AB5" s="89">
        <v>0</v>
      </c>
      <c r="AC5" s="51">
        <v>46223</v>
      </c>
      <c r="AD5" s="51">
        <v>46232</v>
      </c>
      <c r="AE5" s="22" t="s">
        <v>34</v>
      </c>
      <c r="AF5" s="90" t="s">
        <v>34</v>
      </c>
      <c r="AG5" s="91">
        <v>1</v>
      </c>
      <c r="AH5" s="50">
        <v>46243</v>
      </c>
      <c r="AI5" s="50">
        <v>46250</v>
      </c>
      <c r="AJ5" s="20" t="s">
        <v>165</v>
      </c>
      <c r="AK5" s="92" t="s">
        <v>215</v>
      </c>
      <c r="AL5" s="93">
        <v>0</v>
      </c>
      <c r="AM5" s="49">
        <v>46337</v>
      </c>
      <c r="AN5" s="49">
        <v>46343</v>
      </c>
      <c r="AO5" s="24" t="s">
        <v>40</v>
      </c>
      <c r="AP5" s="94">
        <v>0</v>
      </c>
    </row>
    <row r="6" spans="1:43">
      <c r="A6" s="7" t="s">
        <v>370</v>
      </c>
      <c r="B6" s="9" t="s">
        <v>381</v>
      </c>
      <c r="C6" s="6">
        <v>1</v>
      </c>
      <c r="D6" s="46">
        <v>46146</v>
      </c>
      <c r="E6" s="46">
        <v>46155</v>
      </c>
      <c r="F6" s="34" t="s">
        <v>34</v>
      </c>
      <c r="G6" s="107" t="s">
        <v>34</v>
      </c>
      <c r="H6" s="82">
        <v>1</v>
      </c>
      <c r="I6" s="229">
        <v>46156</v>
      </c>
      <c r="J6" s="229">
        <v>46165</v>
      </c>
      <c r="K6" s="24" t="s">
        <v>34</v>
      </c>
      <c r="L6" s="282" t="s">
        <v>34</v>
      </c>
      <c r="M6" s="94">
        <v>1</v>
      </c>
      <c r="N6" s="47">
        <v>46156</v>
      </c>
      <c r="O6" s="47">
        <v>46165</v>
      </c>
      <c r="P6" s="13" t="s">
        <v>34</v>
      </c>
      <c r="Q6" s="96" t="s">
        <v>34</v>
      </c>
      <c r="R6" s="84">
        <v>1</v>
      </c>
      <c r="S6" s="48">
        <v>46198</v>
      </c>
      <c r="T6" s="48">
        <v>46212</v>
      </c>
      <c r="U6" s="65" t="s">
        <v>375</v>
      </c>
      <c r="V6" s="85" t="s">
        <v>378</v>
      </c>
      <c r="W6" s="86">
        <v>0.5</v>
      </c>
      <c r="X6" s="52">
        <v>46218</v>
      </c>
      <c r="Y6" s="52">
        <v>46222</v>
      </c>
      <c r="Z6" s="87" t="s">
        <v>377</v>
      </c>
      <c r="AA6" s="88" t="s">
        <v>378</v>
      </c>
      <c r="AB6" s="89">
        <v>0</v>
      </c>
      <c r="AC6" s="51">
        <v>46223</v>
      </c>
      <c r="AD6" s="51">
        <v>46232</v>
      </c>
      <c r="AE6" s="22" t="s">
        <v>34</v>
      </c>
      <c r="AF6" s="90" t="s">
        <v>34</v>
      </c>
      <c r="AG6" s="91">
        <v>1</v>
      </c>
      <c r="AH6" s="50">
        <v>46243</v>
      </c>
      <c r="AI6" s="50">
        <v>46250</v>
      </c>
      <c r="AJ6" s="20" t="s">
        <v>165</v>
      </c>
      <c r="AK6" s="92" t="s">
        <v>215</v>
      </c>
      <c r="AL6" s="93">
        <v>0</v>
      </c>
      <c r="AM6" s="49">
        <v>46337</v>
      </c>
      <c r="AN6" s="49">
        <v>46343</v>
      </c>
      <c r="AO6" s="24" t="s">
        <v>40</v>
      </c>
      <c r="AP6" s="94">
        <v>0</v>
      </c>
    </row>
    <row r="7" spans="1:43" ht="13.5" customHeight="1">
      <c r="A7" s="7" t="s">
        <v>370</v>
      </c>
      <c r="B7" s="9" t="s">
        <v>382</v>
      </c>
      <c r="C7" s="6">
        <v>1</v>
      </c>
      <c r="D7" s="46">
        <v>46146</v>
      </c>
      <c r="E7" s="46">
        <v>46155</v>
      </c>
      <c r="F7" s="34" t="s">
        <v>34</v>
      </c>
      <c r="G7" s="107" t="s">
        <v>34</v>
      </c>
      <c r="H7" s="82">
        <v>1</v>
      </c>
      <c r="I7" s="229">
        <v>46156</v>
      </c>
      <c r="J7" s="229">
        <v>46165</v>
      </c>
      <c r="K7" s="24" t="s">
        <v>34</v>
      </c>
      <c r="L7" s="282" t="s">
        <v>34</v>
      </c>
      <c r="M7" s="94">
        <v>1</v>
      </c>
      <c r="N7" s="47">
        <v>46156</v>
      </c>
      <c r="O7" s="47">
        <v>46165</v>
      </c>
      <c r="P7" s="13" t="s">
        <v>34</v>
      </c>
      <c r="Q7" s="96" t="s">
        <v>34</v>
      </c>
      <c r="R7" s="84">
        <v>1</v>
      </c>
      <c r="S7" s="48">
        <v>46198</v>
      </c>
      <c r="T7" s="48">
        <v>46212</v>
      </c>
      <c r="U7" s="65" t="s">
        <v>375</v>
      </c>
      <c r="V7" s="85" t="s">
        <v>378</v>
      </c>
      <c r="W7" s="86">
        <v>0.5</v>
      </c>
      <c r="X7" s="52">
        <v>46218</v>
      </c>
      <c r="Y7" s="52">
        <v>46222</v>
      </c>
      <c r="Z7" s="87" t="s">
        <v>377</v>
      </c>
      <c r="AA7" s="88" t="s">
        <v>378</v>
      </c>
      <c r="AB7" s="89">
        <v>0</v>
      </c>
      <c r="AC7" s="51">
        <v>46223</v>
      </c>
      <c r="AD7" s="51">
        <v>46232</v>
      </c>
      <c r="AE7" s="22" t="s">
        <v>34</v>
      </c>
      <c r="AF7" s="90" t="s">
        <v>34</v>
      </c>
      <c r="AG7" s="91">
        <v>1</v>
      </c>
      <c r="AH7" s="50">
        <v>46243</v>
      </c>
      <c r="AI7" s="50">
        <v>46250</v>
      </c>
      <c r="AJ7" s="20" t="s">
        <v>165</v>
      </c>
      <c r="AK7" s="92" t="s">
        <v>215</v>
      </c>
      <c r="AL7" s="93">
        <v>0</v>
      </c>
      <c r="AM7" s="49">
        <v>46337</v>
      </c>
      <c r="AN7" s="49">
        <v>46343</v>
      </c>
      <c r="AO7" s="24" t="s">
        <v>40</v>
      </c>
      <c r="AP7" s="94">
        <v>0</v>
      </c>
    </row>
    <row r="8" spans="1:43">
      <c r="A8" s="7" t="s">
        <v>370</v>
      </c>
      <c r="B8" s="9" t="s">
        <v>383</v>
      </c>
      <c r="C8" s="6">
        <v>1</v>
      </c>
      <c r="D8" s="46">
        <v>46146</v>
      </c>
      <c r="E8" s="46">
        <v>46155</v>
      </c>
      <c r="F8" s="34" t="s">
        <v>34</v>
      </c>
      <c r="G8" s="107" t="s">
        <v>34</v>
      </c>
      <c r="H8" s="82">
        <v>1</v>
      </c>
      <c r="I8" s="229">
        <v>46156</v>
      </c>
      <c r="J8" s="229">
        <v>46165</v>
      </c>
      <c r="K8" s="24" t="s">
        <v>34</v>
      </c>
      <c r="L8" s="282" t="s">
        <v>34</v>
      </c>
      <c r="M8" s="94">
        <v>1</v>
      </c>
      <c r="N8" s="47">
        <v>46156</v>
      </c>
      <c r="O8" s="47">
        <v>46165</v>
      </c>
      <c r="P8" s="13" t="s">
        <v>34</v>
      </c>
      <c r="Q8" s="96" t="s">
        <v>34</v>
      </c>
      <c r="R8" s="84">
        <v>1</v>
      </c>
      <c r="S8" s="48">
        <v>46198</v>
      </c>
      <c r="T8" s="48">
        <v>46212</v>
      </c>
      <c r="U8" s="65" t="s">
        <v>375</v>
      </c>
      <c r="V8" s="85" t="s">
        <v>378</v>
      </c>
      <c r="W8" s="86">
        <v>0.5</v>
      </c>
      <c r="X8" s="52">
        <v>46218</v>
      </c>
      <c r="Y8" s="52">
        <v>46222</v>
      </c>
      <c r="Z8" s="87" t="s">
        <v>377</v>
      </c>
      <c r="AA8" s="88" t="s">
        <v>378</v>
      </c>
      <c r="AB8" s="89">
        <v>0</v>
      </c>
      <c r="AC8" s="51">
        <v>46223</v>
      </c>
      <c r="AD8" s="51">
        <v>46232</v>
      </c>
      <c r="AE8" s="22" t="s">
        <v>34</v>
      </c>
      <c r="AF8" s="90" t="s">
        <v>34</v>
      </c>
      <c r="AG8" s="91">
        <v>1</v>
      </c>
      <c r="AH8" s="50">
        <v>46243</v>
      </c>
      <c r="AI8" s="50">
        <v>46250</v>
      </c>
      <c r="AJ8" s="20" t="s">
        <v>165</v>
      </c>
      <c r="AK8" s="92" t="s">
        <v>215</v>
      </c>
      <c r="AL8" s="93">
        <v>0</v>
      </c>
      <c r="AM8" s="49">
        <v>46337</v>
      </c>
      <c r="AN8" s="49">
        <v>46343</v>
      </c>
      <c r="AO8" s="24" t="s">
        <v>40</v>
      </c>
      <c r="AP8" s="94">
        <v>0</v>
      </c>
    </row>
    <row r="9" spans="1:43">
      <c r="A9" s="7" t="s">
        <v>370</v>
      </c>
      <c r="B9" s="9" t="s">
        <v>384</v>
      </c>
      <c r="C9" s="6">
        <v>1</v>
      </c>
      <c r="D9" s="46">
        <v>46146</v>
      </c>
      <c r="E9" s="46">
        <v>46155</v>
      </c>
      <c r="F9" s="34" t="s">
        <v>34</v>
      </c>
      <c r="G9" s="107" t="s">
        <v>34</v>
      </c>
      <c r="H9" s="82">
        <v>1</v>
      </c>
      <c r="I9" s="229">
        <v>46156</v>
      </c>
      <c r="J9" s="229">
        <v>46165</v>
      </c>
      <c r="K9" s="24" t="s">
        <v>34</v>
      </c>
      <c r="L9" s="282" t="s">
        <v>34</v>
      </c>
      <c r="M9" s="94">
        <v>1</v>
      </c>
      <c r="N9" s="47">
        <v>46156</v>
      </c>
      <c r="O9" s="47">
        <v>46165</v>
      </c>
      <c r="P9" s="13" t="s">
        <v>34</v>
      </c>
      <c r="Q9" s="96" t="s">
        <v>34</v>
      </c>
      <c r="R9" s="84">
        <v>1</v>
      </c>
      <c r="S9" s="48">
        <v>46198</v>
      </c>
      <c r="T9" s="48">
        <v>46212</v>
      </c>
      <c r="U9" s="65" t="s">
        <v>375</v>
      </c>
      <c r="V9" s="85" t="s">
        <v>378</v>
      </c>
      <c r="W9" s="86">
        <v>0.5</v>
      </c>
      <c r="X9" s="52">
        <v>46218</v>
      </c>
      <c r="Y9" s="52">
        <v>46222</v>
      </c>
      <c r="Z9" s="87" t="s">
        <v>377</v>
      </c>
      <c r="AA9" s="88" t="s">
        <v>378</v>
      </c>
      <c r="AB9" s="89">
        <v>0</v>
      </c>
      <c r="AC9" s="51">
        <v>46223</v>
      </c>
      <c r="AD9" s="51">
        <v>46232</v>
      </c>
      <c r="AE9" s="22" t="s">
        <v>34</v>
      </c>
      <c r="AF9" s="90" t="s">
        <v>34</v>
      </c>
      <c r="AG9" s="91">
        <v>1</v>
      </c>
      <c r="AH9" s="50">
        <v>46243</v>
      </c>
      <c r="AI9" s="50">
        <v>46250</v>
      </c>
      <c r="AJ9" s="20" t="s">
        <v>34</v>
      </c>
      <c r="AK9" s="93" t="s">
        <v>190</v>
      </c>
      <c r="AL9" s="93">
        <v>1</v>
      </c>
      <c r="AM9" s="49">
        <v>46337</v>
      </c>
      <c r="AN9" s="49">
        <v>46343</v>
      </c>
      <c r="AO9" s="24" t="s">
        <v>40</v>
      </c>
      <c r="AP9" s="94">
        <v>0</v>
      </c>
    </row>
    <row r="10" spans="1:43">
      <c r="A10" s="7" t="s">
        <v>370</v>
      </c>
      <c r="B10" s="9">
        <v>42510</v>
      </c>
      <c r="C10" s="6">
        <v>1</v>
      </c>
      <c r="D10" s="46">
        <v>46146</v>
      </c>
      <c r="E10" s="46">
        <v>46155</v>
      </c>
      <c r="F10" s="34" t="s">
        <v>34</v>
      </c>
      <c r="G10" s="107" t="s">
        <v>34</v>
      </c>
      <c r="H10" s="82">
        <v>1</v>
      </c>
      <c r="I10" s="229">
        <v>46156</v>
      </c>
      <c r="J10" s="229">
        <v>46165</v>
      </c>
      <c r="K10" s="24" t="s">
        <v>34</v>
      </c>
      <c r="L10" s="282" t="s">
        <v>34</v>
      </c>
      <c r="M10" s="94">
        <v>1</v>
      </c>
      <c r="N10" s="47">
        <v>46156</v>
      </c>
      <c r="O10" s="47">
        <v>46165</v>
      </c>
      <c r="P10" s="13" t="s">
        <v>34</v>
      </c>
      <c r="Q10" s="96" t="s">
        <v>34</v>
      </c>
      <c r="R10" s="84">
        <v>1</v>
      </c>
      <c r="S10" s="48">
        <v>46198</v>
      </c>
      <c r="T10" s="48">
        <v>46212</v>
      </c>
      <c r="U10" s="65" t="s">
        <v>34</v>
      </c>
      <c r="V10" s="85" t="s">
        <v>34</v>
      </c>
      <c r="W10" s="86">
        <v>1</v>
      </c>
      <c r="X10" s="52">
        <v>46218</v>
      </c>
      <c r="Y10" s="52">
        <v>46222</v>
      </c>
      <c r="Z10" s="18" t="s">
        <v>34</v>
      </c>
      <c r="AA10" s="97" t="s">
        <v>34</v>
      </c>
      <c r="AB10" s="89">
        <v>1</v>
      </c>
      <c r="AC10" s="51">
        <v>46223</v>
      </c>
      <c r="AD10" s="51">
        <v>46232</v>
      </c>
      <c r="AE10" s="22" t="s">
        <v>34</v>
      </c>
      <c r="AF10" s="90" t="s">
        <v>34</v>
      </c>
      <c r="AG10" s="91">
        <v>1</v>
      </c>
      <c r="AH10" s="50">
        <v>46243</v>
      </c>
      <c r="AI10" s="50">
        <v>46250</v>
      </c>
      <c r="AJ10" s="20" t="s">
        <v>165</v>
      </c>
      <c r="AK10" s="92" t="s">
        <v>215</v>
      </c>
      <c r="AL10" s="93">
        <v>0</v>
      </c>
      <c r="AM10" s="49">
        <v>46337</v>
      </c>
      <c r="AN10" s="49">
        <v>46343</v>
      </c>
      <c r="AO10" s="24" t="s">
        <v>40</v>
      </c>
      <c r="AP10" s="94">
        <v>0</v>
      </c>
    </row>
    <row r="11" spans="1:43">
      <c r="A11" s="7" t="s">
        <v>370</v>
      </c>
      <c r="B11" s="9">
        <v>42610</v>
      </c>
      <c r="C11" s="6">
        <v>1</v>
      </c>
      <c r="D11" s="46">
        <v>46146</v>
      </c>
      <c r="E11" s="46">
        <v>46155</v>
      </c>
      <c r="F11" s="34" t="s">
        <v>34</v>
      </c>
      <c r="G11" s="107" t="s">
        <v>34</v>
      </c>
      <c r="H11" s="82">
        <v>1</v>
      </c>
      <c r="I11" s="229">
        <v>46156</v>
      </c>
      <c r="J11" s="229">
        <v>46165</v>
      </c>
      <c r="K11" s="24" t="s">
        <v>40</v>
      </c>
      <c r="L11" s="281" t="s">
        <v>385</v>
      </c>
      <c r="M11" s="94">
        <v>0</v>
      </c>
      <c r="N11" s="47">
        <v>46156</v>
      </c>
      <c r="O11" s="47">
        <v>46165</v>
      </c>
      <c r="P11" s="13" t="s">
        <v>40</v>
      </c>
      <c r="Q11" s="83" t="s">
        <v>386</v>
      </c>
      <c r="R11" s="84">
        <v>0</v>
      </c>
      <c r="S11" s="48">
        <v>46198</v>
      </c>
      <c r="T11" s="48">
        <v>46212</v>
      </c>
      <c r="U11" s="65" t="s">
        <v>34</v>
      </c>
      <c r="V11" s="85" t="s">
        <v>34</v>
      </c>
      <c r="W11" s="86">
        <v>1</v>
      </c>
      <c r="X11" s="52">
        <v>46218</v>
      </c>
      <c r="Y11" s="52">
        <v>46222</v>
      </c>
      <c r="Z11" s="18" t="s">
        <v>34</v>
      </c>
      <c r="AA11" s="97" t="s">
        <v>34</v>
      </c>
      <c r="AB11" s="89">
        <v>1</v>
      </c>
      <c r="AC11" s="51">
        <v>46223</v>
      </c>
      <c r="AD11" s="51">
        <v>46232</v>
      </c>
      <c r="AE11" s="22" t="s">
        <v>34</v>
      </c>
      <c r="AF11" s="90" t="s">
        <v>34</v>
      </c>
      <c r="AG11" s="91">
        <v>1</v>
      </c>
      <c r="AH11" s="50">
        <v>46243</v>
      </c>
      <c r="AI11" s="50">
        <v>46250</v>
      </c>
      <c r="AJ11" s="20" t="s">
        <v>165</v>
      </c>
      <c r="AK11" s="92" t="s">
        <v>215</v>
      </c>
      <c r="AL11" s="93">
        <v>0</v>
      </c>
      <c r="AM11" s="49">
        <v>46337</v>
      </c>
      <c r="AN11" s="49">
        <v>46343</v>
      </c>
      <c r="AO11" s="24" t="s">
        <v>40</v>
      </c>
      <c r="AP11" s="94">
        <v>0</v>
      </c>
    </row>
    <row r="12" spans="1:43">
      <c r="A12" s="7" t="s">
        <v>370</v>
      </c>
      <c r="B12" s="9">
        <v>42710</v>
      </c>
      <c r="C12" s="6">
        <v>1</v>
      </c>
      <c r="D12" s="46">
        <v>46146</v>
      </c>
      <c r="E12" s="46">
        <v>46155</v>
      </c>
      <c r="F12" s="34" t="s">
        <v>34</v>
      </c>
      <c r="G12" s="107" t="s">
        <v>34</v>
      </c>
      <c r="H12" s="82">
        <v>1</v>
      </c>
      <c r="I12" s="229">
        <v>46156</v>
      </c>
      <c r="J12" s="229">
        <v>46165</v>
      </c>
      <c r="K12" s="24" t="s">
        <v>40</v>
      </c>
      <c r="L12" s="281" t="s">
        <v>385</v>
      </c>
      <c r="M12" s="94">
        <v>0</v>
      </c>
      <c r="N12" s="47">
        <v>46156</v>
      </c>
      <c r="O12" s="47">
        <v>46165</v>
      </c>
      <c r="P12" s="13" t="s">
        <v>40</v>
      </c>
      <c r="Q12" s="83" t="s">
        <v>386</v>
      </c>
      <c r="R12" s="84">
        <v>0</v>
      </c>
      <c r="S12" s="48">
        <v>46198</v>
      </c>
      <c r="T12" s="48">
        <v>46212</v>
      </c>
      <c r="U12" s="65" t="s">
        <v>34</v>
      </c>
      <c r="V12" s="85" t="s">
        <v>34</v>
      </c>
      <c r="W12" s="86">
        <v>1</v>
      </c>
      <c r="X12" s="52">
        <v>46218</v>
      </c>
      <c r="Y12" s="52">
        <v>46222</v>
      </c>
      <c r="Z12" s="18" t="s">
        <v>34</v>
      </c>
      <c r="AA12" s="97" t="s">
        <v>34</v>
      </c>
      <c r="AB12" s="89">
        <v>1</v>
      </c>
      <c r="AC12" s="51">
        <v>46223</v>
      </c>
      <c r="AD12" s="51">
        <v>46232</v>
      </c>
      <c r="AE12" s="22" t="s">
        <v>34</v>
      </c>
      <c r="AF12" s="90" t="s">
        <v>34</v>
      </c>
      <c r="AG12" s="91">
        <v>1</v>
      </c>
      <c r="AH12" s="50">
        <v>46243</v>
      </c>
      <c r="AI12" s="50">
        <v>46250</v>
      </c>
      <c r="AJ12" s="20" t="s">
        <v>34</v>
      </c>
      <c r="AK12" s="93" t="s">
        <v>190</v>
      </c>
      <c r="AL12" s="93">
        <v>1</v>
      </c>
      <c r="AM12" s="49">
        <v>46337</v>
      </c>
      <c r="AN12" s="49">
        <v>46343</v>
      </c>
      <c r="AO12" s="24" t="s">
        <v>40</v>
      </c>
      <c r="AP12" s="94">
        <v>0</v>
      </c>
    </row>
    <row r="13" spans="1:43">
      <c r="A13" s="7" t="s">
        <v>370</v>
      </c>
      <c r="B13" s="9">
        <v>42810</v>
      </c>
      <c r="C13" s="6">
        <v>1</v>
      </c>
      <c r="D13" s="46">
        <v>46146</v>
      </c>
      <c r="E13" s="46">
        <v>46155</v>
      </c>
      <c r="F13" s="34" t="s">
        <v>34</v>
      </c>
      <c r="G13" s="107" t="s">
        <v>34</v>
      </c>
      <c r="H13" s="82">
        <v>1</v>
      </c>
      <c r="I13" s="229">
        <v>46156</v>
      </c>
      <c r="J13" s="229">
        <v>46165</v>
      </c>
      <c r="K13" s="24" t="s">
        <v>40</v>
      </c>
      <c r="L13" s="281" t="s">
        <v>385</v>
      </c>
      <c r="M13" s="94">
        <v>0</v>
      </c>
      <c r="N13" s="47">
        <v>46156</v>
      </c>
      <c r="O13" s="47">
        <v>46165</v>
      </c>
      <c r="P13" s="13" t="s">
        <v>40</v>
      </c>
      <c r="Q13" s="83" t="s">
        <v>386</v>
      </c>
      <c r="R13" s="84">
        <v>0</v>
      </c>
      <c r="S13" s="48">
        <v>46198</v>
      </c>
      <c r="T13" s="48">
        <v>46212</v>
      </c>
      <c r="U13" s="65" t="s">
        <v>34</v>
      </c>
      <c r="V13" s="85" t="s">
        <v>34</v>
      </c>
      <c r="W13" s="86">
        <v>1</v>
      </c>
      <c r="X13" s="52">
        <v>46218</v>
      </c>
      <c r="Y13" s="52">
        <v>46222</v>
      </c>
      <c r="Z13" s="18" t="s">
        <v>34</v>
      </c>
      <c r="AA13" s="97" t="s">
        <v>34</v>
      </c>
      <c r="AB13" s="89">
        <v>1</v>
      </c>
      <c r="AC13" s="51">
        <v>46223</v>
      </c>
      <c r="AD13" s="51">
        <v>46232</v>
      </c>
      <c r="AE13" s="22" t="s">
        <v>34</v>
      </c>
      <c r="AF13" s="90" t="s">
        <v>34</v>
      </c>
      <c r="AG13" s="91">
        <v>1</v>
      </c>
      <c r="AH13" s="50">
        <v>46243</v>
      </c>
      <c r="AI13" s="50">
        <v>46250</v>
      </c>
      <c r="AJ13" s="20" t="s">
        <v>34</v>
      </c>
      <c r="AK13" s="93" t="s">
        <v>190</v>
      </c>
      <c r="AL13" s="93">
        <v>1</v>
      </c>
      <c r="AM13" s="49">
        <v>46337</v>
      </c>
      <c r="AN13" s="49">
        <v>46343</v>
      </c>
      <c r="AO13" s="24" t="s">
        <v>40</v>
      </c>
      <c r="AP13" s="94">
        <v>0</v>
      </c>
    </row>
    <row r="14" spans="1:43">
      <c r="A14" s="7" t="s">
        <v>370</v>
      </c>
      <c r="B14" s="9" t="s">
        <v>387</v>
      </c>
      <c r="C14" s="6">
        <v>1</v>
      </c>
      <c r="D14" s="46">
        <v>46146</v>
      </c>
      <c r="E14" s="46">
        <v>46155</v>
      </c>
      <c r="F14" s="34" t="s">
        <v>34</v>
      </c>
      <c r="G14" s="107" t="s">
        <v>34</v>
      </c>
      <c r="H14" s="82">
        <v>1</v>
      </c>
      <c r="I14" s="229">
        <v>46156</v>
      </c>
      <c r="J14" s="229">
        <v>46165</v>
      </c>
      <c r="K14" s="24" t="s">
        <v>34</v>
      </c>
      <c r="L14" s="282" t="s">
        <v>34</v>
      </c>
      <c r="M14" s="94">
        <v>1</v>
      </c>
      <c r="N14" s="47">
        <v>46156</v>
      </c>
      <c r="O14" s="47">
        <v>46165</v>
      </c>
      <c r="P14" s="13" t="s">
        <v>34</v>
      </c>
      <c r="Q14" s="96" t="s">
        <v>34</v>
      </c>
      <c r="R14" s="84">
        <v>1</v>
      </c>
      <c r="S14" s="48">
        <v>46198</v>
      </c>
      <c r="T14" s="48">
        <v>46212</v>
      </c>
      <c r="U14" s="65" t="s">
        <v>375</v>
      </c>
      <c r="V14" s="85" t="s">
        <v>378</v>
      </c>
      <c r="W14" s="86">
        <v>0.5</v>
      </c>
      <c r="X14" s="52">
        <v>46218</v>
      </c>
      <c r="Y14" s="52">
        <v>46222</v>
      </c>
      <c r="Z14" s="87" t="s">
        <v>377</v>
      </c>
      <c r="AA14" s="95" t="s">
        <v>378</v>
      </c>
      <c r="AB14" s="89">
        <v>0</v>
      </c>
      <c r="AC14" s="51">
        <v>46223</v>
      </c>
      <c r="AD14" s="51">
        <v>46232</v>
      </c>
      <c r="AE14" s="22" t="s">
        <v>34</v>
      </c>
      <c r="AF14" s="90" t="s">
        <v>34</v>
      </c>
      <c r="AG14" s="91">
        <v>1</v>
      </c>
      <c r="AH14" s="50">
        <v>46243</v>
      </c>
      <c r="AI14" s="50">
        <v>46250</v>
      </c>
      <c r="AJ14" s="20" t="s">
        <v>34</v>
      </c>
      <c r="AK14" s="93" t="s">
        <v>190</v>
      </c>
      <c r="AL14" s="93">
        <v>1</v>
      </c>
      <c r="AM14" s="49">
        <v>46337</v>
      </c>
      <c r="AN14" s="49">
        <v>46343</v>
      </c>
      <c r="AO14" s="24" t="s">
        <v>40</v>
      </c>
      <c r="AP14" s="94">
        <v>0</v>
      </c>
    </row>
    <row r="15" spans="1:43">
      <c r="A15" s="7" t="s">
        <v>370</v>
      </c>
      <c r="B15" s="9" t="s">
        <v>388</v>
      </c>
      <c r="C15" s="6">
        <v>1</v>
      </c>
      <c r="D15" s="46">
        <v>46146</v>
      </c>
      <c r="E15" s="46">
        <v>46155</v>
      </c>
      <c r="F15" s="34" t="s">
        <v>34</v>
      </c>
      <c r="G15" s="439" t="s">
        <v>389</v>
      </c>
      <c r="H15" s="82">
        <v>1</v>
      </c>
      <c r="I15" s="229">
        <v>46166</v>
      </c>
      <c r="J15" s="229">
        <v>46175</v>
      </c>
      <c r="K15" s="24" t="s">
        <v>34</v>
      </c>
      <c r="L15" s="282" t="s">
        <v>34</v>
      </c>
      <c r="M15" s="94">
        <v>1</v>
      </c>
      <c r="N15" s="47">
        <v>46166</v>
      </c>
      <c r="O15" s="47">
        <v>46175</v>
      </c>
      <c r="P15" s="13" t="s">
        <v>34</v>
      </c>
      <c r="Q15" s="96" t="s">
        <v>34</v>
      </c>
      <c r="R15" s="84">
        <v>1</v>
      </c>
      <c r="S15" s="48">
        <v>46198</v>
      </c>
      <c r="T15" s="48">
        <v>46212</v>
      </c>
      <c r="U15" s="16" t="s">
        <v>40</v>
      </c>
      <c r="V15" s="85" t="s">
        <v>376</v>
      </c>
      <c r="W15" s="86">
        <v>0</v>
      </c>
      <c r="X15" s="52">
        <v>46218</v>
      </c>
      <c r="Y15" s="52">
        <v>46222</v>
      </c>
      <c r="Z15" s="87" t="s">
        <v>377</v>
      </c>
      <c r="AA15" s="95" t="s">
        <v>376</v>
      </c>
      <c r="AB15" s="89">
        <v>0</v>
      </c>
      <c r="AC15" s="51">
        <v>46223</v>
      </c>
      <c r="AD15" s="51">
        <v>46232</v>
      </c>
      <c r="AE15" s="22" t="s">
        <v>34</v>
      </c>
      <c r="AF15" s="90" t="s">
        <v>34</v>
      </c>
      <c r="AG15" s="91">
        <v>1</v>
      </c>
      <c r="AH15" s="50">
        <v>46243</v>
      </c>
      <c r="AI15" s="50">
        <v>46250</v>
      </c>
      <c r="AJ15" s="20" t="s">
        <v>165</v>
      </c>
      <c r="AK15" s="92" t="s">
        <v>215</v>
      </c>
      <c r="AL15" s="93">
        <v>0</v>
      </c>
      <c r="AM15" s="49">
        <v>46337</v>
      </c>
      <c r="AN15" s="49">
        <v>46343</v>
      </c>
      <c r="AO15" s="24" t="s">
        <v>40</v>
      </c>
      <c r="AP15" s="94">
        <v>0</v>
      </c>
    </row>
    <row r="16" spans="1:43">
      <c r="A16" s="7" t="s">
        <v>370</v>
      </c>
      <c r="B16" s="9" t="s">
        <v>390</v>
      </c>
      <c r="C16" s="6">
        <v>1</v>
      </c>
      <c r="D16" s="46">
        <v>46146</v>
      </c>
      <c r="E16" s="46">
        <v>46155</v>
      </c>
      <c r="F16" s="34" t="s">
        <v>34</v>
      </c>
      <c r="G16" s="439" t="s">
        <v>389</v>
      </c>
      <c r="H16" s="82">
        <v>1</v>
      </c>
      <c r="I16" s="229">
        <v>46166</v>
      </c>
      <c r="J16" s="229">
        <v>46175</v>
      </c>
      <c r="K16" s="24" t="s">
        <v>34</v>
      </c>
      <c r="L16" s="282" t="s">
        <v>34</v>
      </c>
      <c r="M16" s="94">
        <v>1</v>
      </c>
      <c r="N16" s="47">
        <v>46166</v>
      </c>
      <c r="O16" s="47">
        <v>46175</v>
      </c>
      <c r="P16" s="13" t="s">
        <v>34</v>
      </c>
      <c r="Q16" s="96" t="s">
        <v>34</v>
      </c>
      <c r="R16" s="84">
        <v>1</v>
      </c>
      <c r="S16" s="48">
        <v>46198</v>
      </c>
      <c r="T16" s="48">
        <v>46212</v>
      </c>
      <c r="U16" s="16" t="s">
        <v>40</v>
      </c>
      <c r="V16" s="85" t="s">
        <v>376</v>
      </c>
      <c r="W16" s="86">
        <v>0</v>
      </c>
      <c r="X16" s="52">
        <v>46218</v>
      </c>
      <c r="Y16" s="52">
        <v>46222</v>
      </c>
      <c r="Z16" s="87" t="s">
        <v>377</v>
      </c>
      <c r="AA16" s="95" t="s">
        <v>376</v>
      </c>
      <c r="AB16" s="89">
        <v>0</v>
      </c>
      <c r="AC16" s="51">
        <v>46223</v>
      </c>
      <c r="AD16" s="51">
        <v>46232</v>
      </c>
      <c r="AE16" s="22" t="s">
        <v>34</v>
      </c>
      <c r="AF16" s="90" t="s">
        <v>34</v>
      </c>
      <c r="AG16" s="91">
        <v>1</v>
      </c>
      <c r="AH16" s="50">
        <v>46243</v>
      </c>
      <c r="AI16" s="50">
        <v>46250</v>
      </c>
      <c r="AJ16" s="20" t="s">
        <v>165</v>
      </c>
      <c r="AK16" s="92" t="s">
        <v>215</v>
      </c>
      <c r="AL16" s="93">
        <v>0</v>
      </c>
      <c r="AM16" s="49">
        <v>46337</v>
      </c>
      <c r="AN16" s="49">
        <v>46343</v>
      </c>
      <c r="AO16" s="24" t="s">
        <v>40</v>
      </c>
      <c r="AP16" s="94">
        <v>0</v>
      </c>
    </row>
    <row r="17" spans="1:42">
      <c r="A17" s="7" t="s">
        <v>370</v>
      </c>
      <c r="B17" s="9" t="s">
        <v>391</v>
      </c>
      <c r="C17" s="6">
        <v>1</v>
      </c>
      <c r="D17" s="46">
        <v>46146</v>
      </c>
      <c r="E17" s="46">
        <v>46155</v>
      </c>
      <c r="F17" s="34" t="s">
        <v>34</v>
      </c>
      <c r="G17" s="439" t="s">
        <v>389</v>
      </c>
      <c r="H17" s="82">
        <v>1</v>
      </c>
      <c r="I17" s="229">
        <v>46166</v>
      </c>
      <c r="J17" s="229">
        <v>46175</v>
      </c>
      <c r="K17" s="24" t="s">
        <v>34</v>
      </c>
      <c r="L17" s="282" t="s">
        <v>34</v>
      </c>
      <c r="M17" s="94">
        <v>1</v>
      </c>
      <c r="N17" s="47">
        <v>46166</v>
      </c>
      <c r="O17" s="47">
        <v>46175</v>
      </c>
      <c r="P17" s="13" t="s">
        <v>34</v>
      </c>
      <c r="Q17" s="96" t="s">
        <v>34</v>
      </c>
      <c r="R17" s="84">
        <v>1</v>
      </c>
      <c r="S17" s="48">
        <v>46198</v>
      </c>
      <c r="T17" s="48">
        <v>46212</v>
      </c>
      <c r="U17" s="16" t="s">
        <v>40</v>
      </c>
      <c r="V17" s="85" t="s">
        <v>376</v>
      </c>
      <c r="W17" s="86">
        <v>0</v>
      </c>
      <c r="X17" s="52">
        <v>46218</v>
      </c>
      <c r="Y17" s="52">
        <v>46222</v>
      </c>
      <c r="Z17" s="87" t="s">
        <v>377</v>
      </c>
      <c r="AA17" s="95" t="s">
        <v>376</v>
      </c>
      <c r="AB17" s="89">
        <v>0</v>
      </c>
      <c r="AC17" s="51">
        <v>46223</v>
      </c>
      <c r="AD17" s="51">
        <v>46232</v>
      </c>
      <c r="AE17" s="22" t="s">
        <v>34</v>
      </c>
      <c r="AF17" s="90" t="s">
        <v>34</v>
      </c>
      <c r="AG17" s="91">
        <v>1</v>
      </c>
      <c r="AH17" s="50">
        <v>46243</v>
      </c>
      <c r="AI17" s="50">
        <v>46250</v>
      </c>
      <c r="AJ17" s="20" t="s">
        <v>165</v>
      </c>
      <c r="AK17" s="92" t="s">
        <v>215</v>
      </c>
      <c r="AL17" s="93">
        <v>0</v>
      </c>
      <c r="AM17" s="49">
        <v>46337</v>
      </c>
      <c r="AN17" s="49">
        <v>46343</v>
      </c>
      <c r="AO17" s="24" t="s">
        <v>40</v>
      </c>
      <c r="AP17" s="94">
        <v>0</v>
      </c>
    </row>
    <row r="18" spans="1:42">
      <c r="A18" s="7" t="s">
        <v>370</v>
      </c>
      <c r="B18" s="9" t="s">
        <v>392</v>
      </c>
      <c r="C18" s="6">
        <v>1</v>
      </c>
      <c r="D18" s="46">
        <v>46146</v>
      </c>
      <c r="E18" s="46">
        <v>46155</v>
      </c>
      <c r="F18" s="34" t="s">
        <v>34</v>
      </c>
      <c r="G18" s="439" t="s">
        <v>389</v>
      </c>
      <c r="H18" s="82">
        <v>1</v>
      </c>
      <c r="I18" s="229">
        <v>46166</v>
      </c>
      <c r="J18" s="229">
        <v>46175</v>
      </c>
      <c r="K18" s="24" t="s">
        <v>34</v>
      </c>
      <c r="L18" s="282" t="s">
        <v>34</v>
      </c>
      <c r="M18" s="94">
        <v>1</v>
      </c>
      <c r="N18" s="47">
        <v>46166</v>
      </c>
      <c r="O18" s="47">
        <v>46175</v>
      </c>
      <c r="P18" s="13" t="s">
        <v>34</v>
      </c>
      <c r="Q18" s="96" t="s">
        <v>34</v>
      </c>
      <c r="R18" s="84">
        <v>1</v>
      </c>
      <c r="S18" s="48">
        <v>46198</v>
      </c>
      <c r="T18" s="48">
        <v>46212</v>
      </c>
      <c r="U18" s="16" t="s">
        <v>40</v>
      </c>
      <c r="V18" s="85" t="s">
        <v>376</v>
      </c>
      <c r="W18" s="86">
        <v>0</v>
      </c>
      <c r="X18" s="52">
        <v>46218</v>
      </c>
      <c r="Y18" s="52">
        <v>46222</v>
      </c>
      <c r="Z18" s="87" t="s">
        <v>377</v>
      </c>
      <c r="AA18" s="95" t="s">
        <v>376</v>
      </c>
      <c r="AB18" s="89">
        <v>0</v>
      </c>
      <c r="AC18" s="51">
        <v>46223</v>
      </c>
      <c r="AD18" s="51">
        <v>46232</v>
      </c>
      <c r="AE18" s="22" t="s">
        <v>34</v>
      </c>
      <c r="AF18" s="90" t="s">
        <v>34</v>
      </c>
      <c r="AG18" s="91">
        <v>1</v>
      </c>
      <c r="AH18" s="50">
        <v>46243</v>
      </c>
      <c r="AI18" s="50">
        <v>46250</v>
      </c>
      <c r="AJ18" s="20" t="s">
        <v>165</v>
      </c>
      <c r="AK18" s="92" t="s">
        <v>215</v>
      </c>
      <c r="AL18" s="93">
        <v>0</v>
      </c>
      <c r="AM18" s="49">
        <v>46337</v>
      </c>
      <c r="AN18" s="49">
        <v>46343</v>
      </c>
      <c r="AO18" s="24" t="s">
        <v>40</v>
      </c>
      <c r="AP18" s="94">
        <v>0</v>
      </c>
    </row>
    <row r="19" spans="1:42">
      <c r="A19" s="7" t="s">
        <v>370</v>
      </c>
      <c r="B19" s="9" t="s">
        <v>393</v>
      </c>
      <c r="C19" s="6">
        <v>1</v>
      </c>
      <c r="D19" s="46">
        <v>46146</v>
      </c>
      <c r="E19" s="46">
        <v>46155</v>
      </c>
      <c r="F19" s="34" t="s">
        <v>34</v>
      </c>
      <c r="G19" s="107" t="s">
        <v>34</v>
      </c>
      <c r="H19" s="82">
        <v>1</v>
      </c>
      <c r="I19" s="229">
        <v>46166</v>
      </c>
      <c r="J19" s="229">
        <v>46175</v>
      </c>
      <c r="K19" s="24" t="s">
        <v>40</v>
      </c>
      <c r="L19" s="281" t="s">
        <v>394</v>
      </c>
      <c r="M19" s="94">
        <v>0</v>
      </c>
      <c r="N19" s="47">
        <v>46166</v>
      </c>
      <c r="O19" s="47">
        <v>46175</v>
      </c>
      <c r="P19" s="13" t="s">
        <v>40</v>
      </c>
      <c r="Q19" s="83" t="s">
        <v>394</v>
      </c>
      <c r="R19" s="84">
        <v>0</v>
      </c>
      <c r="S19" s="48">
        <v>46198</v>
      </c>
      <c r="T19" s="48">
        <v>46212</v>
      </c>
      <c r="U19" s="16" t="s">
        <v>34</v>
      </c>
      <c r="V19" s="85" t="s">
        <v>34</v>
      </c>
      <c r="W19" s="86">
        <v>1</v>
      </c>
      <c r="X19" s="52">
        <v>46218</v>
      </c>
      <c r="Y19" s="52">
        <v>46222</v>
      </c>
      <c r="Z19" s="18" t="s">
        <v>34</v>
      </c>
      <c r="AA19" s="97" t="s">
        <v>34</v>
      </c>
      <c r="AB19" s="89">
        <v>1</v>
      </c>
      <c r="AC19" s="51">
        <v>46223</v>
      </c>
      <c r="AD19" s="51">
        <v>46232</v>
      </c>
      <c r="AE19" s="22" t="s">
        <v>40</v>
      </c>
      <c r="AF19" s="98" t="s">
        <v>34</v>
      </c>
      <c r="AG19" s="91">
        <v>1</v>
      </c>
      <c r="AH19" s="50">
        <v>46243</v>
      </c>
      <c r="AI19" s="50">
        <v>46250</v>
      </c>
      <c r="AJ19" s="20" t="s">
        <v>34</v>
      </c>
      <c r="AK19" s="93" t="s">
        <v>190</v>
      </c>
      <c r="AL19" s="93">
        <v>1</v>
      </c>
      <c r="AM19" s="49">
        <v>46337</v>
      </c>
      <c r="AN19" s="49">
        <v>46343</v>
      </c>
      <c r="AO19" s="24" t="s">
        <v>40</v>
      </c>
      <c r="AP19" s="94">
        <v>0</v>
      </c>
    </row>
    <row r="20" spans="1:42">
      <c r="A20" s="7" t="s">
        <v>370</v>
      </c>
      <c r="B20" s="9" t="s">
        <v>395</v>
      </c>
      <c r="C20" s="6">
        <v>1</v>
      </c>
      <c r="D20" s="46">
        <v>46146</v>
      </c>
      <c r="E20" s="46">
        <v>46155</v>
      </c>
      <c r="F20" s="34" t="s">
        <v>40</v>
      </c>
      <c r="G20" s="99" t="s">
        <v>225</v>
      </c>
      <c r="H20" s="82">
        <v>0</v>
      </c>
      <c r="I20" s="229">
        <v>46166</v>
      </c>
      <c r="J20" s="229">
        <v>46175</v>
      </c>
      <c r="K20" s="24" t="s">
        <v>40</v>
      </c>
      <c r="L20" s="281" t="s">
        <v>225</v>
      </c>
      <c r="M20" s="94">
        <v>0</v>
      </c>
      <c r="N20" s="47">
        <v>46166</v>
      </c>
      <c r="O20" s="47">
        <v>46175</v>
      </c>
      <c r="P20" s="13" t="s">
        <v>40</v>
      </c>
      <c r="Q20" s="83" t="s">
        <v>225</v>
      </c>
      <c r="R20" s="84">
        <v>0</v>
      </c>
      <c r="S20" s="48">
        <v>46198</v>
      </c>
      <c r="T20" s="48">
        <v>46212</v>
      </c>
      <c r="U20" s="16" t="s">
        <v>40</v>
      </c>
      <c r="V20" s="85" t="s">
        <v>376</v>
      </c>
      <c r="W20" s="86">
        <v>0</v>
      </c>
      <c r="X20" s="52">
        <v>46218</v>
      </c>
      <c r="Y20" s="52">
        <v>46222</v>
      </c>
      <c r="Z20" s="87" t="s">
        <v>377</v>
      </c>
      <c r="AA20" s="95" t="s">
        <v>376</v>
      </c>
      <c r="AB20" s="89">
        <v>0</v>
      </c>
      <c r="AC20" s="51">
        <v>46223</v>
      </c>
      <c r="AD20" s="51">
        <v>46232</v>
      </c>
      <c r="AE20" s="22" t="s">
        <v>40</v>
      </c>
      <c r="AF20" s="98" t="s">
        <v>376</v>
      </c>
      <c r="AG20" s="91">
        <v>0</v>
      </c>
      <c r="AH20" s="50">
        <v>46243</v>
      </c>
      <c r="AI20" s="50">
        <v>46250</v>
      </c>
      <c r="AJ20" s="20" t="s">
        <v>165</v>
      </c>
      <c r="AK20" s="92" t="s">
        <v>215</v>
      </c>
      <c r="AL20" s="93">
        <v>0</v>
      </c>
      <c r="AM20" s="49">
        <v>46337</v>
      </c>
      <c r="AN20" s="49">
        <v>46343</v>
      </c>
      <c r="AO20" s="24" t="s">
        <v>40</v>
      </c>
      <c r="AP20" s="94">
        <v>0</v>
      </c>
    </row>
    <row r="21" spans="1:42">
      <c r="A21" s="7" t="s">
        <v>370</v>
      </c>
      <c r="B21" s="9" t="s">
        <v>396</v>
      </c>
      <c r="C21" s="6">
        <v>1</v>
      </c>
      <c r="D21" s="46">
        <v>46146</v>
      </c>
      <c r="E21" s="46">
        <v>46155</v>
      </c>
      <c r="F21" s="100" t="s">
        <v>232</v>
      </c>
      <c r="G21" s="99" t="s">
        <v>362</v>
      </c>
      <c r="H21" s="82">
        <v>0.5</v>
      </c>
      <c r="I21" s="229">
        <v>46166</v>
      </c>
      <c r="J21" s="229">
        <v>46175</v>
      </c>
      <c r="K21" s="24" t="s">
        <v>40</v>
      </c>
      <c r="L21" s="281" t="s">
        <v>225</v>
      </c>
      <c r="M21" s="94">
        <v>0</v>
      </c>
      <c r="N21" s="47">
        <v>46166</v>
      </c>
      <c r="O21" s="47">
        <v>46175</v>
      </c>
      <c r="P21" s="13" t="s">
        <v>40</v>
      </c>
      <c r="Q21" s="83" t="s">
        <v>225</v>
      </c>
      <c r="R21" s="84">
        <v>0</v>
      </c>
      <c r="S21" s="48">
        <v>46198</v>
      </c>
      <c r="T21" s="48">
        <v>46212</v>
      </c>
      <c r="U21" s="16" t="s">
        <v>40</v>
      </c>
      <c r="V21" s="85" t="s">
        <v>376</v>
      </c>
      <c r="W21" s="86">
        <v>0</v>
      </c>
      <c r="X21" s="52">
        <v>46218</v>
      </c>
      <c r="Y21" s="52">
        <v>46222</v>
      </c>
      <c r="Z21" s="87" t="s">
        <v>377</v>
      </c>
      <c r="AA21" s="95" t="s">
        <v>376</v>
      </c>
      <c r="AB21" s="89">
        <v>0</v>
      </c>
      <c r="AC21" s="51">
        <v>46223</v>
      </c>
      <c r="AD21" s="51">
        <v>46232</v>
      </c>
      <c r="AE21" s="22" t="s">
        <v>40</v>
      </c>
      <c r="AF21" s="98" t="s">
        <v>376</v>
      </c>
      <c r="AG21" s="91">
        <v>0</v>
      </c>
      <c r="AH21" s="50">
        <v>46243</v>
      </c>
      <c r="AI21" s="50">
        <v>46250</v>
      </c>
      <c r="AJ21" s="20" t="s">
        <v>165</v>
      </c>
      <c r="AK21" s="92" t="s">
        <v>215</v>
      </c>
      <c r="AL21" s="93">
        <v>0</v>
      </c>
      <c r="AM21" s="49">
        <v>46337</v>
      </c>
      <c r="AN21" s="49">
        <v>46343</v>
      </c>
      <c r="AO21" s="24" t="s">
        <v>40</v>
      </c>
      <c r="AP21" s="94">
        <v>0</v>
      </c>
    </row>
    <row r="22" spans="1:42">
      <c r="A22" s="7" t="s">
        <v>370</v>
      </c>
      <c r="B22" s="9" t="s">
        <v>397</v>
      </c>
      <c r="C22" s="6">
        <v>1</v>
      </c>
      <c r="D22" s="46">
        <v>46146</v>
      </c>
      <c r="E22" s="46">
        <v>46155</v>
      </c>
      <c r="F22" s="100" t="s">
        <v>232</v>
      </c>
      <c r="G22" s="99" t="s">
        <v>34</v>
      </c>
      <c r="H22" s="82">
        <v>1</v>
      </c>
      <c r="I22" s="229">
        <v>46166</v>
      </c>
      <c r="J22" s="229">
        <v>46175</v>
      </c>
      <c r="K22" s="24" t="s">
        <v>40</v>
      </c>
      <c r="L22" s="281" t="s">
        <v>34</v>
      </c>
      <c r="M22" s="94">
        <v>1</v>
      </c>
      <c r="N22" s="47">
        <v>46166</v>
      </c>
      <c r="O22" s="47">
        <v>46175</v>
      </c>
      <c r="P22" s="13" t="s">
        <v>40</v>
      </c>
      <c r="Q22" s="83" t="s">
        <v>34</v>
      </c>
      <c r="R22" s="84">
        <v>1</v>
      </c>
      <c r="S22" s="48">
        <v>46213</v>
      </c>
      <c r="T22" s="48">
        <v>46217</v>
      </c>
      <c r="U22" s="16" t="s">
        <v>40</v>
      </c>
      <c r="V22" s="85" t="s">
        <v>376</v>
      </c>
      <c r="W22" s="86">
        <v>0</v>
      </c>
      <c r="X22" s="52">
        <v>46218</v>
      </c>
      <c r="Y22" s="52">
        <v>46222</v>
      </c>
      <c r="Z22" s="87" t="s">
        <v>377</v>
      </c>
      <c r="AA22" s="95" t="s">
        <v>376</v>
      </c>
      <c r="AB22" s="89">
        <v>0</v>
      </c>
      <c r="AC22" s="51">
        <v>46233</v>
      </c>
      <c r="AD22" s="51">
        <v>46242</v>
      </c>
      <c r="AE22" s="22" t="s">
        <v>40</v>
      </c>
      <c r="AF22" s="98" t="s">
        <v>34</v>
      </c>
      <c r="AG22" s="91">
        <v>1</v>
      </c>
      <c r="AH22" s="50">
        <v>46243</v>
      </c>
      <c r="AI22" s="50">
        <v>46250</v>
      </c>
      <c r="AJ22" s="20" t="s">
        <v>165</v>
      </c>
      <c r="AK22" s="92" t="s">
        <v>215</v>
      </c>
      <c r="AL22" s="93">
        <v>0</v>
      </c>
      <c r="AM22" s="49">
        <v>46337</v>
      </c>
      <c r="AN22" s="49">
        <v>46343</v>
      </c>
      <c r="AO22" s="24" t="s">
        <v>40</v>
      </c>
      <c r="AP22" s="94">
        <v>0</v>
      </c>
    </row>
    <row r="23" spans="1:42">
      <c r="A23" s="7" t="s">
        <v>370</v>
      </c>
      <c r="B23" s="9" t="s">
        <v>398</v>
      </c>
      <c r="C23" s="6">
        <v>1</v>
      </c>
      <c r="D23" s="46">
        <v>46146</v>
      </c>
      <c r="E23" s="46">
        <v>46155</v>
      </c>
      <c r="F23" s="34" t="s">
        <v>34</v>
      </c>
      <c r="G23" s="107" t="s">
        <v>34</v>
      </c>
      <c r="H23" s="82">
        <v>1</v>
      </c>
      <c r="I23" s="229">
        <v>46175</v>
      </c>
      <c r="J23" s="229">
        <v>46184</v>
      </c>
      <c r="K23" s="24" t="s">
        <v>40</v>
      </c>
      <c r="L23" s="281" t="s">
        <v>34</v>
      </c>
      <c r="M23" s="94">
        <v>1</v>
      </c>
      <c r="N23" s="47">
        <v>46175</v>
      </c>
      <c r="O23" s="47">
        <v>46184</v>
      </c>
      <c r="P23" s="13" t="s">
        <v>40</v>
      </c>
      <c r="Q23" s="83" t="s">
        <v>34</v>
      </c>
      <c r="R23" s="84">
        <v>1</v>
      </c>
      <c r="S23" s="48">
        <v>46213</v>
      </c>
      <c r="T23" s="48">
        <v>46217</v>
      </c>
      <c r="U23" s="16" t="s">
        <v>34</v>
      </c>
      <c r="V23" s="85" t="s">
        <v>34</v>
      </c>
      <c r="W23" s="86">
        <v>1</v>
      </c>
      <c r="X23" s="52">
        <v>46218</v>
      </c>
      <c r="Y23" s="52">
        <v>46222</v>
      </c>
      <c r="Z23" s="18" t="s">
        <v>34</v>
      </c>
      <c r="AA23" s="97" t="s">
        <v>34</v>
      </c>
      <c r="AB23" s="89">
        <v>1</v>
      </c>
      <c r="AC23" s="51">
        <v>46233</v>
      </c>
      <c r="AD23" s="51">
        <v>46242</v>
      </c>
      <c r="AE23" s="101" t="s">
        <v>34</v>
      </c>
      <c r="AF23" s="90" t="s">
        <v>34</v>
      </c>
      <c r="AG23" s="91">
        <v>1</v>
      </c>
      <c r="AH23" s="50">
        <v>46243</v>
      </c>
      <c r="AI23" s="50">
        <v>46250</v>
      </c>
      <c r="AJ23" s="20" t="s">
        <v>165</v>
      </c>
      <c r="AK23" s="92" t="s">
        <v>215</v>
      </c>
      <c r="AL23" s="93">
        <v>0</v>
      </c>
      <c r="AM23" s="49">
        <v>46337</v>
      </c>
      <c r="AN23" s="49">
        <v>46343</v>
      </c>
      <c r="AO23" s="24" t="s">
        <v>40</v>
      </c>
      <c r="AP23" s="94">
        <v>0</v>
      </c>
    </row>
    <row r="24" spans="1:42">
      <c r="A24" s="7" t="s">
        <v>370</v>
      </c>
      <c r="B24" s="9" t="s">
        <v>399</v>
      </c>
      <c r="C24" s="6">
        <v>1</v>
      </c>
      <c r="D24" s="46">
        <v>46146</v>
      </c>
      <c r="E24" s="46">
        <v>46155</v>
      </c>
      <c r="F24" s="100" t="s">
        <v>232</v>
      </c>
      <c r="G24" s="99" t="s">
        <v>400</v>
      </c>
      <c r="H24" s="82">
        <v>0.25</v>
      </c>
      <c r="I24" s="229">
        <v>46175</v>
      </c>
      <c r="J24" s="229">
        <v>46184</v>
      </c>
      <c r="K24" s="24" t="s">
        <v>40</v>
      </c>
      <c r="L24" s="281" t="s">
        <v>401</v>
      </c>
      <c r="M24" s="94">
        <v>0</v>
      </c>
      <c r="N24" s="47">
        <v>46175</v>
      </c>
      <c r="O24" s="47">
        <v>46184</v>
      </c>
      <c r="P24" s="13" t="s">
        <v>40</v>
      </c>
      <c r="Q24" s="83" t="s">
        <v>402</v>
      </c>
      <c r="R24" s="84">
        <v>0</v>
      </c>
      <c r="S24" s="48">
        <v>46213</v>
      </c>
      <c r="T24" s="48">
        <v>46217</v>
      </c>
      <c r="U24" s="16" t="s">
        <v>40</v>
      </c>
      <c r="V24" s="85" t="s">
        <v>401</v>
      </c>
      <c r="W24" s="86">
        <v>0</v>
      </c>
      <c r="X24" s="52">
        <v>46218</v>
      </c>
      <c r="Y24" s="52">
        <v>46222</v>
      </c>
      <c r="Z24" s="87" t="s">
        <v>377</v>
      </c>
      <c r="AA24" s="95" t="s">
        <v>401</v>
      </c>
      <c r="AB24" s="89">
        <v>0</v>
      </c>
      <c r="AC24" s="51">
        <v>46233</v>
      </c>
      <c r="AD24" s="51">
        <v>46242</v>
      </c>
      <c r="AE24" s="22" t="s">
        <v>40</v>
      </c>
      <c r="AF24" s="98" t="s">
        <v>401</v>
      </c>
      <c r="AG24" s="91">
        <v>0</v>
      </c>
      <c r="AH24" s="50">
        <v>46243</v>
      </c>
      <c r="AI24" s="50">
        <v>46250</v>
      </c>
      <c r="AJ24" s="20" t="s">
        <v>165</v>
      </c>
      <c r="AK24" s="92" t="s">
        <v>215</v>
      </c>
      <c r="AL24" s="93">
        <v>0</v>
      </c>
      <c r="AM24" s="49">
        <v>46337</v>
      </c>
      <c r="AN24" s="49">
        <v>46343</v>
      </c>
      <c r="AO24" s="24" t="s">
        <v>40</v>
      </c>
      <c r="AP24" s="94">
        <v>0</v>
      </c>
    </row>
    <row r="25" spans="1:42">
      <c r="A25" s="7" t="s">
        <v>370</v>
      </c>
      <c r="B25" s="9" t="s">
        <v>403</v>
      </c>
      <c r="C25" s="6">
        <v>1</v>
      </c>
      <c r="D25" s="46">
        <v>46146</v>
      </c>
      <c r="E25" s="46">
        <v>46155</v>
      </c>
      <c r="F25" s="100" t="s">
        <v>232</v>
      </c>
      <c r="G25" s="99" t="s">
        <v>404</v>
      </c>
      <c r="H25" s="82">
        <v>0.25</v>
      </c>
      <c r="I25" s="229">
        <v>46175</v>
      </c>
      <c r="J25" s="229">
        <v>46184</v>
      </c>
      <c r="K25" s="24" t="s">
        <v>40</v>
      </c>
      <c r="L25" s="281" t="s">
        <v>401</v>
      </c>
      <c r="M25" s="94">
        <v>0</v>
      </c>
      <c r="N25" s="47">
        <v>46175</v>
      </c>
      <c r="O25" s="47">
        <v>46184</v>
      </c>
      <c r="P25" s="13" t="s">
        <v>40</v>
      </c>
      <c r="Q25" s="83" t="s">
        <v>405</v>
      </c>
      <c r="R25" s="84">
        <v>0</v>
      </c>
      <c r="S25" s="48">
        <v>46213</v>
      </c>
      <c r="T25" s="48">
        <v>46217</v>
      </c>
      <c r="U25" s="16" t="s">
        <v>40</v>
      </c>
      <c r="V25" s="85" t="s">
        <v>401</v>
      </c>
      <c r="W25" s="86">
        <v>0</v>
      </c>
      <c r="X25" s="52">
        <v>46218</v>
      </c>
      <c r="Y25" s="52">
        <v>46222</v>
      </c>
      <c r="Z25" s="87" t="s">
        <v>377</v>
      </c>
      <c r="AA25" s="95" t="s">
        <v>401</v>
      </c>
      <c r="AB25" s="89">
        <v>0</v>
      </c>
      <c r="AC25" s="51">
        <v>46233</v>
      </c>
      <c r="AD25" s="51">
        <v>46242</v>
      </c>
      <c r="AE25" s="22" t="s">
        <v>40</v>
      </c>
      <c r="AF25" s="98" t="s">
        <v>401</v>
      </c>
      <c r="AG25" s="91">
        <v>0</v>
      </c>
      <c r="AH25" s="50">
        <v>46243</v>
      </c>
      <c r="AI25" s="50">
        <v>46250</v>
      </c>
      <c r="AJ25" s="20" t="s">
        <v>165</v>
      </c>
      <c r="AK25" s="92" t="s">
        <v>215</v>
      </c>
      <c r="AL25" s="93">
        <v>0</v>
      </c>
      <c r="AM25" s="49">
        <v>46337</v>
      </c>
      <c r="AN25" s="49">
        <v>46343</v>
      </c>
      <c r="AO25" s="24" t="s">
        <v>40</v>
      </c>
      <c r="AP25" s="94">
        <v>0</v>
      </c>
    </row>
    <row r="26" spans="1:42" ht="15">
      <c r="A26" s="7" t="s">
        <v>370</v>
      </c>
      <c r="B26" s="9">
        <v>42360</v>
      </c>
      <c r="C26" s="6">
        <v>1</v>
      </c>
      <c r="D26" s="46">
        <v>46146</v>
      </c>
      <c r="E26" s="46">
        <v>46155</v>
      </c>
      <c r="F26" s="34" t="s">
        <v>34</v>
      </c>
      <c r="G26" s="107" t="s">
        <v>34</v>
      </c>
      <c r="H26" s="82">
        <v>1</v>
      </c>
      <c r="I26" s="229">
        <v>46175</v>
      </c>
      <c r="J26" s="229">
        <v>46184</v>
      </c>
      <c r="K26" s="24" t="s">
        <v>40</v>
      </c>
      <c r="L26" s="281" t="s">
        <v>385</v>
      </c>
      <c r="M26" s="94">
        <v>0</v>
      </c>
      <c r="N26" s="47">
        <v>46175</v>
      </c>
      <c r="O26" s="47">
        <v>46184</v>
      </c>
      <c r="P26" s="13" t="s">
        <v>40</v>
      </c>
      <c r="Q26" s="392" t="s">
        <v>406</v>
      </c>
      <c r="R26" s="84">
        <v>0</v>
      </c>
      <c r="S26" s="48">
        <v>46213</v>
      </c>
      <c r="T26" s="48">
        <v>46217</v>
      </c>
      <c r="U26" s="16" t="s">
        <v>34</v>
      </c>
      <c r="V26" s="85" t="s">
        <v>34</v>
      </c>
      <c r="W26" s="86">
        <v>1</v>
      </c>
      <c r="X26" s="52">
        <v>46218</v>
      </c>
      <c r="Y26" s="52">
        <v>46222</v>
      </c>
      <c r="Z26" s="18" t="s">
        <v>34</v>
      </c>
      <c r="AA26" s="97" t="s">
        <v>34</v>
      </c>
      <c r="AB26" s="89">
        <v>1</v>
      </c>
      <c r="AC26" s="51">
        <v>46233</v>
      </c>
      <c r="AD26" s="51">
        <v>46242</v>
      </c>
      <c r="AE26" s="22" t="s">
        <v>34</v>
      </c>
      <c r="AF26" s="90" t="s">
        <v>34</v>
      </c>
      <c r="AG26" s="91">
        <v>1</v>
      </c>
      <c r="AH26" s="50">
        <v>46243</v>
      </c>
      <c r="AI26" s="50">
        <v>46250</v>
      </c>
      <c r="AJ26" s="20" t="s">
        <v>165</v>
      </c>
      <c r="AK26" s="92" t="s">
        <v>215</v>
      </c>
      <c r="AL26" s="93">
        <v>0</v>
      </c>
      <c r="AM26" s="49">
        <v>46337</v>
      </c>
      <c r="AN26" s="49">
        <v>46343</v>
      </c>
      <c r="AO26" s="24" t="s">
        <v>40</v>
      </c>
      <c r="AP26" s="94">
        <v>0</v>
      </c>
    </row>
    <row r="27" spans="1:42">
      <c r="A27" s="7" t="s">
        <v>370</v>
      </c>
      <c r="B27" s="9" t="s">
        <v>407</v>
      </c>
      <c r="C27" s="6">
        <v>1</v>
      </c>
      <c r="D27" s="46">
        <v>46146</v>
      </c>
      <c r="E27" s="46">
        <v>46155</v>
      </c>
      <c r="F27" s="34" t="s">
        <v>34</v>
      </c>
      <c r="G27" s="107" t="s">
        <v>34</v>
      </c>
      <c r="H27" s="82">
        <v>1</v>
      </c>
      <c r="I27" s="229">
        <v>46175</v>
      </c>
      <c r="J27" s="229">
        <v>46184</v>
      </c>
      <c r="K27" s="24" t="s">
        <v>40</v>
      </c>
      <c r="L27" s="281" t="s">
        <v>408</v>
      </c>
      <c r="M27" s="94">
        <v>0</v>
      </c>
      <c r="N27" s="47">
        <v>46175</v>
      </c>
      <c r="O27" s="47">
        <v>46184</v>
      </c>
      <c r="P27" s="13" t="s">
        <v>40</v>
      </c>
      <c r="Q27" s="83" t="s">
        <v>408</v>
      </c>
      <c r="R27" s="84">
        <v>0</v>
      </c>
      <c r="S27" s="48">
        <v>46213</v>
      </c>
      <c r="T27" s="48">
        <v>46217</v>
      </c>
      <c r="U27" s="16" t="s">
        <v>40</v>
      </c>
      <c r="V27" s="85" t="s">
        <v>409</v>
      </c>
      <c r="W27" s="86">
        <v>0</v>
      </c>
      <c r="X27" s="52">
        <v>46218</v>
      </c>
      <c r="Y27" s="52">
        <v>46222</v>
      </c>
      <c r="Z27" s="87" t="s">
        <v>377</v>
      </c>
      <c r="AA27" s="95" t="s">
        <v>409</v>
      </c>
      <c r="AB27" s="89">
        <v>0</v>
      </c>
      <c r="AC27" s="51">
        <v>46233</v>
      </c>
      <c r="AD27" s="51">
        <v>46242</v>
      </c>
      <c r="AE27" s="22" t="s">
        <v>40</v>
      </c>
      <c r="AF27" s="98" t="s">
        <v>409</v>
      </c>
      <c r="AG27" s="91">
        <v>0</v>
      </c>
      <c r="AH27" s="50">
        <v>46243</v>
      </c>
      <c r="AI27" s="50">
        <v>46250</v>
      </c>
      <c r="AJ27" s="102" t="s">
        <v>34</v>
      </c>
      <c r="AK27" s="93" t="s">
        <v>190</v>
      </c>
      <c r="AL27" s="93">
        <v>1</v>
      </c>
      <c r="AM27" s="49">
        <v>46337</v>
      </c>
      <c r="AN27" s="49">
        <v>46343</v>
      </c>
      <c r="AO27" s="24" t="s">
        <v>40</v>
      </c>
      <c r="AP27" s="94">
        <v>0</v>
      </c>
    </row>
    <row r="28" spans="1:42">
      <c r="A28" s="7" t="s">
        <v>370</v>
      </c>
      <c r="B28" s="9" t="s">
        <v>410</v>
      </c>
      <c r="C28" s="6">
        <v>1</v>
      </c>
      <c r="D28" s="46">
        <v>46146</v>
      </c>
      <c r="E28" s="46">
        <v>46155</v>
      </c>
      <c r="F28" s="34" t="s">
        <v>34</v>
      </c>
      <c r="G28" s="107" t="s">
        <v>34</v>
      </c>
      <c r="H28" s="82">
        <v>1</v>
      </c>
      <c r="I28" s="229">
        <v>46175</v>
      </c>
      <c r="J28" s="229">
        <v>46184</v>
      </c>
      <c r="K28" s="24" t="s">
        <v>40</v>
      </c>
      <c r="L28" s="281" t="s">
        <v>408</v>
      </c>
      <c r="M28" s="94">
        <v>0</v>
      </c>
      <c r="N28" s="47">
        <v>46175</v>
      </c>
      <c r="O28" s="47">
        <v>46184</v>
      </c>
      <c r="P28" s="13" t="s">
        <v>40</v>
      </c>
      <c r="Q28" s="83" t="s">
        <v>408</v>
      </c>
      <c r="R28" s="84">
        <v>0</v>
      </c>
      <c r="S28" s="48">
        <v>46213</v>
      </c>
      <c r="T28" s="48">
        <v>46217</v>
      </c>
      <c r="U28" s="16" t="s">
        <v>40</v>
      </c>
      <c r="V28" s="85" t="s">
        <v>409</v>
      </c>
      <c r="W28" s="86">
        <v>0</v>
      </c>
      <c r="X28" s="52">
        <v>46218</v>
      </c>
      <c r="Y28" s="52">
        <v>46222</v>
      </c>
      <c r="Z28" s="87" t="s">
        <v>377</v>
      </c>
      <c r="AA28" s="95" t="s">
        <v>409</v>
      </c>
      <c r="AB28" s="89">
        <v>0</v>
      </c>
      <c r="AC28" s="51">
        <v>46233</v>
      </c>
      <c r="AD28" s="51">
        <v>46242</v>
      </c>
      <c r="AE28" s="22" t="s">
        <v>40</v>
      </c>
      <c r="AF28" s="98" t="s">
        <v>409</v>
      </c>
      <c r="AG28" s="91">
        <v>0</v>
      </c>
      <c r="AH28" s="50">
        <v>46243</v>
      </c>
      <c r="AI28" s="50">
        <v>46250</v>
      </c>
      <c r="AJ28" s="102" t="s">
        <v>34</v>
      </c>
      <c r="AK28" s="93" t="s">
        <v>190</v>
      </c>
      <c r="AL28" s="93">
        <v>1</v>
      </c>
      <c r="AM28" s="49">
        <v>46337</v>
      </c>
      <c r="AN28" s="49">
        <v>46343</v>
      </c>
      <c r="AO28" s="24" t="s">
        <v>40</v>
      </c>
      <c r="AP28" s="94">
        <v>0</v>
      </c>
    </row>
    <row r="29" spans="1:42">
      <c r="A29" s="7" t="s">
        <v>370</v>
      </c>
      <c r="B29" s="9" t="s">
        <v>411</v>
      </c>
      <c r="C29" s="6">
        <v>1</v>
      </c>
      <c r="D29" s="46">
        <v>46146</v>
      </c>
      <c r="E29" s="46">
        <v>46155</v>
      </c>
      <c r="F29" s="34" t="s">
        <v>34</v>
      </c>
      <c r="G29" s="107" t="s">
        <v>34</v>
      </c>
      <c r="H29" s="82">
        <v>1</v>
      </c>
      <c r="I29" s="229">
        <v>46175</v>
      </c>
      <c r="J29" s="229">
        <v>46184</v>
      </c>
      <c r="K29" s="24" t="s">
        <v>40</v>
      </c>
      <c r="L29" s="281" t="s">
        <v>408</v>
      </c>
      <c r="M29" s="94">
        <v>0</v>
      </c>
      <c r="N29" s="47">
        <v>46175</v>
      </c>
      <c r="O29" s="47">
        <v>46184</v>
      </c>
      <c r="P29" s="13" t="s">
        <v>40</v>
      </c>
      <c r="Q29" s="83" t="s">
        <v>408</v>
      </c>
      <c r="R29" s="84">
        <v>0</v>
      </c>
      <c r="S29" s="48">
        <v>46213</v>
      </c>
      <c r="T29" s="48">
        <v>46217</v>
      </c>
      <c r="U29" s="16" t="s">
        <v>40</v>
      </c>
      <c r="V29" s="85" t="s">
        <v>409</v>
      </c>
      <c r="W29" s="86">
        <v>0</v>
      </c>
      <c r="X29" s="52">
        <v>46218</v>
      </c>
      <c r="Y29" s="52">
        <v>46222</v>
      </c>
      <c r="Z29" s="87" t="s">
        <v>377</v>
      </c>
      <c r="AA29" s="95" t="s">
        <v>409</v>
      </c>
      <c r="AB29" s="89">
        <v>0</v>
      </c>
      <c r="AC29" s="51">
        <v>46233</v>
      </c>
      <c r="AD29" s="51">
        <v>46242</v>
      </c>
      <c r="AE29" s="22" t="s">
        <v>40</v>
      </c>
      <c r="AF29" s="98" t="s">
        <v>409</v>
      </c>
      <c r="AG29" s="91">
        <v>0</v>
      </c>
      <c r="AH29" s="50">
        <v>46243</v>
      </c>
      <c r="AI29" s="50">
        <v>46250</v>
      </c>
      <c r="AJ29" s="102" t="s">
        <v>34</v>
      </c>
      <c r="AK29" s="93" t="s">
        <v>190</v>
      </c>
      <c r="AL29" s="93">
        <v>1</v>
      </c>
      <c r="AM29" s="49">
        <v>46337</v>
      </c>
      <c r="AN29" s="49">
        <v>46343</v>
      </c>
      <c r="AO29" s="24" t="s">
        <v>40</v>
      </c>
      <c r="AP29" s="94">
        <v>0</v>
      </c>
    </row>
    <row r="30" spans="1:42">
      <c r="A30" s="7" t="s">
        <v>370</v>
      </c>
      <c r="B30" s="9" t="s">
        <v>412</v>
      </c>
      <c r="C30" s="6">
        <v>1</v>
      </c>
      <c r="D30" s="46">
        <v>46146</v>
      </c>
      <c r="E30" s="46">
        <v>46155</v>
      </c>
      <c r="F30" s="34" t="s">
        <v>34</v>
      </c>
      <c r="G30" s="107" t="s">
        <v>34</v>
      </c>
      <c r="H30" s="82">
        <v>1</v>
      </c>
      <c r="I30" s="229">
        <v>46175</v>
      </c>
      <c r="J30" s="229">
        <v>46184</v>
      </c>
      <c r="K30" s="24" t="s">
        <v>40</v>
      </c>
      <c r="L30" s="281" t="s">
        <v>408</v>
      </c>
      <c r="M30" s="94">
        <v>0</v>
      </c>
      <c r="N30" s="47">
        <v>46175</v>
      </c>
      <c r="O30" s="47">
        <v>46184</v>
      </c>
      <c r="P30" s="13" t="s">
        <v>40</v>
      </c>
      <c r="Q30" s="83" t="s">
        <v>408</v>
      </c>
      <c r="R30" s="84">
        <v>0</v>
      </c>
      <c r="S30" s="48">
        <v>46213</v>
      </c>
      <c r="T30" s="48">
        <v>46217</v>
      </c>
      <c r="U30" s="16" t="s">
        <v>40</v>
      </c>
      <c r="V30" s="85" t="s">
        <v>409</v>
      </c>
      <c r="W30" s="86">
        <v>0</v>
      </c>
      <c r="X30" s="52">
        <v>46218</v>
      </c>
      <c r="Y30" s="52">
        <v>46222</v>
      </c>
      <c r="Z30" s="87" t="s">
        <v>377</v>
      </c>
      <c r="AA30" s="95" t="s">
        <v>409</v>
      </c>
      <c r="AB30" s="89">
        <v>0</v>
      </c>
      <c r="AC30" s="51">
        <v>46233</v>
      </c>
      <c r="AD30" s="51">
        <v>46242</v>
      </c>
      <c r="AE30" s="22" t="s">
        <v>40</v>
      </c>
      <c r="AF30" s="98" t="s">
        <v>409</v>
      </c>
      <c r="AG30" s="91">
        <v>0</v>
      </c>
      <c r="AH30" s="50">
        <v>46243</v>
      </c>
      <c r="AI30" s="50">
        <v>46250</v>
      </c>
      <c r="AJ30" s="102" t="s">
        <v>34</v>
      </c>
      <c r="AK30" s="93" t="s">
        <v>190</v>
      </c>
      <c r="AL30" s="93">
        <v>1</v>
      </c>
      <c r="AM30" s="49">
        <v>46337</v>
      </c>
      <c r="AN30" s="49">
        <v>46343</v>
      </c>
      <c r="AO30" s="24" t="s">
        <v>40</v>
      </c>
      <c r="AP30" s="94">
        <v>0</v>
      </c>
    </row>
    <row r="31" spans="1:42">
      <c r="A31" s="7" t="s">
        <v>370</v>
      </c>
      <c r="B31" s="9" t="s">
        <v>413</v>
      </c>
      <c r="C31" s="6">
        <v>1</v>
      </c>
      <c r="D31" s="46">
        <v>46146</v>
      </c>
      <c r="E31" s="46">
        <v>46155</v>
      </c>
      <c r="F31" s="34" t="s">
        <v>34</v>
      </c>
      <c r="G31" s="107" t="s">
        <v>34</v>
      </c>
      <c r="H31" s="82">
        <v>1</v>
      </c>
      <c r="I31" s="229">
        <v>46175</v>
      </c>
      <c r="J31" s="229">
        <v>46184</v>
      </c>
      <c r="K31" s="24" t="s">
        <v>40</v>
      </c>
      <c r="L31" s="281" t="s">
        <v>408</v>
      </c>
      <c r="M31" s="94">
        <v>0</v>
      </c>
      <c r="N31" s="47">
        <v>46175</v>
      </c>
      <c r="O31" s="47">
        <v>46184</v>
      </c>
      <c r="P31" s="13" t="s">
        <v>40</v>
      </c>
      <c r="Q31" s="83" t="s">
        <v>408</v>
      </c>
      <c r="R31" s="84">
        <v>0</v>
      </c>
      <c r="S31" s="48">
        <v>46213</v>
      </c>
      <c r="T31" s="48">
        <v>46217</v>
      </c>
      <c r="U31" s="16" t="s">
        <v>40</v>
      </c>
      <c r="V31" s="85" t="s">
        <v>409</v>
      </c>
      <c r="W31" s="86">
        <v>0</v>
      </c>
      <c r="X31" s="52">
        <v>46218</v>
      </c>
      <c r="Y31" s="52">
        <v>46222</v>
      </c>
      <c r="Z31" s="87" t="s">
        <v>377</v>
      </c>
      <c r="AA31" s="95" t="s">
        <v>409</v>
      </c>
      <c r="AB31" s="89">
        <v>0</v>
      </c>
      <c r="AC31" s="51">
        <v>46233</v>
      </c>
      <c r="AD31" s="51">
        <v>46242</v>
      </c>
      <c r="AE31" s="22" t="s">
        <v>40</v>
      </c>
      <c r="AF31" s="98" t="s">
        <v>409</v>
      </c>
      <c r="AG31" s="91">
        <v>0</v>
      </c>
      <c r="AH31" s="50">
        <v>46243</v>
      </c>
      <c r="AI31" s="50">
        <v>46250</v>
      </c>
      <c r="AJ31" s="102" t="s">
        <v>34</v>
      </c>
      <c r="AK31" s="93" t="s">
        <v>190</v>
      </c>
      <c r="AL31" s="93">
        <v>1</v>
      </c>
      <c r="AM31" s="49">
        <v>46337</v>
      </c>
      <c r="AN31" s="49">
        <v>46343</v>
      </c>
      <c r="AO31" s="24" t="s">
        <v>40</v>
      </c>
      <c r="AP31" s="94">
        <v>0</v>
      </c>
    </row>
    <row r="32" spans="1:42">
      <c r="A32" s="7" t="s">
        <v>370</v>
      </c>
      <c r="B32" s="9" t="s">
        <v>414</v>
      </c>
      <c r="C32" s="6">
        <v>1</v>
      </c>
      <c r="D32" s="46">
        <v>46146</v>
      </c>
      <c r="E32" s="46">
        <v>46155</v>
      </c>
      <c r="F32" s="34" t="s">
        <v>34</v>
      </c>
      <c r="G32" s="107" t="s">
        <v>34</v>
      </c>
      <c r="H32" s="82">
        <v>1</v>
      </c>
      <c r="I32" s="229">
        <v>46185</v>
      </c>
      <c r="J32" s="229">
        <v>46194</v>
      </c>
      <c r="K32" s="24" t="s">
        <v>40</v>
      </c>
      <c r="L32" s="281" t="s">
        <v>408</v>
      </c>
      <c r="M32" s="94">
        <v>0</v>
      </c>
      <c r="N32" s="47">
        <v>46185</v>
      </c>
      <c r="O32" s="47">
        <v>46194</v>
      </c>
      <c r="P32" s="13" t="s">
        <v>40</v>
      </c>
      <c r="Q32" s="83" t="s">
        <v>408</v>
      </c>
      <c r="R32" s="84">
        <v>0</v>
      </c>
      <c r="S32" s="48">
        <v>46213</v>
      </c>
      <c r="T32" s="48">
        <v>46217</v>
      </c>
      <c r="U32" s="16" t="s">
        <v>40</v>
      </c>
      <c r="V32" s="85" t="s">
        <v>409</v>
      </c>
      <c r="W32" s="86">
        <v>0</v>
      </c>
      <c r="X32" s="52">
        <v>46218</v>
      </c>
      <c r="Y32" s="52">
        <v>46222</v>
      </c>
      <c r="Z32" s="87" t="s">
        <v>377</v>
      </c>
      <c r="AA32" s="95" t="s">
        <v>409</v>
      </c>
      <c r="AB32" s="89">
        <v>0</v>
      </c>
      <c r="AC32" s="51">
        <v>46233</v>
      </c>
      <c r="AD32" s="51">
        <v>46242</v>
      </c>
      <c r="AE32" s="22" t="s">
        <v>40</v>
      </c>
      <c r="AF32" s="98" t="s">
        <v>409</v>
      </c>
      <c r="AG32" s="91">
        <v>0</v>
      </c>
      <c r="AH32" s="50">
        <v>46243</v>
      </c>
      <c r="AI32" s="50">
        <v>46250</v>
      </c>
      <c r="AJ32" s="102" t="s">
        <v>34</v>
      </c>
      <c r="AK32" s="93" t="s">
        <v>190</v>
      </c>
      <c r="AL32" s="93">
        <v>1</v>
      </c>
      <c r="AM32" s="49">
        <v>46337</v>
      </c>
      <c r="AN32" s="49">
        <v>46343</v>
      </c>
      <c r="AO32" s="24" t="s">
        <v>40</v>
      </c>
      <c r="AP32" s="94">
        <v>0</v>
      </c>
    </row>
    <row r="33" spans="1:42">
      <c r="A33" s="7" t="s">
        <v>370</v>
      </c>
      <c r="B33" s="9" t="s">
        <v>415</v>
      </c>
      <c r="C33" s="6">
        <v>1</v>
      </c>
      <c r="D33" s="46">
        <v>46146</v>
      </c>
      <c r="E33" s="46">
        <v>46155</v>
      </c>
      <c r="F33" s="34" t="s">
        <v>34</v>
      </c>
      <c r="G33" s="107" t="s">
        <v>34</v>
      </c>
      <c r="H33" s="82">
        <v>1</v>
      </c>
      <c r="I33" s="229">
        <v>46185</v>
      </c>
      <c r="J33" s="229">
        <v>46194</v>
      </c>
      <c r="K33" s="24" t="s">
        <v>40</v>
      </c>
      <c r="L33" s="281" t="s">
        <v>408</v>
      </c>
      <c r="M33" s="94">
        <v>0</v>
      </c>
      <c r="N33" s="47">
        <v>46185</v>
      </c>
      <c r="O33" s="47">
        <v>46194</v>
      </c>
      <c r="P33" s="13" t="s">
        <v>40</v>
      </c>
      <c r="Q33" s="83" t="s">
        <v>408</v>
      </c>
      <c r="R33" s="84">
        <v>0</v>
      </c>
      <c r="S33" s="48">
        <v>46213</v>
      </c>
      <c r="T33" s="48">
        <v>46217</v>
      </c>
      <c r="U33" s="16" t="s">
        <v>40</v>
      </c>
      <c r="V33" s="85" t="s">
        <v>409</v>
      </c>
      <c r="W33" s="86">
        <v>0</v>
      </c>
      <c r="X33" s="52">
        <v>46218</v>
      </c>
      <c r="Y33" s="52">
        <v>46222</v>
      </c>
      <c r="Z33" s="87" t="s">
        <v>377</v>
      </c>
      <c r="AA33" s="95" t="s">
        <v>409</v>
      </c>
      <c r="AB33" s="89">
        <v>0</v>
      </c>
      <c r="AC33" s="51">
        <v>46233</v>
      </c>
      <c r="AD33" s="51">
        <v>46242</v>
      </c>
      <c r="AE33" s="22" t="s">
        <v>40</v>
      </c>
      <c r="AF33" s="98" t="s">
        <v>409</v>
      </c>
      <c r="AG33" s="91">
        <v>0</v>
      </c>
      <c r="AH33" s="50">
        <v>46243</v>
      </c>
      <c r="AI33" s="50">
        <v>46250</v>
      </c>
      <c r="AJ33" s="102" t="s">
        <v>34</v>
      </c>
      <c r="AK33" s="93" t="s">
        <v>190</v>
      </c>
      <c r="AL33" s="93">
        <v>1</v>
      </c>
      <c r="AM33" s="49">
        <v>46337</v>
      </c>
      <c r="AN33" s="49">
        <v>46343</v>
      </c>
      <c r="AO33" s="24" t="s">
        <v>40</v>
      </c>
      <c r="AP33" s="94">
        <v>0</v>
      </c>
    </row>
    <row r="34" spans="1:42" ht="15">
      <c r="A34" s="7" t="s">
        <v>370</v>
      </c>
      <c r="B34" s="9">
        <v>42860</v>
      </c>
      <c r="C34" s="6">
        <v>1</v>
      </c>
      <c r="D34" s="46">
        <v>46146</v>
      </c>
      <c r="E34" s="46">
        <v>46155</v>
      </c>
      <c r="F34" s="34" t="s">
        <v>34</v>
      </c>
      <c r="G34" s="107" t="s">
        <v>34</v>
      </c>
      <c r="H34" s="82">
        <v>1</v>
      </c>
      <c r="I34" s="229">
        <v>46185</v>
      </c>
      <c r="J34" s="229">
        <v>46194</v>
      </c>
      <c r="K34" s="24" t="s">
        <v>40</v>
      </c>
      <c r="L34" s="281" t="s">
        <v>385</v>
      </c>
      <c r="M34" s="94">
        <v>0</v>
      </c>
      <c r="N34" s="47">
        <v>46185</v>
      </c>
      <c r="O34" s="47">
        <v>46194</v>
      </c>
      <c r="P34" s="13" t="s">
        <v>40</v>
      </c>
      <c r="Q34" s="392" t="s">
        <v>406</v>
      </c>
      <c r="R34" s="84">
        <v>0</v>
      </c>
      <c r="S34" s="48">
        <v>46213</v>
      </c>
      <c r="T34" s="48">
        <v>46217</v>
      </c>
      <c r="U34" s="16" t="s">
        <v>34</v>
      </c>
      <c r="V34" s="85" t="s">
        <v>34</v>
      </c>
      <c r="W34" s="86">
        <v>1</v>
      </c>
      <c r="X34" s="52">
        <v>46218</v>
      </c>
      <c r="Y34" s="52">
        <v>46222</v>
      </c>
      <c r="Z34" s="18" t="s">
        <v>34</v>
      </c>
      <c r="AA34" s="97" t="s">
        <v>34</v>
      </c>
      <c r="AB34" s="89">
        <v>1</v>
      </c>
      <c r="AC34" s="51">
        <v>46233</v>
      </c>
      <c r="AD34" s="51">
        <v>46242</v>
      </c>
      <c r="AE34" s="22" t="s">
        <v>34</v>
      </c>
      <c r="AF34" s="90" t="s">
        <v>34</v>
      </c>
      <c r="AG34" s="91">
        <v>1</v>
      </c>
      <c r="AH34" s="50">
        <v>46243</v>
      </c>
      <c r="AI34" s="50">
        <v>46250</v>
      </c>
      <c r="AJ34" s="20" t="s">
        <v>165</v>
      </c>
      <c r="AK34" s="92" t="s">
        <v>215</v>
      </c>
      <c r="AL34" s="93">
        <v>0</v>
      </c>
      <c r="AM34" s="49">
        <v>46337</v>
      </c>
      <c r="AN34" s="49">
        <v>46343</v>
      </c>
      <c r="AO34" s="24" t="s">
        <v>40</v>
      </c>
      <c r="AP34" s="94">
        <v>0</v>
      </c>
    </row>
    <row r="35" spans="1:42">
      <c r="A35" s="7" t="s">
        <v>370</v>
      </c>
      <c r="B35" s="9" t="s">
        <v>416</v>
      </c>
      <c r="C35" s="6">
        <v>1</v>
      </c>
      <c r="D35" s="46">
        <v>46146</v>
      </c>
      <c r="E35" s="46">
        <v>46155</v>
      </c>
      <c r="F35" s="34" t="s">
        <v>34</v>
      </c>
      <c r="G35" s="107" t="s">
        <v>34</v>
      </c>
      <c r="H35" s="82">
        <v>1</v>
      </c>
      <c r="I35" s="229">
        <v>46185</v>
      </c>
      <c r="J35" s="229">
        <v>46194</v>
      </c>
      <c r="K35" s="24" t="s">
        <v>40</v>
      </c>
      <c r="L35" s="281" t="s">
        <v>408</v>
      </c>
      <c r="M35" s="94">
        <v>0</v>
      </c>
      <c r="N35" s="47">
        <v>46185</v>
      </c>
      <c r="O35" s="47">
        <v>46194</v>
      </c>
      <c r="P35" s="13" t="s">
        <v>40</v>
      </c>
      <c r="Q35" s="83" t="s">
        <v>408</v>
      </c>
      <c r="R35" s="84">
        <v>0</v>
      </c>
      <c r="S35" s="48">
        <v>46213</v>
      </c>
      <c r="T35" s="48">
        <v>46217</v>
      </c>
      <c r="U35" s="16" t="s">
        <v>40</v>
      </c>
      <c r="V35" s="85" t="s">
        <v>409</v>
      </c>
      <c r="W35" s="86">
        <v>0</v>
      </c>
      <c r="X35" s="52">
        <v>46218</v>
      </c>
      <c r="Y35" s="52">
        <v>46222</v>
      </c>
      <c r="Z35" s="87" t="s">
        <v>377</v>
      </c>
      <c r="AA35" s="95" t="s">
        <v>409</v>
      </c>
      <c r="AB35" s="89">
        <v>0</v>
      </c>
      <c r="AC35" s="51">
        <v>46233</v>
      </c>
      <c r="AD35" s="51">
        <v>46242</v>
      </c>
      <c r="AE35" s="22" t="s">
        <v>40</v>
      </c>
      <c r="AF35" s="98" t="s">
        <v>409</v>
      </c>
      <c r="AG35" s="91">
        <v>0</v>
      </c>
      <c r="AH35" s="50">
        <v>46243</v>
      </c>
      <c r="AI35" s="50">
        <v>46250</v>
      </c>
      <c r="AJ35" s="102" t="s">
        <v>34</v>
      </c>
      <c r="AK35" s="93" t="s">
        <v>190</v>
      </c>
      <c r="AL35" s="93">
        <v>1</v>
      </c>
      <c r="AM35" s="49">
        <v>46337</v>
      </c>
      <c r="AN35" s="49">
        <v>46343</v>
      </c>
      <c r="AO35" s="24" t="s">
        <v>40</v>
      </c>
      <c r="AP35" s="94">
        <v>0</v>
      </c>
    </row>
    <row r="36" spans="1:42">
      <c r="A36" s="7" t="s">
        <v>370</v>
      </c>
      <c r="B36" s="9">
        <v>42305</v>
      </c>
      <c r="C36" s="6">
        <v>1</v>
      </c>
      <c r="D36" s="46">
        <v>46146</v>
      </c>
      <c r="E36" s="46">
        <v>46155</v>
      </c>
      <c r="F36" s="34" t="s">
        <v>34</v>
      </c>
      <c r="G36" s="107" t="s">
        <v>34</v>
      </c>
      <c r="H36" s="82">
        <v>1</v>
      </c>
      <c r="I36" s="229">
        <v>46185</v>
      </c>
      <c r="J36" s="229">
        <v>46194</v>
      </c>
      <c r="K36" s="24" t="s">
        <v>40</v>
      </c>
      <c r="L36" s="282" t="s">
        <v>34</v>
      </c>
      <c r="M36" s="94">
        <v>1</v>
      </c>
      <c r="N36" s="47">
        <v>46185</v>
      </c>
      <c r="O36" s="47">
        <v>46194</v>
      </c>
      <c r="P36" s="13" t="s">
        <v>40</v>
      </c>
      <c r="Q36" s="96" t="s">
        <v>34</v>
      </c>
      <c r="R36" s="84">
        <v>1</v>
      </c>
      <c r="S36" s="48">
        <v>46213</v>
      </c>
      <c r="T36" s="48">
        <v>46217</v>
      </c>
      <c r="U36" s="65" t="s">
        <v>375</v>
      </c>
      <c r="V36" s="85" t="s">
        <v>378</v>
      </c>
      <c r="W36" s="86">
        <v>0.5</v>
      </c>
      <c r="X36" s="52">
        <v>46218</v>
      </c>
      <c r="Y36" s="52">
        <v>46222</v>
      </c>
      <c r="Z36" s="87" t="s">
        <v>377</v>
      </c>
      <c r="AA36" s="95" t="s">
        <v>378</v>
      </c>
      <c r="AB36" s="89">
        <v>0</v>
      </c>
      <c r="AC36" s="51">
        <v>46233</v>
      </c>
      <c r="AD36" s="51">
        <v>46242</v>
      </c>
      <c r="AE36" s="22" t="s">
        <v>34</v>
      </c>
      <c r="AF36" s="90" t="s">
        <v>34</v>
      </c>
      <c r="AG36" s="91">
        <v>1</v>
      </c>
      <c r="AH36" s="50">
        <v>46243</v>
      </c>
      <c r="AI36" s="50">
        <v>46250</v>
      </c>
      <c r="AJ36" s="20" t="s">
        <v>165</v>
      </c>
      <c r="AK36" s="92" t="s">
        <v>215</v>
      </c>
      <c r="AL36" s="93">
        <v>0</v>
      </c>
      <c r="AM36" s="49">
        <v>46337</v>
      </c>
      <c r="AN36" s="49">
        <v>46343</v>
      </c>
      <c r="AO36" s="24" t="s">
        <v>40</v>
      </c>
      <c r="AP36" s="94">
        <v>0</v>
      </c>
    </row>
    <row r="37" spans="1:42">
      <c r="A37" s="7" t="s">
        <v>370</v>
      </c>
      <c r="B37" s="9">
        <v>42355</v>
      </c>
      <c r="C37" s="6">
        <v>1</v>
      </c>
      <c r="D37" s="46">
        <v>46146</v>
      </c>
      <c r="E37" s="46">
        <v>46155</v>
      </c>
      <c r="F37" s="34" t="s">
        <v>34</v>
      </c>
      <c r="G37" s="107" t="s">
        <v>34</v>
      </c>
      <c r="H37" s="82">
        <v>1</v>
      </c>
      <c r="I37" s="229">
        <v>46185</v>
      </c>
      <c r="J37" s="229">
        <v>46194</v>
      </c>
      <c r="K37" s="24" t="s">
        <v>40</v>
      </c>
      <c r="L37" s="282" t="s">
        <v>34</v>
      </c>
      <c r="M37" s="94">
        <v>1</v>
      </c>
      <c r="N37" s="47">
        <v>46185</v>
      </c>
      <c r="O37" s="47">
        <v>46194</v>
      </c>
      <c r="P37" s="13" t="s">
        <v>40</v>
      </c>
      <c r="Q37" s="96" t="s">
        <v>34</v>
      </c>
      <c r="R37" s="84">
        <v>1</v>
      </c>
      <c r="S37" s="48">
        <v>46213</v>
      </c>
      <c r="T37" s="48">
        <v>46217</v>
      </c>
      <c r="U37" s="65" t="s">
        <v>375</v>
      </c>
      <c r="V37" s="85" t="s">
        <v>378</v>
      </c>
      <c r="W37" s="86">
        <v>0.5</v>
      </c>
      <c r="X37" s="52">
        <v>46218</v>
      </c>
      <c r="Y37" s="52">
        <v>46222</v>
      </c>
      <c r="Z37" s="87" t="s">
        <v>377</v>
      </c>
      <c r="AA37" s="95" t="s">
        <v>378</v>
      </c>
      <c r="AB37" s="89">
        <v>0</v>
      </c>
      <c r="AC37" s="51">
        <v>46233</v>
      </c>
      <c r="AD37" s="51">
        <v>46242</v>
      </c>
      <c r="AE37" s="22" t="s">
        <v>34</v>
      </c>
      <c r="AF37" s="90" t="s">
        <v>34</v>
      </c>
      <c r="AG37" s="91">
        <v>1</v>
      </c>
      <c r="AH37" s="50">
        <v>46243</v>
      </c>
      <c r="AI37" s="50">
        <v>46250</v>
      </c>
      <c r="AJ37" s="20" t="s">
        <v>165</v>
      </c>
      <c r="AK37" s="92" t="s">
        <v>215</v>
      </c>
      <c r="AL37" s="93">
        <v>0</v>
      </c>
      <c r="AM37" s="49">
        <v>46337</v>
      </c>
      <c r="AN37" s="49">
        <v>46343</v>
      </c>
      <c r="AO37" s="24" t="s">
        <v>40</v>
      </c>
      <c r="AP37" s="94">
        <v>0</v>
      </c>
    </row>
    <row r="38" spans="1:42">
      <c r="A38" s="72" t="s">
        <v>370</v>
      </c>
      <c r="B38" s="9" t="s">
        <v>417</v>
      </c>
      <c r="C38" s="6">
        <v>1</v>
      </c>
      <c r="D38" s="46">
        <v>46146</v>
      </c>
      <c r="E38" s="46">
        <v>46155</v>
      </c>
      <c r="F38" s="34" t="s">
        <v>34</v>
      </c>
      <c r="G38" s="107" t="s">
        <v>418</v>
      </c>
      <c r="H38" s="82">
        <v>1</v>
      </c>
      <c r="I38" s="229">
        <v>46185</v>
      </c>
      <c r="J38" s="229">
        <v>46194</v>
      </c>
      <c r="K38" s="24" t="s">
        <v>40</v>
      </c>
      <c r="L38" s="281" t="s">
        <v>225</v>
      </c>
      <c r="M38" s="94">
        <v>0</v>
      </c>
      <c r="N38" s="47">
        <v>46185</v>
      </c>
      <c r="O38" s="47">
        <v>46194</v>
      </c>
      <c r="P38" s="13" t="s">
        <v>40</v>
      </c>
      <c r="Q38" s="83" t="s">
        <v>225</v>
      </c>
      <c r="R38" s="84">
        <v>0</v>
      </c>
      <c r="S38" s="48">
        <v>46213</v>
      </c>
      <c r="T38" s="48">
        <v>46217</v>
      </c>
      <c r="U38" s="16" t="s">
        <v>40</v>
      </c>
      <c r="V38" s="85" t="s">
        <v>376</v>
      </c>
      <c r="W38" s="86">
        <v>0</v>
      </c>
      <c r="X38" s="52">
        <v>46218</v>
      </c>
      <c r="Y38" s="52">
        <v>46222</v>
      </c>
      <c r="Z38" s="87" t="s">
        <v>377</v>
      </c>
      <c r="AA38" s="95" t="s">
        <v>376</v>
      </c>
      <c r="AB38" s="89">
        <v>0</v>
      </c>
      <c r="AC38" s="51">
        <v>46233</v>
      </c>
      <c r="AD38" s="51">
        <v>46242</v>
      </c>
      <c r="AE38" s="22" t="s">
        <v>34</v>
      </c>
      <c r="AF38" s="90" t="s">
        <v>34</v>
      </c>
      <c r="AG38" s="91">
        <v>1</v>
      </c>
      <c r="AH38" s="50">
        <v>46243</v>
      </c>
      <c r="AI38" s="50">
        <v>46250</v>
      </c>
      <c r="AJ38" s="20" t="s">
        <v>165</v>
      </c>
      <c r="AK38" s="92" t="s">
        <v>215</v>
      </c>
      <c r="AL38" s="93">
        <v>0</v>
      </c>
      <c r="AM38" s="49">
        <v>46337</v>
      </c>
      <c r="AN38" s="49">
        <v>46343</v>
      </c>
      <c r="AO38" s="24" t="s">
        <v>40</v>
      </c>
      <c r="AP38" s="94">
        <v>0</v>
      </c>
    </row>
    <row r="39" spans="1:42" ht="15">
      <c r="A39" s="7" t="s">
        <v>370</v>
      </c>
      <c r="B39" s="9">
        <v>42310</v>
      </c>
      <c r="C39" s="6">
        <v>1</v>
      </c>
      <c r="D39" s="46">
        <v>46146</v>
      </c>
      <c r="E39" s="46">
        <v>46155</v>
      </c>
      <c r="F39" s="34" t="s">
        <v>34</v>
      </c>
      <c r="G39" s="107" t="s">
        <v>34</v>
      </c>
      <c r="H39" s="82">
        <v>1</v>
      </c>
      <c r="I39" s="229">
        <v>46185</v>
      </c>
      <c r="J39" s="229">
        <v>46194</v>
      </c>
      <c r="K39" s="24" t="s">
        <v>40</v>
      </c>
      <c r="L39" s="281" t="s">
        <v>385</v>
      </c>
      <c r="M39" s="94">
        <v>0</v>
      </c>
      <c r="N39" s="47">
        <v>46185</v>
      </c>
      <c r="O39" s="47">
        <v>46194</v>
      </c>
      <c r="P39" s="13" t="s">
        <v>40</v>
      </c>
      <c r="Q39" s="392" t="s">
        <v>406</v>
      </c>
      <c r="R39" s="84">
        <v>0</v>
      </c>
      <c r="S39" s="48">
        <v>46213</v>
      </c>
      <c r="T39" s="48">
        <v>46217</v>
      </c>
      <c r="U39" s="16" t="s">
        <v>34</v>
      </c>
      <c r="V39" s="85" t="s">
        <v>34</v>
      </c>
      <c r="W39" s="86">
        <v>1</v>
      </c>
      <c r="X39" s="52">
        <v>46218</v>
      </c>
      <c r="Y39" s="52">
        <v>46222</v>
      </c>
      <c r="Z39" s="18" t="s">
        <v>34</v>
      </c>
      <c r="AA39" s="97" t="s">
        <v>34</v>
      </c>
      <c r="AB39" s="89">
        <v>1</v>
      </c>
      <c r="AC39" s="51">
        <v>46233</v>
      </c>
      <c r="AD39" s="51">
        <v>46242</v>
      </c>
      <c r="AE39" s="22" t="s">
        <v>34</v>
      </c>
      <c r="AF39" s="90" t="s">
        <v>34</v>
      </c>
      <c r="AG39" s="91">
        <v>1</v>
      </c>
      <c r="AH39" s="50">
        <v>46243</v>
      </c>
      <c r="AI39" s="50">
        <v>46250</v>
      </c>
      <c r="AJ39" s="20" t="s">
        <v>165</v>
      </c>
      <c r="AK39" s="92" t="s">
        <v>215</v>
      </c>
      <c r="AL39" s="93">
        <v>0</v>
      </c>
      <c r="AM39" s="49">
        <v>46337</v>
      </c>
      <c r="AN39" s="49">
        <v>46343</v>
      </c>
      <c r="AO39" s="24" t="s">
        <v>40</v>
      </c>
      <c r="AP39" s="94">
        <v>0</v>
      </c>
    </row>
    <row r="40" spans="1:42" ht="15">
      <c r="A40" s="7" t="s">
        <v>370</v>
      </c>
      <c r="B40" s="9">
        <v>42410</v>
      </c>
      <c r="C40" s="6">
        <v>1</v>
      </c>
      <c r="D40" s="46">
        <v>46146</v>
      </c>
      <c r="E40" s="46">
        <v>46155</v>
      </c>
      <c r="F40" s="34" t="s">
        <v>34</v>
      </c>
      <c r="G40" s="107" t="s">
        <v>34</v>
      </c>
      <c r="H40" s="82">
        <v>1</v>
      </c>
      <c r="I40" s="229">
        <v>46185</v>
      </c>
      <c r="J40" s="229">
        <v>46194</v>
      </c>
      <c r="K40" s="24" t="s">
        <v>40</v>
      </c>
      <c r="L40" s="281" t="s">
        <v>385</v>
      </c>
      <c r="M40" s="94">
        <v>0</v>
      </c>
      <c r="N40" s="47">
        <v>46185</v>
      </c>
      <c r="O40" s="47">
        <v>46194</v>
      </c>
      <c r="P40" s="13" t="s">
        <v>40</v>
      </c>
      <c r="Q40" s="392" t="s">
        <v>406</v>
      </c>
      <c r="R40" s="84">
        <v>0</v>
      </c>
      <c r="S40" s="48">
        <v>46213</v>
      </c>
      <c r="T40" s="48">
        <v>46217</v>
      </c>
      <c r="U40" s="16" t="s">
        <v>34</v>
      </c>
      <c r="V40" s="85" t="s">
        <v>34</v>
      </c>
      <c r="W40" s="86">
        <v>1</v>
      </c>
      <c r="X40" s="52">
        <v>46218</v>
      </c>
      <c r="Y40" s="52">
        <v>46222</v>
      </c>
      <c r="Z40" s="18" t="s">
        <v>34</v>
      </c>
      <c r="AA40" s="97" t="s">
        <v>34</v>
      </c>
      <c r="AB40" s="89">
        <v>1</v>
      </c>
      <c r="AC40" s="51">
        <v>46233</v>
      </c>
      <c r="AD40" s="51">
        <v>46242</v>
      </c>
      <c r="AE40" s="22" t="s">
        <v>34</v>
      </c>
      <c r="AF40" s="90" t="s">
        <v>34</v>
      </c>
      <c r="AG40" s="91">
        <v>1</v>
      </c>
      <c r="AH40" s="50">
        <v>46243</v>
      </c>
      <c r="AI40" s="50">
        <v>46250</v>
      </c>
      <c r="AJ40" s="20" t="s">
        <v>165</v>
      </c>
      <c r="AK40" s="92" t="s">
        <v>215</v>
      </c>
      <c r="AL40" s="93">
        <v>0</v>
      </c>
      <c r="AM40" s="49">
        <v>46337</v>
      </c>
      <c r="AN40" s="49">
        <v>46343</v>
      </c>
      <c r="AO40" s="24" t="s">
        <v>40</v>
      </c>
      <c r="AP40" s="94">
        <v>0</v>
      </c>
    </row>
    <row r="41" spans="1:42">
      <c r="A41" s="7" t="s">
        <v>370</v>
      </c>
      <c r="B41" s="9" t="s">
        <v>419</v>
      </c>
      <c r="C41" s="6">
        <v>1</v>
      </c>
      <c r="D41" s="46">
        <v>46146</v>
      </c>
      <c r="E41" s="46">
        <v>46155</v>
      </c>
      <c r="F41" s="34" t="s">
        <v>34</v>
      </c>
      <c r="G41" s="107" t="s">
        <v>420</v>
      </c>
      <c r="H41" s="82">
        <v>0.95</v>
      </c>
      <c r="I41" s="229">
        <v>46185</v>
      </c>
      <c r="J41" s="229">
        <v>46194</v>
      </c>
      <c r="K41" s="24" t="s">
        <v>40</v>
      </c>
      <c r="L41" s="281" t="s">
        <v>225</v>
      </c>
      <c r="M41" s="94">
        <v>0</v>
      </c>
      <c r="N41" s="47">
        <v>46185</v>
      </c>
      <c r="O41" s="47">
        <v>46194</v>
      </c>
      <c r="P41" s="13" t="s">
        <v>40</v>
      </c>
      <c r="Q41" s="83" t="s">
        <v>225</v>
      </c>
      <c r="R41" s="84">
        <v>0</v>
      </c>
      <c r="S41" s="48">
        <v>46213</v>
      </c>
      <c r="T41" s="48">
        <v>46217</v>
      </c>
      <c r="U41" s="16" t="s">
        <v>40</v>
      </c>
      <c r="V41" s="85" t="s">
        <v>376</v>
      </c>
      <c r="W41" s="86">
        <v>0</v>
      </c>
      <c r="X41" s="52">
        <v>46218</v>
      </c>
      <c r="Y41" s="52">
        <v>46222</v>
      </c>
      <c r="Z41" s="87" t="s">
        <v>377</v>
      </c>
      <c r="AA41" s="95" t="s">
        <v>376</v>
      </c>
      <c r="AB41" s="89">
        <v>0</v>
      </c>
      <c r="AC41" s="51">
        <v>46233</v>
      </c>
      <c r="AD41" s="51">
        <v>46242</v>
      </c>
      <c r="AE41" s="22" t="s">
        <v>34</v>
      </c>
      <c r="AF41" s="90" t="s">
        <v>34</v>
      </c>
      <c r="AG41" s="91">
        <v>1</v>
      </c>
      <c r="AH41" s="50">
        <v>46243</v>
      </c>
      <c r="AI41" s="50">
        <v>46250</v>
      </c>
      <c r="AJ41" s="20" t="s">
        <v>165</v>
      </c>
      <c r="AK41" s="92" t="s">
        <v>215</v>
      </c>
      <c r="AL41" s="93">
        <v>0</v>
      </c>
      <c r="AM41" s="49">
        <v>46337</v>
      </c>
      <c r="AN41" s="49">
        <v>46343</v>
      </c>
      <c r="AO41" s="24" t="s">
        <v>40</v>
      </c>
      <c r="AP41" s="94">
        <v>0</v>
      </c>
    </row>
    <row r="42" spans="1:42">
      <c r="A42" s="5" t="s">
        <v>10</v>
      </c>
      <c r="B42" s="40"/>
      <c r="C42" s="4">
        <f>SUM(C3:C41)</f>
        <v>39</v>
      </c>
      <c r="D42" s="38"/>
      <c r="E42" s="38"/>
      <c r="F42" s="35"/>
      <c r="G42" s="108"/>
      <c r="H42" s="39">
        <f>AVERAGE(H3:H41)</f>
        <v>0.92179487179487185</v>
      </c>
      <c r="I42" s="229"/>
      <c r="J42" s="229"/>
      <c r="K42" s="23"/>
      <c r="L42" s="283"/>
      <c r="M42" s="54">
        <f>AVERAGE(M3:M41)</f>
        <v>0.38461538461538464</v>
      </c>
      <c r="N42" s="47"/>
      <c r="O42" s="47"/>
      <c r="P42" s="12"/>
      <c r="Q42" s="103"/>
      <c r="R42" s="36">
        <f>AVERAGE(R3:R41)</f>
        <v>0.38461538461538464</v>
      </c>
      <c r="S42" s="15"/>
      <c r="T42" s="15"/>
      <c r="U42" s="15"/>
      <c r="V42" s="104"/>
      <c r="W42" s="42">
        <f>AVERAGE(W3:W41)</f>
        <v>0.39743589743589741</v>
      </c>
      <c r="X42" s="17"/>
      <c r="Y42" s="17"/>
      <c r="Z42" s="17"/>
      <c r="AA42" s="105"/>
      <c r="AB42" s="44">
        <f>AVERAGE(AB3:AB41)</f>
        <v>0.25641025641025639</v>
      </c>
      <c r="AC42" s="21"/>
      <c r="AD42" s="21"/>
      <c r="AE42" s="21"/>
      <c r="AF42" s="106"/>
      <c r="AG42" s="43">
        <f>AVERAGE(AG3:AG41)</f>
        <v>0.69230769230769229</v>
      </c>
      <c r="AH42" s="60"/>
      <c r="AI42" s="60"/>
      <c r="AJ42" s="20"/>
      <c r="AK42" s="37"/>
      <c r="AL42" s="37">
        <f>AVERAGE(AL3:AL41)</f>
        <v>0.33333333333333331</v>
      </c>
      <c r="AM42" s="61"/>
      <c r="AN42" s="61"/>
      <c r="AO42" s="23"/>
      <c r="AP42" s="54">
        <f>AVERAGE(AP3:AP41)</f>
        <v>0</v>
      </c>
    </row>
    <row r="43" spans="1:42">
      <c r="A43" s="8"/>
      <c r="B43" s="111"/>
      <c r="C43" s="112"/>
      <c r="D43" s="112"/>
      <c r="E43" s="112"/>
      <c r="F43" s="113"/>
      <c r="G43" s="114"/>
      <c r="H43" s="115"/>
      <c r="I43" s="115"/>
      <c r="J43" s="115"/>
      <c r="K43" s="115"/>
      <c r="L43" s="115"/>
      <c r="M43" s="115"/>
      <c r="N43" s="45"/>
      <c r="O43" s="45"/>
      <c r="P43" s="113"/>
      <c r="Q43" s="113"/>
      <c r="R43" s="115"/>
      <c r="S43" s="113"/>
      <c r="T43" s="113"/>
      <c r="U43" s="113"/>
      <c r="V43" s="113"/>
      <c r="W43" s="116"/>
      <c r="X43" s="113"/>
      <c r="Y43" s="113"/>
      <c r="Z43" s="113"/>
      <c r="AA43" s="113"/>
      <c r="AB43" s="115"/>
      <c r="AC43" s="113"/>
      <c r="AD43" s="113"/>
      <c r="AE43" s="113"/>
      <c r="AF43" s="113"/>
      <c r="AG43" s="115"/>
      <c r="AH43" s="117"/>
      <c r="AI43" s="117"/>
      <c r="AJ43" s="11"/>
      <c r="AK43" s="11"/>
      <c r="AL43" s="115"/>
      <c r="AM43" s="117"/>
      <c r="AN43" s="117"/>
      <c r="AO43" s="113"/>
      <c r="AP43" s="115"/>
    </row>
    <row r="44" spans="1:42" ht="18.600000000000001">
      <c r="A44" s="64" t="s">
        <v>228</v>
      </c>
    </row>
    <row r="45" spans="1:42">
      <c r="A45" s="5" t="s">
        <v>172</v>
      </c>
      <c r="B45" s="3" t="s">
        <v>173</v>
      </c>
      <c r="C45" s="3" t="s">
        <v>174</v>
      </c>
      <c r="D45" s="3" t="s">
        <v>34</v>
      </c>
      <c r="E45" s="3" t="s">
        <v>175</v>
      </c>
    </row>
    <row r="46" spans="1:42">
      <c r="A46" s="7" t="s">
        <v>176</v>
      </c>
      <c r="B46" s="266">
        <v>0.1</v>
      </c>
      <c r="C46" s="7">
        <f>39*B46</f>
        <v>3.9000000000000004</v>
      </c>
      <c r="D46" s="275">
        <f>SUM(H3:H41)*0.1</f>
        <v>3.5950000000000006</v>
      </c>
      <c r="E46" s="267">
        <f t="shared" ref="E46:E53" si="0">D46/C46</f>
        <v>0.92179487179487185</v>
      </c>
    </row>
    <row r="47" spans="1:42">
      <c r="A47" s="274" t="s">
        <v>177</v>
      </c>
      <c r="B47" s="266">
        <v>0.3</v>
      </c>
      <c r="C47" s="7">
        <f t="shared" ref="C47:C52" si="1">39*B47</f>
        <v>11.7</v>
      </c>
      <c r="D47" s="275">
        <f>SUM(M3:M41)*0.3</f>
        <v>4.5</v>
      </c>
      <c r="E47" s="267">
        <f t="shared" si="0"/>
        <v>0.38461538461538464</v>
      </c>
    </row>
    <row r="48" spans="1:42">
      <c r="A48" s="7" t="s">
        <v>178</v>
      </c>
      <c r="B48" s="266">
        <v>0.1</v>
      </c>
      <c r="C48" s="7">
        <f t="shared" si="1"/>
        <v>3.9000000000000004</v>
      </c>
      <c r="D48" s="275">
        <f>SUM(R3:R41)*0.1</f>
        <v>1.5</v>
      </c>
      <c r="E48" s="267">
        <f t="shared" si="0"/>
        <v>0.38461538461538458</v>
      </c>
    </row>
    <row r="49" spans="1:5">
      <c r="A49" s="7" t="s">
        <v>161</v>
      </c>
      <c r="B49" s="266">
        <v>0.2</v>
      </c>
      <c r="C49" s="7">
        <f t="shared" si="1"/>
        <v>7.8000000000000007</v>
      </c>
      <c r="D49" s="275">
        <f>SUM(W3:W41)*0.2</f>
        <v>3.1</v>
      </c>
      <c r="E49" s="267">
        <f t="shared" si="0"/>
        <v>0.39743589743589741</v>
      </c>
    </row>
    <row r="50" spans="1:5">
      <c r="A50" s="7" t="s">
        <v>162</v>
      </c>
      <c r="B50" s="266">
        <v>0.05</v>
      </c>
      <c r="C50" s="7">
        <f t="shared" si="1"/>
        <v>1.9500000000000002</v>
      </c>
      <c r="D50" s="275">
        <f>SUM(AB3:AB41)*0.05</f>
        <v>0.5</v>
      </c>
      <c r="E50" s="267">
        <f t="shared" si="0"/>
        <v>0.25641025641025639</v>
      </c>
    </row>
    <row r="51" spans="1:5">
      <c r="A51" s="7" t="s">
        <v>163</v>
      </c>
      <c r="B51" s="266">
        <v>0.2</v>
      </c>
      <c r="C51" s="7">
        <f t="shared" si="1"/>
        <v>7.8000000000000007</v>
      </c>
      <c r="D51" s="275">
        <f>SUM(AG3:AG41)*0.2</f>
        <v>5.4</v>
      </c>
      <c r="E51" s="267">
        <f t="shared" si="0"/>
        <v>0.69230769230769229</v>
      </c>
    </row>
    <row r="52" spans="1:5">
      <c r="A52" s="7" t="s">
        <v>164</v>
      </c>
      <c r="B52" s="266">
        <v>0.05</v>
      </c>
      <c r="C52" s="7">
        <f t="shared" si="1"/>
        <v>1.9500000000000002</v>
      </c>
      <c r="D52" s="275">
        <f>SUM(AL3:AL41)*0.05</f>
        <v>0.65</v>
      </c>
      <c r="E52" s="267">
        <f t="shared" si="0"/>
        <v>0.33333333333333331</v>
      </c>
    </row>
    <row r="53" spans="1:5">
      <c r="A53" s="5" t="s">
        <v>179</v>
      </c>
      <c r="B53" s="62">
        <f>SUM(B46:B52)</f>
        <v>1</v>
      </c>
      <c r="C53" s="5">
        <f>SUM(C46:C52)</f>
        <v>39</v>
      </c>
      <c r="D53" s="276">
        <f>SUM(D46:D52)</f>
        <v>19.244999999999997</v>
      </c>
      <c r="E53" s="63">
        <f t="shared" si="0"/>
        <v>0.4934615384615384</v>
      </c>
    </row>
  </sheetData>
  <autoFilter ref="A2:AQ42" xr:uid="{3313A272-B8A5-4057-A268-5C24DD9C3757}"/>
  <mergeCells count="8">
    <mergeCell ref="AM1:AP1"/>
    <mergeCell ref="D1:H1"/>
    <mergeCell ref="N1:R1"/>
    <mergeCell ref="S1:W1"/>
    <mergeCell ref="X1:AB1"/>
    <mergeCell ref="AC1:AG1"/>
    <mergeCell ref="AH1:AL1"/>
    <mergeCell ref="I1:M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86FE-3534-4D27-82B4-EACF700FFA04}">
  <dimension ref="A1:AQ132"/>
  <sheetViews>
    <sheetView zoomScaleNormal="100" workbookViewId="0">
      <pane xSplit="3" ySplit="2" topLeftCell="D25" activePane="bottomRight" state="frozen"/>
      <selection pane="bottomRight" activeCell="A30" sqref="A30:XFD30"/>
      <selection pane="bottomLeft" activeCell="A3" sqref="A3"/>
      <selection pane="topRight" activeCell="D1" sqref="D1"/>
    </sheetView>
  </sheetViews>
  <sheetFormatPr defaultColWidth="8.7109375" defaultRowHeight="14.45"/>
  <cols>
    <col min="1" max="1" width="16.42578125" style="2" customWidth="1"/>
    <col min="2" max="2" width="16.42578125" style="41" bestFit="1" customWidth="1"/>
    <col min="3" max="3" width="13.85546875" style="2" bestFit="1" customWidth="1"/>
    <col min="4" max="5" width="15.5703125" style="2" customWidth="1"/>
    <col min="6" max="7" width="15.5703125" style="11" customWidth="1"/>
    <col min="8" max="38" width="15.5703125" style="2" customWidth="1"/>
    <col min="39" max="42" width="15.5703125" style="2" hidden="1" customWidth="1"/>
    <col min="43" max="44" width="0" style="2" hidden="1" customWidth="1"/>
    <col min="45" max="16384" width="8.7109375" style="2"/>
  </cols>
  <sheetData>
    <row r="1" spans="1:43" ht="18.600000000000001">
      <c r="A1" s="135" t="s">
        <v>1</v>
      </c>
      <c r="B1" s="136" t="s">
        <v>25</v>
      </c>
      <c r="C1" s="136" t="s">
        <v>26</v>
      </c>
      <c r="D1" s="534" t="s">
        <v>180</v>
      </c>
      <c r="E1" s="534"/>
      <c r="F1" s="534"/>
      <c r="G1" s="534"/>
      <c r="H1" s="535"/>
      <c r="I1" s="502" t="s">
        <v>181</v>
      </c>
      <c r="J1" s="503"/>
      <c r="K1" s="503"/>
      <c r="L1" s="503"/>
      <c r="M1" s="504"/>
      <c r="N1" s="520" t="s">
        <v>182</v>
      </c>
      <c r="O1" s="521"/>
      <c r="P1" s="521"/>
      <c r="Q1" s="521"/>
      <c r="R1" s="522"/>
      <c r="S1" s="536" t="s">
        <v>183</v>
      </c>
      <c r="T1" s="536"/>
      <c r="U1" s="536"/>
      <c r="V1" s="536"/>
      <c r="W1" s="537"/>
      <c r="X1" s="538" t="s">
        <v>184</v>
      </c>
      <c r="Y1" s="538"/>
      <c r="Z1" s="538"/>
      <c r="AA1" s="538"/>
      <c r="AB1" s="539"/>
      <c r="AC1" s="540" t="s">
        <v>421</v>
      </c>
      <c r="AD1" s="540"/>
      <c r="AE1" s="540"/>
      <c r="AF1" s="540"/>
      <c r="AG1" s="541"/>
      <c r="AH1" s="542" t="s">
        <v>229</v>
      </c>
      <c r="AI1" s="542"/>
      <c r="AJ1" s="542"/>
      <c r="AK1" s="542"/>
      <c r="AL1" s="543"/>
      <c r="AM1" s="544" t="s">
        <v>166</v>
      </c>
      <c r="AN1" s="544"/>
      <c r="AO1" s="544"/>
      <c r="AP1" s="545"/>
      <c r="AQ1" s="1"/>
    </row>
    <row r="2" spans="1:43" ht="15.95">
      <c r="A2" s="137" t="s">
        <v>422</v>
      </c>
      <c r="B2" s="138" t="s">
        <v>422</v>
      </c>
      <c r="C2" s="138" t="s">
        <v>422</v>
      </c>
      <c r="D2" s="139" t="s">
        <v>28</v>
      </c>
      <c r="E2" s="139" t="s">
        <v>29</v>
      </c>
      <c r="F2" s="139" t="s">
        <v>30</v>
      </c>
      <c r="G2" s="139" t="s">
        <v>187</v>
      </c>
      <c r="H2" s="139" t="s">
        <v>31</v>
      </c>
      <c r="I2" s="145" t="s">
        <v>28</v>
      </c>
      <c r="J2" s="145" t="s">
        <v>29</v>
      </c>
      <c r="K2" s="145" t="s">
        <v>30</v>
      </c>
      <c r="L2" s="145" t="s">
        <v>187</v>
      </c>
      <c r="M2" s="145" t="s">
        <v>31</v>
      </c>
      <c r="N2" s="140" t="s">
        <v>28</v>
      </c>
      <c r="O2" s="140" t="s">
        <v>29</v>
      </c>
      <c r="P2" s="140" t="s">
        <v>30</v>
      </c>
      <c r="Q2" s="140" t="s">
        <v>187</v>
      </c>
      <c r="R2" s="140" t="s">
        <v>31</v>
      </c>
      <c r="S2" s="141" t="s">
        <v>28</v>
      </c>
      <c r="T2" s="141" t="s">
        <v>29</v>
      </c>
      <c r="U2" s="141" t="s">
        <v>30</v>
      </c>
      <c r="V2" s="141" t="s">
        <v>187</v>
      </c>
      <c r="W2" s="141" t="s">
        <v>31</v>
      </c>
      <c r="X2" s="142" t="s">
        <v>28</v>
      </c>
      <c r="Y2" s="142" t="s">
        <v>29</v>
      </c>
      <c r="Z2" s="142" t="s">
        <v>30</v>
      </c>
      <c r="AA2" s="142" t="s">
        <v>187</v>
      </c>
      <c r="AB2" s="142" t="s">
        <v>31</v>
      </c>
      <c r="AC2" s="143" t="s">
        <v>28</v>
      </c>
      <c r="AD2" s="143" t="s">
        <v>29</v>
      </c>
      <c r="AE2" s="143" t="s">
        <v>30</v>
      </c>
      <c r="AF2" s="143" t="s">
        <v>187</v>
      </c>
      <c r="AG2" s="143" t="s">
        <v>31</v>
      </c>
      <c r="AH2" s="144" t="s">
        <v>28</v>
      </c>
      <c r="AI2" s="144" t="s">
        <v>29</v>
      </c>
      <c r="AJ2" s="144" t="s">
        <v>30</v>
      </c>
      <c r="AK2" s="144" t="s">
        <v>187</v>
      </c>
      <c r="AL2" s="144" t="s">
        <v>31</v>
      </c>
      <c r="AM2" s="145" t="s">
        <v>28</v>
      </c>
      <c r="AN2" s="145" t="s">
        <v>29</v>
      </c>
      <c r="AO2" s="145" t="s">
        <v>30</v>
      </c>
      <c r="AP2" s="145" t="s">
        <v>31</v>
      </c>
      <c r="AQ2" s="1"/>
    </row>
    <row r="3" spans="1:43" ht="15">
      <c r="A3" s="146" t="s">
        <v>423</v>
      </c>
      <c r="B3" s="147">
        <v>50005</v>
      </c>
      <c r="C3" s="147">
        <v>1</v>
      </c>
      <c r="D3" s="149">
        <v>46170</v>
      </c>
      <c r="E3" s="149">
        <v>46175</v>
      </c>
      <c r="F3" s="148" t="s">
        <v>34</v>
      </c>
      <c r="G3" s="382">
        <v>41027200</v>
      </c>
      <c r="H3" s="151">
        <v>1</v>
      </c>
      <c r="I3" s="169">
        <v>46176</v>
      </c>
      <c r="J3" s="169">
        <v>46182</v>
      </c>
      <c r="K3" s="168" t="s">
        <v>34</v>
      </c>
      <c r="L3" s="168" t="s">
        <v>422</v>
      </c>
      <c r="M3" s="179">
        <v>1</v>
      </c>
      <c r="N3" s="153">
        <v>46176</v>
      </c>
      <c r="O3" s="153">
        <v>46182</v>
      </c>
      <c r="P3" s="152" t="s">
        <v>34</v>
      </c>
      <c r="Q3" s="152" t="s">
        <v>422</v>
      </c>
      <c r="R3" s="155">
        <v>1</v>
      </c>
      <c r="S3" s="157">
        <v>46202</v>
      </c>
      <c r="T3" s="157">
        <v>46208</v>
      </c>
      <c r="U3" s="156" t="s">
        <v>40</v>
      </c>
      <c r="V3" s="156" t="s">
        <v>422</v>
      </c>
      <c r="W3" s="158">
        <v>0</v>
      </c>
      <c r="X3" s="160">
        <v>46215</v>
      </c>
      <c r="Y3" s="160">
        <v>46217</v>
      </c>
      <c r="Z3" s="159" t="s">
        <v>40</v>
      </c>
      <c r="AA3" s="159" t="s">
        <v>422</v>
      </c>
      <c r="AB3" s="161">
        <v>0</v>
      </c>
      <c r="AC3" s="163">
        <v>46218</v>
      </c>
      <c r="AD3" s="163">
        <v>46224</v>
      </c>
      <c r="AE3" s="162" t="s">
        <v>40</v>
      </c>
      <c r="AF3" s="162" t="s">
        <v>422</v>
      </c>
      <c r="AG3" s="164">
        <v>0</v>
      </c>
      <c r="AH3" s="165">
        <v>46231</v>
      </c>
      <c r="AI3" s="165">
        <v>46233</v>
      </c>
      <c r="AJ3" s="166" t="s">
        <v>165</v>
      </c>
      <c r="AK3" s="166" t="s">
        <v>422</v>
      </c>
      <c r="AL3" s="167">
        <v>0</v>
      </c>
      <c r="AM3" s="169">
        <v>46332</v>
      </c>
      <c r="AN3" s="169">
        <v>46338</v>
      </c>
      <c r="AO3" s="168" t="s">
        <v>40</v>
      </c>
      <c r="AP3" s="170">
        <v>0</v>
      </c>
      <c r="AQ3"/>
    </row>
    <row r="4" spans="1:43">
      <c r="A4" s="146" t="s">
        <v>423</v>
      </c>
      <c r="B4" s="147">
        <v>50010</v>
      </c>
      <c r="C4" s="147">
        <v>1</v>
      </c>
      <c r="D4" s="149">
        <v>46170</v>
      </c>
      <c r="E4" s="149">
        <v>46175</v>
      </c>
      <c r="F4" s="148" t="s">
        <v>34</v>
      </c>
      <c r="G4" s="148" t="s">
        <v>422</v>
      </c>
      <c r="H4" s="151">
        <v>1</v>
      </c>
      <c r="I4" s="169">
        <v>46176</v>
      </c>
      <c r="J4" s="169">
        <v>46182</v>
      </c>
      <c r="K4" s="168" t="s">
        <v>34</v>
      </c>
      <c r="L4" s="168" t="s">
        <v>422</v>
      </c>
      <c r="M4" s="179">
        <v>1</v>
      </c>
      <c r="N4" s="153">
        <v>46176</v>
      </c>
      <c r="O4" s="153">
        <v>46182</v>
      </c>
      <c r="P4" s="152" t="s">
        <v>34</v>
      </c>
      <c r="Q4" s="152" t="s">
        <v>422</v>
      </c>
      <c r="R4" s="155">
        <v>1</v>
      </c>
      <c r="S4" s="157">
        <v>46202</v>
      </c>
      <c r="T4" s="157">
        <v>46208</v>
      </c>
      <c r="U4" s="156" t="s">
        <v>40</v>
      </c>
      <c r="V4" s="156" t="s">
        <v>422</v>
      </c>
      <c r="W4" s="158">
        <v>0</v>
      </c>
      <c r="X4" s="160">
        <v>46215</v>
      </c>
      <c r="Y4" s="160">
        <v>46217</v>
      </c>
      <c r="Z4" s="159" t="s">
        <v>40</v>
      </c>
      <c r="AA4" s="159" t="s">
        <v>422</v>
      </c>
      <c r="AB4" s="161">
        <v>0</v>
      </c>
      <c r="AC4" s="163">
        <v>46218</v>
      </c>
      <c r="AD4" s="163">
        <v>46224</v>
      </c>
      <c r="AE4" s="162" t="s">
        <v>40</v>
      </c>
      <c r="AF4" s="162" t="s">
        <v>422</v>
      </c>
      <c r="AG4" s="164">
        <v>0</v>
      </c>
      <c r="AH4" s="165">
        <v>46231</v>
      </c>
      <c r="AI4" s="165">
        <v>46233</v>
      </c>
      <c r="AJ4" s="166" t="s">
        <v>165</v>
      </c>
      <c r="AK4" s="166" t="s">
        <v>422</v>
      </c>
      <c r="AL4" s="167">
        <v>0</v>
      </c>
      <c r="AM4" s="169">
        <v>46332</v>
      </c>
      <c r="AN4" s="169">
        <v>46338</v>
      </c>
      <c r="AO4" s="168" t="s">
        <v>40</v>
      </c>
      <c r="AP4" s="170">
        <v>0</v>
      </c>
      <c r="AQ4"/>
    </row>
    <row r="5" spans="1:43">
      <c r="A5" s="146" t="s">
        <v>423</v>
      </c>
      <c r="B5" s="147">
        <v>50012</v>
      </c>
      <c r="C5" s="147">
        <v>1</v>
      </c>
      <c r="D5" s="149">
        <v>46170</v>
      </c>
      <c r="E5" s="149">
        <v>46175</v>
      </c>
      <c r="F5" s="148" t="s">
        <v>34</v>
      </c>
      <c r="G5" s="148" t="s">
        <v>422</v>
      </c>
      <c r="H5" s="151">
        <v>1</v>
      </c>
      <c r="I5" s="169">
        <v>46176</v>
      </c>
      <c r="J5" s="169">
        <v>46182</v>
      </c>
      <c r="K5" s="168" t="s">
        <v>34</v>
      </c>
      <c r="L5" s="168" t="s">
        <v>422</v>
      </c>
      <c r="M5" s="179">
        <v>1</v>
      </c>
      <c r="N5" s="153">
        <v>46176</v>
      </c>
      <c r="O5" s="153">
        <v>46182</v>
      </c>
      <c r="P5" s="152" t="s">
        <v>34</v>
      </c>
      <c r="Q5" s="152" t="s">
        <v>422</v>
      </c>
      <c r="R5" s="155">
        <v>1</v>
      </c>
      <c r="S5" s="157">
        <v>46202</v>
      </c>
      <c r="T5" s="157">
        <v>46208</v>
      </c>
      <c r="U5" s="156" t="s">
        <v>40</v>
      </c>
      <c r="V5" s="156" t="s">
        <v>422</v>
      </c>
      <c r="W5" s="158">
        <v>0</v>
      </c>
      <c r="X5" s="160">
        <v>46215</v>
      </c>
      <c r="Y5" s="160">
        <v>46217</v>
      </c>
      <c r="Z5" s="159" t="s">
        <v>40</v>
      </c>
      <c r="AA5" s="159" t="s">
        <v>422</v>
      </c>
      <c r="AB5" s="161">
        <v>0</v>
      </c>
      <c r="AC5" s="163">
        <v>46218</v>
      </c>
      <c r="AD5" s="163">
        <v>46224</v>
      </c>
      <c r="AE5" s="162" t="s">
        <v>34</v>
      </c>
      <c r="AF5" s="162" t="s">
        <v>422</v>
      </c>
      <c r="AG5" s="164">
        <v>1</v>
      </c>
      <c r="AH5" s="165">
        <v>46231</v>
      </c>
      <c r="AI5" s="165">
        <v>46233</v>
      </c>
      <c r="AJ5" s="166" t="s">
        <v>165</v>
      </c>
      <c r="AK5" s="166" t="s">
        <v>422</v>
      </c>
      <c r="AL5" s="167">
        <v>0</v>
      </c>
      <c r="AM5" s="169">
        <v>46332</v>
      </c>
      <c r="AN5" s="169">
        <v>46338</v>
      </c>
      <c r="AO5" s="168" t="s">
        <v>40</v>
      </c>
      <c r="AP5" s="170">
        <v>0</v>
      </c>
      <c r="AQ5"/>
    </row>
    <row r="6" spans="1:43">
      <c r="A6" s="146" t="s">
        <v>423</v>
      </c>
      <c r="B6" s="147">
        <v>50015</v>
      </c>
      <c r="C6" s="147">
        <v>1</v>
      </c>
      <c r="D6" s="149">
        <v>46170</v>
      </c>
      <c r="E6" s="149">
        <v>46175</v>
      </c>
      <c r="F6" s="148" t="s">
        <v>34</v>
      </c>
      <c r="G6" s="148" t="s">
        <v>422</v>
      </c>
      <c r="H6" s="151">
        <v>1</v>
      </c>
      <c r="I6" s="169">
        <v>46176</v>
      </c>
      <c r="J6" s="169">
        <v>46182</v>
      </c>
      <c r="K6" s="168" t="s">
        <v>34</v>
      </c>
      <c r="L6" s="168" t="s">
        <v>422</v>
      </c>
      <c r="M6" s="179">
        <v>1</v>
      </c>
      <c r="N6" s="153">
        <v>46176</v>
      </c>
      <c r="O6" s="153">
        <v>46182</v>
      </c>
      <c r="P6" s="152" t="s">
        <v>34</v>
      </c>
      <c r="Q6" s="152" t="s">
        <v>422</v>
      </c>
      <c r="R6" s="155">
        <v>1</v>
      </c>
      <c r="S6" s="157">
        <v>46202</v>
      </c>
      <c r="T6" s="157">
        <v>46208</v>
      </c>
      <c r="U6" s="156" t="s">
        <v>40</v>
      </c>
      <c r="V6" s="156" t="s">
        <v>422</v>
      </c>
      <c r="W6" s="158">
        <v>0</v>
      </c>
      <c r="X6" s="160">
        <v>46215</v>
      </c>
      <c r="Y6" s="160">
        <v>46217</v>
      </c>
      <c r="Z6" s="159" t="s">
        <v>40</v>
      </c>
      <c r="AA6" s="159" t="s">
        <v>422</v>
      </c>
      <c r="AB6" s="161">
        <v>0</v>
      </c>
      <c r="AC6" s="163">
        <v>46218</v>
      </c>
      <c r="AD6" s="163">
        <v>46224</v>
      </c>
      <c r="AE6" s="162" t="s">
        <v>34</v>
      </c>
      <c r="AF6" s="162" t="s">
        <v>422</v>
      </c>
      <c r="AG6" s="164">
        <v>1</v>
      </c>
      <c r="AH6" s="165">
        <v>46231</v>
      </c>
      <c r="AI6" s="165">
        <v>46233</v>
      </c>
      <c r="AJ6" s="166" t="s">
        <v>165</v>
      </c>
      <c r="AK6" s="166" t="s">
        <v>422</v>
      </c>
      <c r="AL6" s="167">
        <v>0</v>
      </c>
      <c r="AM6" s="169">
        <v>46332</v>
      </c>
      <c r="AN6" s="169">
        <v>46338</v>
      </c>
      <c r="AO6" s="168" t="s">
        <v>40</v>
      </c>
      <c r="AP6" s="170">
        <v>0</v>
      </c>
      <c r="AQ6"/>
    </row>
    <row r="7" spans="1:43">
      <c r="A7" s="146" t="s">
        <v>423</v>
      </c>
      <c r="B7" s="147">
        <v>50020</v>
      </c>
      <c r="C7" s="147">
        <v>1</v>
      </c>
      <c r="D7" s="149">
        <v>46170</v>
      </c>
      <c r="E7" s="149">
        <v>46175</v>
      </c>
      <c r="F7" s="148" t="s">
        <v>34</v>
      </c>
      <c r="G7" s="148" t="s">
        <v>422</v>
      </c>
      <c r="H7" s="151">
        <v>1</v>
      </c>
      <c r="I7" s="169">
        <v>46176</v>
      </c>
      <c r="J7" s="169">
        <v>46182</v>
      </c>
      <c r="K7" s="168" t="s">
        <v>34</v>
      </c>
      <c r="L7" s="168" t="s">
        <v>422</v>
      </c>
      <c r="M7" s="179">
        <v>1</v>
      </c>
      <c r="N7" s="153">
        <v>46176</v>
      </c>
      <c r="O7" s="153">
        <v>46182</v>
      </c>
      <c r="P7" s="152" t="s">
        <v>34</v>
      </c>
      <c r="Q7" s="152" t="s">
        <v>422</v>
      </c>
      <c r="R7" s="155">
        <v>1</v>
      </c>
      <c r="S7" s="157">
        <v>46202</v>
      </c>
      <c r="T7" s="157">
        <v>46208</v>
      </c>
      <c r="U7" s="156" t="s">
        <v>40</v>
      </c>
      <c r="V7" s="156" t="s">
        <v>422</v>
      </c>
      <c r="W7" s="158">
        <v>0</v>
      </c>
      <c r="X7" s="160">
        <v>46215</v>
      </c>
      <c r="Y7" s="160">
        <v>46217</v>
      </c>
      <c r="Z7" s="159" t="s">
        <v>40</v>
      </c>
      <c r="AA7" s="159" t="s">
        <v>422</v>
      </c>
      <c r="AB7" s="161">
        <v>0</v>
      </c>
      <c r="AC7" s="163">
        <v>46218</v>
      </c>
      <c r="AD7" s="163">
        <v>46224</v>
      </c>
      <c r="AE7" s="162" t="s">
        <v>34</v>
      </c>
      <c r="AF7" s="162" t="s">
        <v>422</v>
      </c>
      <c r="AG7" s="164">
        <v>1</v>
      </c>
      <c r="AH7" s="165">
        <v>46231</v>
      </c>
      <c r="AI7" s="165">
        <v>46233</v>
      </c>
      <c r="AJ7" s="166" t="s">
        <v>165</v>
      </c>
      <c r="AK7" s="166" t="s">
        <v>422</v>
      </c>
      <c r="AL7" s="167">
        <v>0</v>
      </c>
      <c r="AM7" s="169">
        <v>46332</v>
      </c>
      <c r="AN7" s="169">
        <v>46338</v>
      </c>
      <c r="AO7" s="168" t="s">
        <v>40</v>
      </c>
      <c r="AP7" s="170">
        <v>0</v>
      </c>
      <c r="AQ7"/>
    </row>
    <row r="8" spans="1:43">
      <c r="A8" s="146" t="s">
        <v>423</v>
      </c>
      <c r="B8" s="147">
        <v>50030</v>
      </c>
      <c r="C8" s="147">
        <v>1</v>
      </c>
      <c r="D8" s="149">
        <v>46170</v>
      </c>
      <c r="E8" s="149">
        <v>46175</v>
      </c>
      <c r="F8" s="148" t="s">
        <v>34</v>
      </c>
      <c r="G8" s="148" t="s">
        <v>422</v>
      </c>
      <c r="H8" s="151">
        <v>1</v>
      </c>
      <c r="I8" s="169">
        <v>46176</v>
      </c>
      <c r="J8" s="169">
        <v>46182</v>
      </c>
      <c r="K8" s="168" t="s">
        <v>232</v>
      </c>
      <c r="L8" s="168" t="s">
        <v>424</v>
      </c>
      <c r="M8" s="179">
        <v>0.8</v>
      </c>
      <c r="N8" s="153">
        <v>46176</v>
      </c>
      <c r="O8" s="153">
        <v>46182</v>
      </c>
      <c r="P8" s="152" t="s">
        <v>232</v>
      </c>
      <c r="Q8" s="152" t="s">
        <v>424</v>
      </c>
      <c r="R8" s="155">
        <v>0.8</v>
      </c>
      <c r="S8" s="157">
        <v>46202</v>
      </c>
      <c r="T8" s="157">
        <v>46208</v>
      </c>
      <c r="U8" s="156" t="s">
        <v>222</v>
      </c>
      <c r="V8" s="156" t="s">
        <v>425</v>
      </c>
      <c r="W8" s="158">
        <v>0.8</v>
      </c>
      <c r="X8" s="160">
        <v>46215</v>
      </c>
      <c r="Y8" s="160">
        <v>46217</v>
      </c>
      <c r="Z8" s="159" t="s">
        <v>232</v>
      </c>
      <c r="AA8" s="159" t="s">
        <v>422</v>
      </c>
      <c r="AB8" s="161">
        <v>0.8</v>
      </c>
      <c r="AC8" s="163">
        <v>46218</v>
      </c>
      <c r="AD8" s="163">
        <v>46224</v>
      </c>
      <c r="AE8" s="162" t="s">
        <v>232</v>
      </c>
      <c r="AF8" s="162" t="s">
        <v>422</v>
      </c>
      <c r="AG8" s="164">
        <v>0.8</v>
      </c>
      <c r="AH8" s="165">
        <v>46231</v>
      </c>
      <c r="AI8" s="165">
        <v>46233</v>
      </c>
      <c r="AJ8" s="166" t="s">
        <v>165</v>
      </c>
      <c r="AK8" s="166" t="s">
        <v>422</v>
      </c>
      <c r="AL8" s="167">
        <v>0</v>
      </c>
      <c r="AM8" s="169">
        <v>46332</v>
      </c>
      <c r="AN8" s="169">
        <v>46338</v>
      </c>
      <c r="AO8" s="168" t="s">
        <v>40</v>
      </c>
      <c r="AP8" s="170">
        <v>0</v>
      </c>
      <c r="AQ8"/>
    </row>
    <row r="9" spans="1:43">
      <c r="A9" s="146" t="s">
        <v>423</v>
      </c>
      <c r="B9" s="147">
        <v>50035</v>
      </c>
      <c r="C9" s="147">
        <v>1</v>
      </c>
      <c r="D9" s="149">
        <v>46170</v>
      </c>
      <c r="E9" s="149">
        <v>46175</v>
      </c>
      <c r="F9" s="148" t="s">
        <v>34</v>
      </c>
      <c r="G9" s="148" t="s">
        <v>422</v>
      </c>
      <c r="H9" s="151">
        <v>1</v>
      </c>
      <c r="I9" s="169">
        <v>46176</v>
      </c>
      <c r="J9" s="169">
        <v>46182</v>
      </c>
      <c r="K9" s="168" t="s">
        <v>34</v>
      </c>
      <c r="L9" s="168" t="s">
        <v>422</v>
      </c>
      <c r="M9" s="179">
        <v>1</v>
      </c>
      <c r="N9" s="153">
        <v>46176</v>
      </c>
      <c r="O9" s="153">
        <v>46182</v>
      </c>
      <c r="P9" s="152" t="s">
        <v>34</v>
      </c>
      <c r="Q9" s="152" t="s">
        <v>422</v>
      </c>
      <c r="R9" s="155">
        <v>1</v>
      </c>
      <c r="S9" s="157">
        <v>46202</v>
      </c>
      <c r="T9" s="157">
        <v>46208</v>
      </c>
      <c r="U9" s="156" t="s">
        <v>40</v>
      </c>
      <c r="V9" s="156" t="s">
        <v>426</v>
      </c>
      <c r="W9" s="158">
        <v>0</v>
      </c>
      <c r="X9" s="160">
        <v>46215</v>
      </c>
      <c r="Y9" s="160">
        <v>46217</v>
      </c>
      <c r="Z9" s="159" t="s">
        <v>40</v>
      </c>
      <c r="AA9" s="159" t="s">
        <v>426</v>
      </c>
      <c r="AB9" s="161">
        <v>0</v>
      </c>
      <c r="AC9" s="163">
        <v>46218</v>
      </c>
      <c r="AD9" s="163">
        <v>46224</v>
      </c>
      <c r="AE9" s="162" t="s">
        <v>34</v>
      </c>
      <c r="AF9" s="162" t="s">
        <v>422</v>
      </c>
      <c r="AG9" s="164">
        <v>1</v>
      </c>
      <c r="AH9" s="165">
        <v>46231</v>
      </c>
      <c r="AI9" s="165">
        <v>46233</v>
      </c>
      <c r="AJ9" s="166" t="s">
        <v>165</v>
      </c>
      <c r="AK9" s="166" t="s">
        <v>422</v>
      </c>
      <c r="AL9" s="167">
        <v>0</v>
      </c>
      <c r="AM9" s="169">
        <v>46332</v>
      </c>
      <c r="AN9" s="169">
        <v>46338</v>
      </c>
      <c r="AO9" s="168" t="s">
        <v>40</v>
      </c>
      <c r="AP9" s="170">
        <v>0</v>
      </c>
      <c r="AQ9"/>
    </row>
    <row r="10" spans="1:43">
      <c r="A10" s="146" t="s">
        <v>423</v>
      </c>
      <c r="B10" s="147">
        <v>50036</v>
      </c>
      <c r="C10" s="147">
        <v>1</v>
      </c>
      <c r="D10" s="149">
        <v>46170</v>
      </c>
      <c r="E10" s="149">
        <v>46175</v>
      </c>
      <c r="F10" s="148" t="s">
        <v>34</v>
      </c>
      <c r="G10" s="148" t="s">
        <v>422</v>
      </c>
      <c r="H10" s="151">
        <v>1</v>
      </c>
      <c r="I10" s="169">
        <v>46176</v>
      </c>
      <c r="J10" s="169">
        <v>46182</v>
      </c>
      <c r="K10" s="168" t="s">
        <v>34</v>
      </c>
      <c r="L10" s="168" t="s">
        <v>422</v>
      </c>
      <c r="M10" s="179">
        <v>1</v>
      </c>
      <c r="N10" s="153">
        <v>46176</v>
      </c>
      <c r="O10" s="153">
        <v>46182</v>
      </c>
      <c r="P10" s="152" t="s">
        <v>34</v>
      </c>
      <c r="Q10" s="152" t="s">
        <v>422</v>
      </c>
      <c r="R10" s="155">
        <v>1</v>
      </c>
      <c r="S10" s="157">
        <v>46202</v>
      </c>
      <c r="T10" s="157">
        <v>46208</v>
      </c>
      <c r="U10" s="156" t="s">
        <v>40</v>
      </c>
      <c r="V10" s="156" t="s">
        <v>426</v>
      </c>
      <c r="W10" s="158">
        <v>0</v>
      </c>
      <c r="X10" s="160">
        <v>46215</v>
      </c>
      <c r="Y10" s="160">
        <v>46217</v>
      </c>
      <c r="Z10" s="159" t="s">
        <v>40</v>
      </c>
      <c r="AA10" s="159" t="s">
        <v>426</v>
      </c>
      <c r="AB10" s="161">
        <v>0</v>
      </c>
      <c r="AC10" s="163">
        <v>46218</v>
      </c>
      <c r="AD10" s="163">
        <v>46224</v>
      </c>
      <c r="AE10" s="162" t="s">
        <v>34</v>
      </c>
      <c r="AF10" s="162" t="s">
        <v>422</v>
      </c>
      <c r="AG10" s="164">
        <v>1</v>
      </c>
      <c r="AH10" s="165">
        <v>46231</v>
      </c>
      <c r="AI10" s="165">
        <v>46233</v>
      </c>
      <c r="AJ10" s="166" t="s">
        <v>165</v>
      </c>
      <c r="AK10" s="166" t="s">
        <v>422</v>
      </c>
      <c r="AL10" s="167">
        <v>0</v>
      </c>
      <c r="AM10" s="169">
        <v>46332</v>
      </c>
      <c r="AN10" s="169">
        <v>46338</v>
      </c>
      <c r="AO10" s="168" t="s">
        <v>40</v>
      </c>
      <c r="AP10" s="170">
        <v>0</v>
      </c>
      <c r="AQ10"/>
    </row>
    <row r="11" spans="1:43">
      <c r="A11" s="146" t="s">
        <v>423</v>
      </c>
      <c r="B11" s="147">
        <v>50040</v>
      </c>
      <c r="C11" s="147">
        <v>1</v>
      </c>
      <c r="D11" s="149">
        <v>46170</v>
      </c>
      <c r="E11" s="149">
        <v>46175</v>
      </c>
      <c r="F11" s="148" t="s">
        <v>34</v>
      </c>
      <c r="G11" s="148" t="s">
        <v>422</v>
      </c>
      <c r="H11" s="151">
        <v>1</v>
      </c>
      <c r="I11" s="169">
        <v>46176</v>
      </c>
      <c r="J11" s="169">
        <v>46182</v>
      </c>
      <c r="K11" s="168" t="s">
        <v>34</v>
      </c>
      <c r="L11" s="168" t="s">
        <v>422</v>
      </c>
      <c r="M11" s="179">
        <v>1</v>
      </c>
      <c r="N11" s="153">
        <v>46176</v>
      </c>
      <c r="O11" s="153">
        <v>46182</v>
      </c>
      <c r="P11" s="152" t="s">
        <v>34</v>
      </c>
      <c r="Q11" s="152" t="s">
        <v>422</v>
      </c>
      <c r="R11" s="155">
        <v>1</v>
      </c>
      <c r="S11" s="157">
        <v>46202</v>
      </c>
      <c r="T11" s="157">
        <v>46208</v>
      </c>
      <c r="U11" s="156" t="s">
        <v>34</v>
      </c>
      <c r="V11" s="156" t="s">
        <v>422</v>
      </c>
      <c r="W11" s="158">
        <v>1</v>
      </c>
      <c r="X11" s="160">
        <v>46215</v>
      </c>
      <c r="Y11" s="160">
        <v>46217</v>
      </c>
      <c r="Z11" s="159" t="s">
        <v>40</v>
      </c>
      <c r="AA11" s="159" t="s">
        <v>426</v>
      </c>
      <c r="AB11" s="161">
        <v>0</v>
      </c>
      <c r="AC11" s="163">
        <v>46218</v>
      </c>
      <c r="AD11" s="163">
        <v>46224</v>
      </c>
      <c r="AE11" s="162" t="s">
        <v>34</v>
      </c>
      <c r="AF11" s="162" t="s">
        <v>422</v>
      </c>
      <c r="AG11" s="164">
        <v>1</v>
      </c>
      <c r="AH11" s="165">
        <v>46231</v>
      </c>
      <c r="AI11" s="165">
        <v>46233</v>
      </c>
      <c r="AJ11" s="166" t="s">
        <v>165</v>
      </c>
      <c r="AK11" s="166" t="s">
        <v>422</v>
      </c>
      <c r="AL11" s="167">
        <v>0</v>
      </c>
      <c r="AM11" s="169">
        <v>46332</v>
      </c>
      <c r="AN11" s="169">
        <v>46338</v>
      </c>
      <c r="AO11" s="168" t="s">
        <v>40</v>
      </c>
      <c r="AP11" s="170">
        <v>0</v>
      </c>
      <c r="AQ11"/>
    </row>
    <row r="12" spans="1:43">
      <c r="A12" s="146" t="s">
        <v>423</v>
      </c>
      <c r="B12" s="147">
        <v>50045</v>
      </c>
      <c r="C12" s="147">
        <v>1</v>
      </c>
      <c r="D12" s="149">
        <v>46170</v>
      </c>
      <c r="E12" s="149">
        <v>46175</v>
      </c>
      <c r="F12" s="148" t="s">
        <v>34</v>
      </c>
      <c r="G12" s="148" t="s">
        <v>422</v>
      </c>
      <c r="H12" s="151">
        <v>1</v>
      </c>
      <c r="I12" s="169">
        <v>46176</v>
      </c>
      <c r="J12" s="169">
        <v>46182</v>
      </c>
      <c r="K12" s="168" t="s">
        <v>34</v>
      </c>
      <c r="L12" s="168" t="s">
        <v>422</v>
      </c>
      <c r="M12" s="179">
        <v>1</v>
      </c>
      <c r="N12" s="153">
        <v>46176</v>
      </c>
      <c r="O12" s="153">
        <v>46182</v>
      </c>
      <c r="P12" s="152" t="s">
        <v>34</v>
      </c>
      <c r="Q12" s="152" t="s">
        <v>422</v>
      </c>
      <c r="R12" s="155">
        <v>1</v>
      </c>
      <c r="S12" s="157">
        <v>46202</v>
      </c>
      <c r="T12" s="157">
        <v>46208</v>
      </c>
      <c r="U12" s="156" t="s">
        <v>34</v>
      </c>
      <c r="V12" s="156" t="s">
        <v>422</v>
      </c>
      <c r="W12" s="158">
        <v>0</v>
      </c>
      <c r="X12" s="160">
        <v>46215</v>
      </c>
      <c r="Y12" s="160">
        <v>46217</v>
      </c>
      <c r="Z12" s="159" t="s">
        <v>40</v>
      </c>
      <c r="AA12" s="159" t="s">
        <v>426</v>
      </c>
      <c r="AB12" s="161">
        <v>0</v>
      </c>
      <c r="AC12" s="163">
        <v>46218</v>
      </c>
      <c r="AD12" s="163">
        <v>46224</v>
      </c>
      <c r="AE12" s="162" t="s">
        <v>34</v>
      </c>
      <c r="AF12" s="162" t="s">
        <v>422</v>
      </c>
      <c r="AG12" s="164">
        <v>1</v>
      </c>
      <c r="AH12" s="165">
        <v>46231</v>
      </c>
      <c r="AI12" s="165">
        <v>46233</v>
      </c>
      <c r="AJ12" s="166" t="s">
        <v>165</v>
      </c>
      <c r="AK12" s="166" t="s">
        <v>422</v>
      </c>
      <c r="AL12" s="167">
        <v>0</v>
      </c>
      <c r="AM12" s="169">
        <v>46332</v>
      </c>
      <c r="AN12" s="169">
        <v>46338</v>
      </c>
      <c r="AO12" s="168" t="s">
        <v>40</v>
      </c>
      <c r="AP12" s="170">
        <v>0</v>
      </c>
      <c r="AQ12"/>
    </row>
    <row r="13" spans="1:43">
      <c r="A13" s="146" t="s">
        <v>423</v>
      </c>
      <c r="B13" s="147">
        <v>50050</v>
      </c>
      <c r="C13" s="147">
        <v>1</v>
      </c>
      <c r="D13" s="149">
        <v>46170</v>
      </c>
      <c r="E13" s="149">
        <v>46175</v>
      </c>
      <c r="F13" s="148" t="s">
        <v>34</v>
      </c>
      <c r="G13" s="148" t="s">
        <v>422</v>
      </c>
      <c r="H13" s="151">
        <v>1</v>
      </c>
      <c r="I13" s="169">
        <v>46176</v>
      </c>
      <c r="J13" s="169">
        <v>46182</v>
      </c>
      <c r="K13" s="168" t="s">
        <v>34</v>
      </c>
      <c r="L13" s="168" t="s">
        <v>422</v>
      </c>
      <c r="M13" s="179">
        <v>1</v>
      </c>
      <c r="N13" s="153">
        <v>46176</v>
      </c>
      <c r="O13" s="153">
        <v>46182</v>
      </c>
      <c r="P13" s="152" t="s">
        <v>34</v>
      </c>
      <c r="Q13" s="152" t="s">
        <v>422</v>
      </c>
      <c r="R13" s="155">
        <v>1</v>
      </c>
      <c r="S13" s="157">
        <v>46202</v>
      </c>
      <c r="T13" s="157">
        <v>46208</v>
      </c>
      <c r="U13" s="156" t="s">
        <v>34</v>
      </c>
      <c r="V13" s="156" t="s">
        <v>422</v>
      </c>
      <c r="W13" s="158">
        <v>1</v>
      </c>
      <c r="X13" s="160">
        <v>46215</v>
      </c>
      <c r="Y13" s="160">
        <v>46217</v>
      </c>
      <c r="Z13" s="159" t="s">
        <v>40</v>
      </c>
      <c r="AA13" s="159" t="s">
        <v>426</v>
      </c>
      <c r="AB13" s="161">
        <v>0</v>
      </c>
      <c r="AC13" s="163">
        <v>46218</v>
      </c>
      <c r="AD13" s="163">
        <v>46224</v>
      </c>
      <c r="AE13" s="162" t="s">
        <v>34</v>
      </c>
      <c r="AF13" s="162" t="s">
        <v>422</v>
      </c>
      <c r="AG13" s="164">
        <v>1</v>
      </c>
      <c r="AH13" s="165">
        <v>46231</v>
      </c>
      <c r="AI13" s="165">
        <v>46233</v>
      </c>
      <c r="AJ13" s="166" t="s">
        <v>165</v>
      </c>
      <c r="AK13" s="166" t="s">
        <v>422</v>
      </c>
      <c r="AL13" s="167">
        <v>0</v>
      </c>
      <c r="AM13" s="169">
        <v>46332</v>
      </c>
      <c r="AN13" s="169">
        <v>46338</v>
      </c>
      <c r="AO13" s="168" t="s">
        <v>40</v>
      </c>
      <c r="AP13" s="170">
        <v>0</v>
      </c>
      <c r="AQ13"/>
    </row>
    <row r="14" spans="1:43">
      <c r="A14" s="146" t="s">
        <v>423</v>
      </c>
      <c r="B14" s="147">
        <v>50055</v>
      </c>
      <c r="C14" s="147">
        <v>1</v>
      </c>
      <c r="D14" s="149">
        <v>46170</v>
      </c>
      <c r="E14" s="149">
        <v>46175</v>
      </c>
      <c r="F14" s="148" t="s">
        <v>34</v>
      </c>
      <c r="G14" s="148" t="s">
        <v>422</v>
      </c>
      <c r="H14" s="151">
        <v>1</v>
      </c>
      <c r="I14" s="169">
        <v>46176</v>
      </c>
      <c r="J14" s="169">
        <v>46182</v>
      </c>
      <c r="K14" s="168" t="s">
        <v>34</v>
      </c>
      <c r="L14" s="168" t="s">
        <v>422</v>
      </c>
      <c r="M14" s="179">
        <v>1</v>
      </c>
      <c r="N14" s="153">
        <v>46176</v>
      </c>
      <c r="O14" s="153">
        <v>46182</v>
      </c>
      <c r="P14" s="152" t="s">
        <v>34</v>
      </c>
      <c r="Q14" s="152" t="s">
        <v>422</v>
      </c>
      <c r="R14" s="155">
        <v>1</v>
      </c>
      <c r="S14" s="157">
        <v>46202</v>
      </c>
      <c r="T14" s="157">
        <v>46208</v>
      </c>
      <c r="U14" s="156" t="s">
        <v>34</v>
      </c>
      <c r="V14" s="156" t="s">
        <v>422</v>
      </c>
      <c r="W14" s="158">
        <v>1</v>
      </c>
      <c r="X14" s="160">
        <v>46215</v>
      </c>
      <c r="Y14" s="160">
        <v>46217</v>
      </c>
      <c r="Z14" s="159" t="s">
        <v>40</v>
      </c>
      <c r="AA14" s="159"/>
      <c r="AB14" s="161">
        <v>1</v>
      </c>
      <c r="AC14" s="163">
        <v>46218</v>
      </c>
      <c r="AD14" s="163">
        <v>46224</v>
      </c>
      <c r="AE14" s="162" t="s">
        <v>34</v>
      </c>
      <c r="AF14" s="162" t="s">
        <v>422</v>
      </c>
      <c r="AG14" s="164">
        <v>1</v>
      </c>
      <c r="AH14" s="165">
        <v>46231</v>
      </c>
      <c r="AI14" s="165">
        <v>46233</v>
      </c>
      <c r="AJ14" s="166" t="s">
        <v>165</v>
      </c>
      <c r="AK14" s="166" t="s">
        <v>422</v>
      </c>
      <c r="AL14" s="167">
        <v>0</v>
      </c>
      <c r="AM14" s="169">
        <v>46332</v>
      </c>
      <c r="AN14" s="169">
        <v>46338</v>
      </c>
      <c r="AO14" s="168" t="s">
        <v>40</v>
      </c>
      <c r="AP14" s="170">
        <v>0</v>
      </c>
      <c r="AQ14"/>
    </row>
    <row r="15" spans="1:43">
      <c r="A15" s="146" t="s">
        <v>423</v>
      </c>
      <c r="B15" s="147">
        <v>50105</v>
      </c>
      <c r="C15" s="147">
        <v>1</v>
      </c>
      <c r="D15" s="149">
        <v>46170</v>
      </c>
      <c r="E15" s="149">
        <v>46175</v>
      </c>
      <c r="F15" s="148" t="s">
        <v>34</v>
      </c>
      <c r="G15" s="148" t="s">
        <v>422</v>
      </c>
      <c r="H15" s="151">
        <v>1</v>
      </c>
      <c r="I15" s="169">
        <v>46176</v>
      </c>
      <c r="J15" s="169">
        <v>46182</v>
      </c>
      <c r="K15" s="168" t="s">
        <v>40</v>
      </c>
      <c r="L15" s="168" t="s">
        <v>422</v>
      </c>
      <c r="M15" s="179">
        <v>0</v>
      </c>
      <c r="N15" s="153">
        <v>46176</v>
      </c>
      <c r="O15" s="153">
        <v>46182</v>
      </c>
      <c r="P15" s="152" t="s">
        <v>40</v>
      </c>
      <c r="Q15" s="152" t="s">
        <v>422</v>
      </c>
      <c r="R15" s="155">
        <v>0</v>
      </c>
      <c r="S15" s="157">
        <v>46202</v>
      </c>
      <c r="T15" s="157">
        <v>46208</v>
      </c>
      <c r="U15" s="156" t="s">
        <v>40</v>
      </c>
      <c r="V15" s="156" t="s">
        <v>422</v>
      </c>
      <c r="W15" s="158">
        <v>0</v>
      </c>
      <c r="X15" s="160">
        <v>46215</v>
      </c>
      <c r="Y15" s="160">
        <v>46217</v>
      </c>
      <c r="Z15" s="159" t="s">
        <v>40</v>
      </c>
      <c r="AA15" s="159" t="s">
        <v>422</v>
      </c>
      <c r="AB15" s="161">
        <v>0</v>
      </c>
      <c r="AC15" s="163">
        <v>46218</v>
      </c>
      <c r="AD15" s="163">
        <v>46224</v>
      </c>
      <c r="AE15" s="162" t="s">
        <v>40</v>
      </c>
      <c r="AF15" s="162" t="s">
        <v>422</v>
      </c>
      <c r="AG15" s="164">
        <v>0</v>
      </c>
      <c r="AH15" s="165">
        <v>46231</v>
      </c>
      <c r="AI15" s="165">
        <v>46233</v>
      </c>
      <c r="AJ15" s="166" t="s">
        <v>165</v>
      </c>
      <c r="AK15" s="166" t="s">
        <v>422</v>
      </c>
      <c r="AL15" s="167">
        <v>0</v>
      </c>
      <c r="AM15" s="169">
        <v>46332</v>
      </c>
      <c r="AN15" s="169">
        <v>46338</v>
      </c>
      <c r="AO15" s="168" t="s">
        <v>40</v>
      </c>
      <c r="AP15" s="170">
        <v>0</v>
      </c>
      <c r="AQ15"/>
    </row>
    <row r="16" spans="1:43">
      <c r="A16" s="146" t="s">
        <v>423</v>
      </c>
      <c r="B16" s="147">
        <v>50110</v>
      </c>
      <c r="C16" s="147">
        <v>1</v>
      </c>
      <c r="D16" s="149">
        <v>46170</v>
      </c>
      <c r="E16" s="149">
        <v>46175</v>
      </c>
      <c r="F16" s="148" t="s">
        <v>34</v>
      </c>
      <c r="G16" s="148" t="s">
        <v>422</v>
      </c>
      <c r="H16" s="151">
        <v>1</v>
      </c>
      <c r="I16" s="169">
        <v>46176</v>
      </c>
      <c r="J16" s="169">
        <v>46182</v>
      </c>
      <c r="K16" s="168" t="s">
        <v>40</v>
      </c>
      <c r="L16" s="168" t="s">
        <v>422</v>
      </c>
      <c r="M16" s="179">
        <v>0</v>
      </c>
      <c r="N16" s="153">
        <v>46176</v>
      </c>
      <c r="O16" s="153">
        <v>46182</v>
      </c>
      <c r="P16" s="152" t="s">
        <v>40</v>
      </c>
      <c r="Q16" s="152" t="s">
        <v>422</v>
      </c>
      <c r="R16" s="155">
        <v>0</v>
      </c>
      <c r="S16" s="157">
        <v>46202</v>
      </c>
      <c r="T16" s="157">
        <v>46208</v>
      </c>
      <c r="U16" s="156" t="s">
        <v>40</v>
      </c>
      <c r="V16" s="156" t="s">
        <v>422</v>
      </c>
      <c r="W16" s="158">
        <v>0</v>
      </c>
      <c r="X16" s="160">
        <v>46215</v>
      </c>
      <c r="Y16" s="160">
        <v>46217</v>
      </c>
      <c r="Z16" s="159" t="s">
        <v>40</v>
      </c>
      <c r="AA16" s="159" t="s">
        <v>422</v>
      </c>
      <c r="AB16" s="161">
        <v>0</v>
      </c>
      <c r="AC16" s="163">
        <v>46218</v>
      </c>
      <c r="AD16" s="163">
        <v>46224</v>
      </c>
      <c r="AE16" s="162" t="s">
        <v>40</v>
      </c>
      <c r="AF16" s="162" t="s">
        <v>422</v>
      </c>
      <c r="AG16" s="164">
        <v>0</v>
      </c>
      <c r="AH16" s="165">
        <v>46231</v>
      </c>
      <c r="AI16" s="165">
        <v>46233</v>
      </c>
      <c r="AJ16" s="166" t="s">
        <v>165</v>
      </c>
      <c r="AK16" s="166" t="s">
        <v>422</v>
      </c>
      <c r="AL16" s="167">
        <v>0</v>
      </c>
      <c r="AM16" s="169">
        <v>46332</v>
      </c>
      <c r="AN16" s="169">
        <v>46338</v>
      </c>
      <c r="AO16" s="168" t="s">
        <v>40</v>
      </c>
      <c r="AP16" s="170">
        <v>0</v>
      </c>
      <c r="AQ16"/>
    </row>
    <row r="17" spans="1:43">
      <c r="A17" s="146" t="s">
        <v>423</v>
      </c>
      <c r="B17" s="147">
        <v>50112</v>
      </c>
      <c r="C17" s="147">
        <v>1</v>
      </c>
      <c r="D17" s="149">
        <v>46170</v>
      </c>
      <c r="E17" s="149">
        <v>46175</v>
      </c>
      <c r="F17" s="148" t="s">
        <v>34</v>
      </c>
      <c r="G17" s="148" t="s">
        <v>422</v>
      </c>
      <c r="H17" s="151">
        <v>1</v>
      </c>
      <c r="I17" s="169">
        <v>46176</v>
      </c>
      <c r="J17" s="169">
        <v>46182</v>
      </c>
      <c r="K17" s="168" t="s">
        <v>40</v>
      </c>
      <c r="L17" s="168" t="s">
        <v>422</v>
      </c>
      <c r="M17" s="179">
        <v>0</v>
      </c>
      <c r="N17" s="153">
        <v>46176</v>
      </c>
      <c r="O17" s="153">
        <v>46182</v>
      </c>
      <c r="P17" s="152" t="s">
        <v>40</v>
      </c>
      <c r="Q17" s="152" t="s">
        <v>422</v>
      </c>
      <c r="R17" s="155">
        <v>0</v>
      </c>
      <c r="S17" s="157">
        <v>46202</v>
      </c>
      <c r="T17" s="157">
        <v>46208</v>
      </c>
      <c r="U17" s="156" t="s">
        <v>40</v>
      </c>
      <c r="V17" s="156" t="s">
        <v>422</v>
      </c>
      <c r="W17" s="158">
        <v>0</v>
      </c>
      <c r="X17" s="160">
        <v>46215</v>
      </c>
      <c r="Y17" s="160">
        <v>46217</v>
      </c>
      <c r="Z17" s="159" t="s">
        <v>40</v>
      </c>
      <c r="AA17" s="159" t="s">
        <v>422</v>
      </c>
      <c r="AB17" s="161">
        <v>0</v>
      </c>
      <c r="AC17" s="163">
        <v>46218</v>
      </c>
      <c r="AD17" s="163">
        <v>46224</v>
      </c>
      <c r="AE17" s="162" t="s">
        <v>40</v>
      </c>
      <c r="AF17" s="162" t="s">
        <v>422</v>
      </c>
      <c r="AG17" s="164">
        <v>0</v>
      </c>
      <c r="AH17" s="165">
        <v>46231</v>
      </c>
      <c r="AI17" s="165">
        <v>46233</v>
      </c>
      <c r="AJ17" s="166" t="s">
        <v>165</v>
      </c>
      <c r="AK17" s="166" t="s">
        <v>422</v>
      </c>
      <c r="AL17" s="167">
        <v>0</v>
      </c>
      <c r="AM17" s="169">
        <v>46332</v>
      </c>
      <c r="AN17" s="169">
        <v>46338</v>
      </c>
      <c r="AO17" s="168" t="s">
        <v>40</v>
      </c>
      <c r="AP17" s="170">
        <v>0</v>
      </c>
      <c r="AQ17"/>
    </row>
    <row r="18" spans="1:43">
      <c r="A18" s="146" t="s">
        <v>423</v>
      </c>
      <c r="B18" s="147">
        <v>50115</v>
      </c>
      <c r="C18" s="147">
        <v>1</v>
      </c>
      <c r="D18" s="149">
        <v>46170</v>
      </c>
      <c r="E18" s="149">
        <v>46175</v>
      </c>
      <c r="F18" s="148" t="s">
        <v>34</v>
      </c>
      <c r="G18" s="148" t="s">
        <v>422</v>
      </c>
      <c r="H18" s="151">
        <v>0.9</v>
      </c>
      <c r="I18" s="169">
        <v>46176</v>
      </c>
      <c r="J18" s="169">
        <v>46182</v>
      </c>
      <c r="K18" s="168" t="s">
        <v>40</v>
      </c>
      <c r="L18" s="168" t="s">
        <v>422</v>
      </c>
      <c r="M18" s="179">
        <v>0</v>
      </c>
      <c r="N18" s="153">
        <v>46176</v>
      </c>
      <c r="O18" s="153">
        <v>46182</v>
      </c>
      <c r="P18" s="152" t="s">
        <v>40</v>
      </c>
      <c r="Q18" s="152" t="s">
        <v>422</v>
      </c>
      <c r="R18" s="155">
        <v>0</v>
      </c>
      <c r="S18" s="157">
        <v>46202</v>
      </c>
      <c r="T18" s="157">
        <v>46208</v>
      </c>
      <c r="U18" s="156" t="s">
        <v>40</v>
      </c>
      <c r="V18" s="156" t="s">
        <v>422</v>
      </c>
      <c r="W18" s="158">
        <v>0</v>
      </c>
      <c r="X18" s="160">
        <v>46215</v>
      </c>
      <c r="Y18" s="160">
        <v>46217</v>
      </c>
      <c r="Z18" s="159" t="s">
        <v>40</v>
      </c>
      <c r="AA18" s="159" t="s">
        <v>422</v>
      </c>
      <c r="AB18" s="161">
        <v>0</v>
      </c>
      <c r="AC18" s="163">
        <v>46218</v>
      </c>
      <c r="AD18" s="163">
        <v>46224</v>
      </c>
      <c r="AE18" s="162" t="s">
        <v>40</v>
      </c>
      <c r="AF18" s="162" t="s">
        <v>422</v>
      </c>
      <c r="AG18" s="164">
        <v>0</v>
      </c>
      <c r="AH18" s="165">
        <v>46231</v>
      </c>
      <c r="AI18" s="165">
        <v>46233</v>
      </c>
      <c r="AJ18" s="166" t="s">
        <v>165</v>
      </c>
      <c r="AK18" s="166" t="s">
        <v>422</v>
      </c>
      <c r="AL18" s="167">
        <v>0</v>
      </c>
      <c r="AM18" s="169">
        <v>46332</v>
      </c>
      <c r="AN18" s="169">
        <v>46338</v>
      </c>
      <c r="AO18" s="168" t="s">
        <v>40</v>
      </c>
      <c r="AP18" s="170">
        <v>0</v>
      </c>
      <c r="AQ18"/>
    </row>
    <row r="19" spans="1:43">
      <c r="A19" s="146" t="s">
        <v>423</v>
      </c>
      <c r="B19" s="147">
        <v>50120</v>
      </c>
      <c r="C19" s="147">
        <v>1</v>
      </c>
      <c r="D19" s="149">
        <v>46170</v>
      </c>
      <c r="E19" s="149">
        <v>46175</v>
      </c>
      <c r="F19" s="148" t="s">
        <v>34</v>
      </c>
      <c r="G19" s="148" t="s">
        <v>422</v>
      </c>
      <c r="H19" s="151">
        <v>1</v>
      </c>
      <c r="I19" s="169">
        <v>46176</v>
      </c>
      <c r="J19" s="169">
        <v>46182</v>
      </c>
      <c r="K19" s="168" t="s">
        <v>40</v>
      </c>
      <c r="L19" s="168" t="s">
        <v>422</v>
      </c>
      <c r="M19" s="179">
        <v>0</v>
      </c>
      <c r="N19" s="153">
        <v>46176</v>
      </c>
      <c r="O19" s="153">
        <v>46182</v>
      </c>
      <c r="P19" s="152" t="s">
        <v>40</v>
      </c>
      <c r="Q19" s="152" t="s">
        <v>422</v>
      </c>
      <c r="R19" s="155">
        <v>0</v>
      </c>
      <c r="S19" s="157">
        <v>46202</v>
      </c>
      <c r="T19" s="157">
        <v>46208</v>
      </c>
      <c r="U19" s="156" t="s">
        <v>40</v>
      </c>
      <c r="V19" s="156" t="s">
        <v>422</v>
      </c>
      <c r="W19" s="158">
        <v>0</v>
      </c>
      <c r="X19" s="160">
        <v>46215</v>
      </c>
      <c r="Y19" s="160">
        <v>46217</v>
      </c>
      <c r="Z19" s="159" t="s">
        <v>40</v>
      </c>
      <c r="AA19" s="159" t="s">
        <v>422</v>
      </c>
      <c r="AB19" s="161">
        <v>0</v>
      </c>
      <c r="AC19" s="163">
        <v>46218</v>
      </c>
      <c r="AD19" s="163">
        <v>46224</v>
      </c>
      <c r="AE19" s="162" t="s">
        <v>40</v>
      </c>
      <c r="AF19" s="162" t="s">
        <v>422</v>
      </c>
      <c r="AG19" s="164">
        <v>0</v>
      </c>
      <c r="AH19" s="165">
        <v>46231</v>
      </c>
      <c r="AI19" s="165">
        <v>46233</v>
      </c>
      <c r="AJ19" s="166" t="s">
        <v>165</v>
      </c>
      <c r="AK19" s="166" t="s">
        <v>422</v>
      </c>
      <c r="AL19" s="167">
        <v>0</v>
      </c>
      <c r="AM19" s="169">
        <v>46332</v>
      </c>
      <c r="AN19" s="169">
        <v>46338</v>
      </c>
      <c r="AO19" s="168" t="s">
        <v>40</v>
      </c>
      <c r="AP19" s="170">
        <v>0</v>
      </c>
      <c r="AQ19"/>
    </row>
    <row r="20" spans="1:43">
      <c r="A20" s="146" t="s">
        <v>423</v>
      </c>
      <c r="B20" s="147">
        <v>50130</v>
      </c>
      <c r="C20" s="147">
        <v>1</v>
      </c>
      <c r="D20" s="149">
        <v>46170</v>
      </c>
      <c r="E20" s="149">
        <v>46175</v>
      </c>
      <c r="F20" s="148" t="s">
        <v>34</v>
      </c>
      <c r="G20" s="148" t="s">
        <v>422</v>
      </c>
      <c r="H20" s="151">
        <v>1</v>
      </c>
      <c r="I20" s="169">
        <v>46176</v>
      </c>
      <c r="J20" s="169">
        <v>46182</v>
      </c>
      <c r="K20" s="168" t="s">
        <v>232</v>
      </c>
      <c r="L20" s="168" t="s">
        <v>424</v>
      </c>
      <c r="M20" s="179">
        <v>0.8</v>
      </c>
      <c r="N20" s="153">
        <v>46176</v>
      </c>
      <c r="O20" s="153">
        <v>46182</v>
      </c>
      <c r="P20" s="152" t="s">
        <v>232</v>
      </c>
      <c r="Q20" s="152" t="s">
        <v>424</v>
      </c>
      <c r="R20" s="155">
        <v>0.8</v>
      </c>
      <c r="S20" s="157">
        <v>46202</v>
      </c>
      <c r="T20" s="157">
        <v>46208</v>
      </c>
      <c r="U20" s="156" t="s">
        <v>222</v>
      </c>
      <c r="V20" s="156" t="s">
        <v>422</v>
      </c>
      <c r="W20" s="158">
        <v>0.5</v>
      </c>
      <c r="X20" s="160">
        <v>46215</v>
      </c>
      <c r="Y20" s="160">
        <v>46217</v>
      </c>
      <c r="Z20" s="159" t="s">
        <v>232</v>
      </c>
      <c r="AA20" s="159" t="s">
        <v>422</v>
      </c>
      <c r="AB20" s="161">
        <v>0.8</v>
      </c>
      <c r="AC20" s="163">
        <v>46218</v>
      </c>
      <c r="AD20" s="163">
        <v>46224</v>
      </c>
      <c r="AE20" s="162" t="s">
        <v>232</v>
      </c>
      <c r="AF20" s="162" t="s">
        <v>422</v>
      </c>
      <c r="AG20" s="164">
        <v>0.8</v>
      </c>
      <c r="AH20" s="165">
        <v>46231</v>
      </c>
      <c r="AI20" s="165">
        <v>46233</v>
      </c>
      <c r="AJ20" s="166" t="s">
        <v>165</v>
      </c>
      <c r="AK20" s="166" t="s">
        <v>422</v>
      </c>
      <c r="AL20" s="167">
        <v>0</v>
      </c>
      <c r="AM20" s="169">
        <v>46332</v>
      </c>
      <c r="AN20" s="169">
        <v>46338</v>
      </c>
      <c r="AO20" s="168" t="s">
        <v>40</v>
      </c>
      <c r="AP20" s="170">
        <v>0</v>
      </c>
      <c r="AQ20"/>
    </row>
    <row r="21" spans="1:43">
      <c r="A21" s="146" t="s">
        <v>423</v>
      </c>
      <c r="B21" s="147">
        <v>50140</v>
      </c>
      <c r="C21" s="147">
        <v>1</v>
      </c>
      <c r="D21" s="149">
        <v>46170</v>
      </c>
      <c r="E21" s="149">
        <v>46175</v>
      </c>
      <c r="F21" s="148" t="s">
        <v>34</v>
      </c>
      <c r="G21" s="148" t="s">
        <v>422</v>
      </c>
      <c r="H21" s="151">
        <v>1</v>
      </c>
      <c r="I21" s="169">
        <v>46176</v>
      </c>
      <c r="J21" s="169">
        <v>46182</v>
      </c>
      <c r="K21" s="168" t="s">
        <v>34</v>
      </c>
      <c r="L21" s="168" t="s">
        <v>422</v>
      </c>
      <c r="M21" s="179">
        <v>1</v>
      </c>
      <c r="N21" s="153">
        <v>46176</v>
      </c>
      <c r="O21" s="153">
        <v>46182</v>
      </c>
      <c r="P21" s="152" t="s">
        <v>34</v>
      </c>
      <c r="Q21" s="152" t="s">
        <v>422</v>
      </c>
      <c r="R21" s="155">
        <v>1</v>
      </c>
      <c r="S21" s="157">
        <v>46202</v>
      </c>
      <c r="T21" s="157">
        <v>46208</v>
      </c>
      <c r="U21" s="156" t="s">
        <v>34</v>
      </c>
      <c r="V21" s="156" t="s">
        <v>427</v>
      </c>
      <c r="W21" s="158">
        <v>0.6</v>
      </c>
      <c r="X21" s="160">
        <v>46215</v>
      </c>
      <c r="Y21" s="160">
        <v>46217</v>
      </c>
      <c r="Z21" s="159" t="s">
        <v>40</v>
      </c>
      <c r="AA21" s="159" t="s">
        <v>426</v>
      </c>
      <c r="AB21" s="161">
        <v>0</v>
      </c>
      <c r="AC21" s="163">
        <v>46218</v>
      </c>
      <c r="AD21" s="163">
        <v>46224</v>
      </c>
      <c r="AE21" s="162" t="s">
        <v>34</v>
      </c>
      <c r="AF21" s="162" t="s">
        <v>422</v>
      </c>
      <c r="AG21" s="164">
        <v>1</v>
      </c>
      <c r="AH21" s="165">
        <v>46231</v>
      </c>
      <c r="AI21" s="165">
        <v>46233</v>
      </c>
      <c r="AJ21" s="166" t="s">
        <v>165</v>
      </c>
      <c r="AK21" s="166" t="s">
        <v>422</v>
      </c>
      <c r="AL21" s="167">
        <v>0</v>
      </c>
      <c r="AM21" s="169">
        <v>46332</v>
      </c>
      <c r="AN21" s="169">
        <v>46338</v>
      </c>
      <c r="AO21" s="168" t="s">
        <v>40</v>
      </c>
      <c r="AP21" s="170">
        <v>0</v>
      </c>
      <c r="AQ21"/>
    </row>
    <row r="22" spans="1:43" ht="15">
      <c r="A22" s="146" t="s">
        <v>423</v>
      </c>
      <c r="B22" s="147">
        <v>50145</v>
      </c>
      <c r="C22" s="147">
        <v>1</v>
      </c>
      <c r="D22" s="149">
        <v>46170</v>
      </c>
      <c r="E22" s="149">
        <v>46175</v>
      </c>
      <c r="F22" s="148" t="s">
        <v>34</v>
      </c>
      <c r="G22" s="382"/>
      <c r="H22" s="151">
        <v>1</v>
      </c>
      <c r="I22" s="169">
        <v>46176</v>
      </c>
      <c r="J22" s="169">
        <v>46182</v>
      </c>
      <c r="K22" s="168" t="s">
        <v>34</v>
      </c>
      <c r="L22" s="168" t="s">
        <v>422</v>
      </c>
      <c r="M22" s="179">
        <v>1</v>
      </c>
      <c r="N22" s="153">
        <v>46176</v>
      </c>
      <c r="O22" s="153">
        <v>46182</v>
      </c>
      <c r="P22" s="152" t="s">
        <v>34</v>
      </c>
      <c r="Q22" s="152" t="s">
        <v>422</v>
      </c>
      <c r="R22" s="155">
        <v>1</v>
      </c>
      <c r="S22" s="157">
        <v>46202</v>
      </c>
      <c r="T22" s="157">
        <v>46208</v>
      </c>
      <c r="U22" s="156" t="s">
        <v>40</v>
      </c>
      <c r="V22" s="156" t="s">
        <v>426</v>
      </c>
      <c r="W22" s="158">
        <v>0</v>
      </c>
      <c r="X22" s="160">
        <v>46215</v>
      </c>
      <c r="Y22" s="160">
        <v>46217</v>
      </c>
      <c r="Z22" s="159" t="s">
        <v>40</v>
      </c>
      <c r="AA22" s="159" t="s">
        <v>426</v>
      </c>
      <c r="AB22" s="161">
        <v>0</v>
      </c>
      <c r="AC22" s="163">
        <v>46218</v>
      </c>
      <c r="AD22" s="163">
        <v>46224</v>
      </c>
      <c r="AE22" s="162" t="s">
        <v>34</v>
      </c>
      <c r="AF22" s="162" t="s">
        <v>422</v>
      </c>
      <c r="AG22" s="164">
        <v>1</v>
      </c>
      <c r="AH22" s="165">
        <v>46231</v>
      </c>
      <c r="AI22" s="165">
        <v>46233</v>
      </c>
      <c r="AJ22" s="166" t="s">
        <v>165</v>
      </c>
      <c r="AK22" s="166" t="s">
        <v>422</v>
      </c>
      <c r="AL22" s="167">
        <v>0</v>
      </c>
      <c r="AM22" s="169">
        <v>46332</v>
      </c>
      <c r="AN22" s="169">
        <v>46338</v>
      </c>
      <c r="AO22" s="168" t="s">
        <v>40</v>
      </c>
      <c r="AP22" s="170">
        <v>0</v>
      </c>
      <c r="AQ22"/>
    </row>
    <row r="23" spans="1:43">
      <c r="A23" s="146" t="s">
        <v>423</v>
      </c>
      <c r="B23" s="147">
        <v>50150</v>
      </c>
      <c r="C23" s="147">
        <v>1</v>
      </c>
      <c r="D23" s="149">
        <v>46170</v>
      </c>
      <c r="E23" s="149">
        <v>46175</v>
      </c>
      <c r="F23" s="148" t="s">
        <v>34</v>
      </c>
      <c r="G23" s="148" t="s">
        <v>422</v>
      </c>
      <c r="H23" s="151">
        <v>1</v>
      </c>
      <c r="I23" s="169">
        <v>46176</v>
      </c>
      <c r="J23" s="169">
        <v>46182</v>
      </c>
      <c r="K23" s="168" t="s">
        <v>34</v>
      </c>
      <c r="L23" s="168" t="s">
        <v>422</v>
      </c>
      <c r="M23" s="179">
        <v>1</v>
      </c>
      <c r="N23" s="153">
        <v>46176</v>
      </c>
      <c r="O23" s="153">
        <v>46182</v>
      </c>
      <c r="P23" s="152" t="s">
        <v>34</v>
      </c>
      <c r="Q23" s="152" t="s">
        <v>422</v>
      </c>
      <c r="R23" s="155">
        <v>1</v>
      </c>
      <c r="S23" s="157">
        <v>46202</v>
      </c>
      <c r="T23" s="157">
        <v>46208</v>
      </c>
      <c r="U23" s="156" t="s">
        <v>34</v>
      </c>
      <c r="V23" s="156" t="s">
        <v>422</v>
      </c>
      <c r="W23" s="158">
        <v>1</v>
      </c>
      <c r="X23" s="160">
        <v>46215</v>
      </c>
      <c r="Y23" s="160">
        <v>46217</v>
      </c>
      <c r="Z23" s="159" t="s">
        <v>40</v>
      </c>
      <c r="AA23" s="159" t="s">
        <v>426</v>
      </c>
      <c r="AB23" s="161">
        <v>0</v>
      </c>
      <c r="AC23" s="163">
        <v>46218</v>
      </c>
      <c r="AD23" s="163">
        <v>46224</v>
      </c>
      <c r="AE23" s="162" t="s">
        <v>34</v>
      </c>
      <c r="AF23" s="162" t="s">
        <v>422</v>
      </c>
      <c r="AG23" s="164">
        <v>1</v>
      </c>
      <c r="AH23" s="165">
        <v>46231</v>
      </c>
      <c r="AI23" s="165">
        <v>46233</v>
      </c>
      <c r="AJ23" s="166" t="s">
        <v>165</v>
      </c>
      <c r="AK23" s="166" t="s">
        <v>422</v>
      </c>
      <c r="AL23" s="167">
        <v>0</v>
      </c>
      <c r="AM23" s="169">
        <v>46332</v>
      </c>
      <c r="AN23" s="169">
        <v>46338</v>
      </c>
      <c r="AO23" s="168" t="s">
        <v>40</v>
      </c>
      <c r="AP23" s="170">
        <v>0</v>
      </c>
      <c r="AQ23"/>
    </row>
    <row r="24" spans="1:43">
      <c r="A24" s="146" t="s">
        <v>423</v>
      </c>
      <c r="B24" s="147">
        <v>50155</v>
      </c>
      <c r="C24" s="147">
        <v>1</v>
      </c>
      <c r="D24" s="149">
        <v>46170</v>
      </c>
      <c r="E24" s="149">
        <v>46175</v>
      </c>
      <c r="F24" s="148" t="s">
        <v>34</v>
      </c>
      <c r="G24" s="148" t="s">
        <v>422</v>
      </c>
      <c r="H24" s="151">
        <v>1</v>
      </c>
      <c r="I24" s="169">
        <v>46176</v>
      </c>
      <c r="J24" s="169">
        <v>46182</v>
      </c>
      <c r="K24" s="168" t="s">
        <v>34</v>
      </c>
      <c r="L24" s="168" t="s">
        <v>422</v>
      </c>
      <c r="M24" s="179">
        <v>0.95</v>
      </c>
      <c r="N24" s="153">
        <v>46176</v>
      </c>
      <c r="O24" s="153">
        <v>46182</v>
      </c>
      <c r="P24" s="152" t="s">
        <v>34</v>
      </c>
      <c r="Q24" s="152" t="s">
        <v>422</v>
      </c>
      <c r="R24" s="155">
        <v>0.9</v>
      </c>
      <c r="S24" s="157">
        <v>46202</v>
      </c>
      <c r="T24" s="157">
        <v>46208</v>
      </c>
      <c r="U24" s="156" t="s">
        <v>34</v>
      </c>
      <c r="V24" s="156" t="s">
        <v>422</v>
      </c>
      <c r="W24" s="158">
        <v>1</v>
      </c>
      <c r="X24" s="160">
        <v>46215</v>
      </c>
      <c r="Y24" s="160">
        <v>46217</v>
      </c>
      <c r="Z24" s="159" t="s">
        <v>40</v>
      </c>
      <c r="AA24" s="159"/>
      <c r="AB24" s="161">
        <v>1</v>
      </c>
      <c r="AC24" s="163">
        <v>46218</v>
      </c>
      <c r="AD24" s="163">
        <v>46224</v>
      </c>
      <c r="AE24" s="162" t="s">
        <v>34</v>
      </c>
      <c r="AF24" s="162" t="s">
        <v>422</v>
      </c>
      <c r="AG24" s="164">
        <v>1</v>
      </c>
      <c r="AH24" s="165">
        <v>46231</v>
      </c>
      <c r="AI24" s="165">
        <v>46233</v>
      </c>
      <c r="AJ24" s="166" t="s">
        <v>165</v>
      </c>
      <c r="AK24" s="166" t="s">
        <v>422</v>
      </c>
      <c r="AL24" s="167">
        <v>0</v>
      </c>
      <c r="AM24" s="169">
        <v>46332</v>
      </c>
      <c r="AN24" s="169">
        <v>46338</v>
      </c>
      <c r="AO24" s="168" t="s">
        <v>40</v>
      </c>
      <c r="AP24" s="170">
        <v>0</v>
      </c>
      <c r="AQ24"/>
    </row>
    <row r="25" spans="1:43">
      <c r="A25" s="146" t="s">
        <v>423</v>
      </c>
      <c r="B25" s="147">
        <v>50205</v>
      </c>
      <c r="C25" s="147">
        <v>1</v>
      </c>
      <c r="D25" s="149">
        <v>46170</v>
      </c>
      <c r="E25" s="149">
        <v>46175</v>
      </c>
      <c r="F25" s="148" t="s">
        <v>34</v>
      </c>
      <c r="G25" s="148" t="s">
        <v>422</v>
      </c>
      <c r="H25" s="151">
        <v>1</v>
      </c>
      <c r="I25" s="169">
        <v>46176</v>
      </c>
      <c r="J25" s="169">
        <v>46182</v>
      </c>
      <c r="K25" s="168" t="s">
        <v>232</v>
      </c>
      <c r="L25" s="168" t="s">
        <v>424</v>
      </c>
      <c r="M25" s="179">
        <v>0.8</v>
      </c>
      <c r="N25" s="153">
        <v>46176</v>
      </c>
      <c r="O25" s="153">
        <v>46182</v>
      </c>
      <c r="P25" s="152" t="s">
        <v>232</v>
      </c>
      <c r="Q25" s="152" t="s">
        <v>424</v>
      </c>
      <c r="R25" s="155">
        <v>0.8</v>
      </c>
      <c r="S25" s="157">
        <v>46202</v>
      </c>
      <c r="T25" s="157">
        <v>46208</v>
      </c>
      <c r="U25" s="156" t="s">
        <v>40</v>
      </c>
      <c r="V25" s="156" t="s">
        <v>426</v>
      </c>
      <c r="W25" s="158">
        <v>0</v>
      </c>
      <c r="X25" s="160">
        <v>46215</v>
      </c>
      <c r="Y25" s="160">
        <v>46217</v>
      </c>
      <c r="Z25" s="159" t="s">
        <v>232</v>
      </c>
      <c r="AA25" s="159" t="s">
        <v>422</v>
      </c>
      <c r="AB25" s="161">
        <v>0.8</v>
      </c>
      <c r="AC25" s="163">
        <v>46218</v>
      </c>
      <c r="AD25" s="163">
        <v>46224</v>
      </c>
      <c r="AE25" s="162" t="s">
        <v>232</v>
      </c>
      <c r="AF25" s="162" t="s">
        <v>422</v>
      </c>
      <c r="AG25" s="164">
        <v>0.8</v>
      </c>
      <c r="AH25" s="165">
        <v>46231</v>
      </c>
      <c r="AI25" s="165">
        <v>46233</v>
      </c>
      <c r="AJ25" s="166" t="s">
        <v>165</v>
      </c>
      <c r="AK25" s="166" t="s">
        <v>422</v>
      </c>
      <c r="AL25" s="167">
        <v>0</v>
      </c>
      <c r="AM25" s="169">
        <v>46332</v>
      </c>
      <c r="AN25" s="169">
        <v>46338</v>
      </c>
      <c r="AO25" s="168" t="s">
        <v>40</v>
      </c>
      <c r="AP25" s="170">
        <v>0</v>
      </c>
      <c r="AQ25"/>
    </row>
    <row r="26" spans="1:43">
      <c r="A26" s="146" t="s">
        <v>423</v>
      </c>
      <c r="B26" s="147">
        <v>50210</v>
      </c>
      <c r="C26" s="147">
        <v>1</v>
      </c>
      <c r="D26" s="149">
        <v>46170</v>
      </c>
      <c r="E26" s="149">
        <v>46175</v>
      </c>
      <c r="F26" s="148" t="s">
        <v>34</v>
      </c>
      <c r="G26" s="148" t="s">
        <v>422</v>
      </c>
      <c r="H26" s="151">
        <v>1</v>
      </c>
      <c r="I26" s="169">
        <v>46176</v>
      </c>
      <c r="J26" s="169">
        <v>46182</v>
      </c>
      <c r="K26" s="168" t="s">
        <v>40</v>
      </c>
      <c r="L26" s="168" t="s">
        <v>422</v>
      </c>
      <c r="M26" s="179">
        <v>0.5</v>
      </c>
      <c r="N26" s="153">
        <v>46176</v>
      </c>
      <c r="O26" s="153">
        <v>46182</v>
      </c>
      <c r="P26" s="152" t="s">
        <v>40</v>
      </c>
      <c r="Q26" s="152" t="s">
        <v>422</v>
      </c>
      <c r="R26" s="155">
        <v>0</v>
      </c>
      <c r="S26" s="157">
        <v>46202</v>
      </c>
      <c r="T26" s="157">
        <v>46208</v>
      </c>
      <c r="U26" s="156" t="s">
        <v>34</v>
      </c>
      <c r="V26" s="156" t="s">
        <v>422</v>
      </c>
      <c r="W26" s="158">
        <v>0.5</v>
      </c>
      <c r="X26" s="160">
        <v>46215</v>
      </c>
      <c r="Y26" s="160">
        <v>46217</v>
      </c>
      <c r="Z26" s="159" t="s">
        <v>34</v>
      </c>
      <c r="AA26" s="159" t="s">
        <v>422</v>
      </c>
      <c r="AB26" s="161">
        <v>1</v>
      </c>
      <c r="AC26" s="163">
        <v>46218</v>
      </c>
      <c r="AD26" s="163">
        <v>46224</v>
      </c>
      <c r="AE26" s="162" t="s">
        <v>34</v>
      </c>
      <c r="AF26" s="162" t="s">
        <v>422</v>
      </c>
      <c r="AG26" s="164">
        <v>0.5</v>
      </c>
      <c r="AH26" s="165">
        <v>46231</v>
      </c>
      <c r="AI26" s="165">
        <v>46233</v>
      </c>
      <c r="AJ26" s="166" t="s">
        <v>165</v>
      </c>
      <c r="AK26" s="166" t="s">
        <v>422</v>
      </c>
      <c r="AL26" s="167">
        <v>0</v>
      </c>
      <c r="AM26" s="169">
        <v>46332</v>
      </c>
      <c r="AN26" s="169">
        <v>46338</v>
      </c>
      <c r="AO26" s="168" t="s">
        <v>40</v>
      </c>
      <c r="AP26" s="170">
        <v>0</v>
      </c>
      <c r="AQ26"/>
    </row>
    <row r="27" spans="1:43">
      <c r="A27" s="146" t="s">
        <v>423</v>
      </c>
      <c r="B27" s="147">
        <v>50215</v>
      </c>
      <c r="C27" s="147">
        <v>1</v>
      </c>
      <c r="D27" s="149">
        <v>46170</v>
      </c>
      <c r="E27" s="149">
        <v>46175</v>
      </c>
      <c r="F27" s="148" t="s">
        <v>34</v>
      </c>
      <c r="G27" s="148" t="s">
        <v>422</v>
      </c>
      <c r="H27" s="151">
        <v>1</v>
      </c>
      <c r="I27" s="169">
        <v>46176</v>
      </c>
      <c r="J27" s="169">
        <v>46182</v>
      </c>
      <c r="K27" s="168" t="s">
        <v>34</v>
      </c>
      <c r="L27" s="168" t="s">
        <v>422</v>
      </c>
      <c r="M27" s="179">
        <v>1</v>
      </c>
      <c r="N27" s="153">
        <v>46176</v>
      </c>
      <c r="O27" s="153">
        <v>46182</v>
      </c>
      <c r="P27" s="152" t="s">
        <v>34</v>
      </c>
      <c r="Q27" s="152" t="s">
        <v>422</v>
      </c>
      <c r="R27" s="155">
        <v>1</v>
      </c>
      <c r="S27" s="157">
        <v>46202</v>
      </c>
      <c r="T27" s="157">
        <v>46208</v>
      </c>
      <c r="U27" s="156" t="s">
        <v>34</v>
      </c>
      <c r="V27" s="156" t="s">
        <v>422</v>
      </c>
      <c r="W27" s="158">
        <v>1</v>
      </c>
      <c r="X27" s="160">
        <v>46215</v>
      </c>
      <c r="Y27" s="160">
        <v>46217</v>
      </c>
      <c r="Z27" s="159" t="s">
        <v>40</v>
      </c>
      <c r="AA27" s="159"/>
      <c r="AB27" s="161">
        <v>1</v>
      </c>
      <c r="AC27" s="163">
        <v>46218</v>
      </c>
      <c r="AD27" s="163">
        <v>46224</v>
      </c>
      <c r="AE27" s="162" t="s">
        <v>34</v>
      </c>
      <c r="AF27" s="162" t="s">
        <v>422</v>
      </c>
      <c r="AG27" s="164">
        <v>0.95</v>
      </c>
      <c r="AH27" s="165">
        <v>46231</v>
      </c>
      <c r="AI27" s="165">
        <v>46233</v>
      </c>
      <c r="AJ27" s="166" t="s">
        <v>165</v>
      </c>
      <c r="AK27" s="166" t="s">
        <v>422</v>
      </c>
      <c r="AL27" s="167">
        <v>0</v>
      </c>
      <c r="AM27" s="169">
        <v>46332</v>
      </c>
      <c r="AN27" s="169">
        <v>46338</v>
      </c>
      <c r="AO27" s="168" t="s">
        <v>40</v>
      </c>
      <c r="AP27" s="170">
        <v>0</v>
      </c>
      <c r="AQ27"/>
    </row>
    <row r="28" spans="1:43">
      <c r="A28" s="146" t="s">
        <v>423</v>
      </c>
      <c r="B28" s="147">
        <v>50220</v>
      </c>
      <c r="C28" s="147">
        <v>1</v>
      </c>
      <c r="D28" s="149">
        <v>46170</v>
      </c>
      <c r="E28" s="149">
        <v>46175</v>
      </c>
      <c r="F28" s="148" t="s">
        <v>34</v>
      </c>
      <c r="G28" s="148" t="s">
        <v>422</v>
      </c>
      <c r="H28" s="151">
        <v>1</v>
      </c>
      <c r="I28" s="169">
        <v>46176</v>
      </c>
      <c r="J28" s="169">
        <v>46182</v>
      </c>
      <c r="K28" s="168" t="s">
        <v>34</v>
      </c>
      <c r="L28" s="168" t="s">
        <v>422</v>
      </c>
      <c r="M28" s="179">
        <v>1</v>
      </c>
      <c r="N28" s="153">
        <v>46176</v>
      </c>
      <c r="O28" s="153">
        <v>46182</v>
      </c>
      <c r="P28" s="152" t="s">
        <v>34</v>
      </c>
      <c r="Q28" s="152" t="s">
        <v>422</v>
      </c>
      <c r="R28" s="155">
        <v>1</v>
      </c>
      <c r="S28" s="157">
        <v>46202</v>
      </c>
      <c r="T28" s="157">
        <v>46208</v>
      </c>
      <c r="U28" s="156" t="s">
        <v>34</v>
      </c>
      <c r="V28" s="156" t="s">
        <v>422</v>
      </c>
      <c r="W28" s="158">
        <v>1</v>
      </c>
      <c r="X28" s="160">
        <v>46215</v>
      </c>
      <c r="Y28" s="160">
        <v>46217</v>
      </c>
      <c r="Z28" s="159" t="s">
        <v>34</v>
      </c>
      <c r="AA28" s="159" t="s">
        <v>422</v>
      </c>
      <c r="AB28" s="161">
        <v>1</v>
      </c>
      <c r="AC28" s="163">
        <v>46218</v>
      </c>
      <c r="AD28" s="163">
        <v>46224</v>
      </c>
      <c r="AE28" s="162" t="s">
        <v>34</v>
      </c>
      <c r="AF28" s="162" t="s">
        <v>422</v>
      </c>
      <c r="AG28" s="164">
        <v>1</v>
      </c>
      <c r="AH28" s="165">
        <v>46231</v>
      </c>
      <c r="AI28" s="165">
        <v>46233</v>
      </c>
      <c r="AJ28" s="166" t="s">
        <v>165</v>
      </c>
      <c r="AK28" s="166" t="s">
        <v>422</v>
      </c>
      <c r="AL28" s="167">
        <v>0</v>
      </c>
      <c r="AM28" s="169">
        <v>46332</v>
      </c>
      <c r="AN28" s="169">
        <v>46338</v>
      </c>
      <c r="AO28" s="168" t="s">
        <v>40</v>
      </c>
      <c r="AP28" s="170">
        <v>0</v>
      </c>
      <c r="AQ28"/>
    </row>
    <row r="29" spans="1:43">
      <c r="A29" s="146" t="s">
        <v>423</v>
      </c>
      <c r="B29" s="147">
        <v>50225</v>
      </c>
      <c r="C29" s="147">
        <v>1</v>
      </c>
      <c r="D29" s="149">
        <v>46170</v>
      </c>
      <c r="E29" s="149">
        <v>46175</v>
      </c>
      <c r="F29" s="148" t="s">
        <v>34</v>
      </c>
      <c r="G29" s="148" t="s">
        <v>422</v>
      </c>
      <c r="H29" s="151">
        <v>1</v>
      </c>
      <c r="I29" s="169">
        <v>46176</v>
      </c>
      <c r="J29" s="169">
        <v>46182</v>
      </c>
      <c r="K29" s="168" t="s">
        <v>34</v>
      </c>
      <c r="L29" s="168" t="s">
        <v>422</v>
      </c>
      <c r="M29" s="179">
        <v>1</v>
      </c>
      <c r="N29" s="153">
        <v>46176</v>
      </c>
      <c r="O29" s="153">
        <v>46182</v>
      </c>
      <c r="P29" s="152" t="s">
        <v>34</v>
      </c>
      <c r="Q29" s="152" t="s">
        <v>422</v>
      </c>
      <c r="R29" s="155">
        <v>1</v>
      </c>
      <c r="S29" s="157">
        <v>46202</v>
      </c>
      <c r="T29" s="157">
        <v>46208</v>
      </c>
      <c r="U29" s="156" t="s">
        <v>34</v>
      </c>
      <c r="V29" s="156" t="s">
        <v>422</v>
      </c>
      <c r="W29" s="158">
        <v>1</v>
      </c>
      <c r="X29" s="160">
        <v>46215</v>
      </c>
      <c r="Y29" s="160">
        <v>46217</v>
      </c>
      <c r="Z29" s="159" t="s">
        <v>34</v>
      </c>
      <c r="AA29" s="159" t="s">
        <v>422</v>
      </c>
      <c r="AB29" s="161">
        <v>1</v>
      </c>
      <c r="AC29" s="163">
        <v>46218</v>
      </c>
      <c r="AD29" s="163">
        <v>46224</v>
      </c>
      <c r="AE29" s="162" t="s">
        <v>34</v>
      </c>
      <c r="AF29" s="162" t="s">
        <v>422</v>
      </c>
      <c r="AG29" s="164">
        <v>1</v>
      </c>
      <c r="AH29" s="165">
        <v>46231</v>
      </c>
      <c r="AI29" s="165">
        <v>46233</v>
      </c>
      <c r="AJ29" s="166" t="s">
        <v>165</v>
      </c>
      <c r="AK29" s="166" t="s">
        <v>422</v>
      </c>
      <c r="AL29" s="167">
        <v>0</v>
      </c>
      <c r="AM29" s="169">
        <v>46332</v>
      </c>
      <c r="AN29" s="169">
        <v>46338</v>
      </c>
      <c r="AO29" s="168" t="s">
        <v>40</v>
      </c>
      <c r="AP29" s="170">
        <v>0</v>
      </c>
      <c r="AQ29"/>
    </row>
    <row r="30" spans="1:43">
      <c r="A30" s="146" t="s">
        <v>423</v>
      </c>
      <c r="B30" s="147">
        <v>50230</v>
      </c>
      <c r="C30" s="147">
        <v>1</v>
      </c>
      <c r="D30" s="149">
        <v>46170</v>
      </c>
      <c r="E30" s="149">
        <v>46175</v>
      </c>
      <c r="F30" s="148" t="s">
        <v>34</v>
      </c>
      <c r="G30" s="148" t="s">
        <v>422</v>
      </c>
      <c r="H30" s="151">
        <v>1</v>
      </c>
      <c r="I30" s="169">
        <v>46176</v>
      </c>
      <c r="J30" s="169">
        <v>46182</v>
      </c>
      <c r="K30" s="168" t="s">
        <v>34</v>
      </c>
      <c r="L30" s="168" t="s">
        <v>422</v>
      </c>
      <c r="M30" s="179">
        <v>1</v>
      </c>
      <c r="N30" s="153">
        <v>46176</v>
      </c>
      <c r="O30" s="153">
        <v>46182</v>
      </c>
      <c r="P30" s="152" t="s">
        <v>34</v>
      </c>
      <c r="Q30" s="152" t="s">
        <v>422</v>
      </c>
      <c r="R30" s="155">
        <v>1</v>
      </c>
      <c r="S30" s="157">
        <v>46202</v>
      </c>
      <c r="T30" s="157">
        <v>46208</v>
      </c>
      <c r="U30" s="156" t="s">
        <v>34</v>
      </c>
      <c r="V30" s="156" t="s">
        <v>422</v>
      </c>
      <c r="W30" s="158">
        <v>1</v>
      </c>
      <c r="X30" s="160">
        <v>46215</v>
      </c>
      <c r="Y30" s="160">
        <v>46217</v>
      </c>
      <c r="Z30" s="159" t="s">
        <v>34</v>
      </c>
      <c r="AA30" s="159" t="s">
        <v>422</v>
      </c>
      <c r="AB30" s="161">
        <v>1</v>
      </c>
      <c r="AC30" s="163">
        <v>46218</v>
      </c>
      <c r="AD30" s="163">
        <v>46224</v>
      </c>
      <c r="AE30" s="162" t="s">
        <v>34</v>
      </c>
      <c r="AF30" s="162" t="s">
        <v>422</v>
      </c>
      <c r="AG30" s="164">
        <v>1</v>
      </c>
      <c r="AH30" s="165">
        <v>46231</v>
      </c>
      <c r="AI30" s="165">
        <v>46233</v>
      </c>
      <c r="AJ30" s="166" t="s">
        <v>165</v>
      </c>
      <c r="AK30" s="166" t="s">
        <v>422</v>
      </c>
      <c r="AL30" s="167">
        <v>0</v>
      </c>
      <c r="AM30" s="169">
        <v>46332</v>
      </c>
      <c r="AN30" s="169">
        <v>46338</v>
      </c>
      <c r="AO30" s="168" t="s">
        <v>40</v>
      </c>
      <c r="AP30" s="170">
        <v>0</v>
      </c>
      <c r="AQ30"/>
    </row>
    <row r="31" spans="1:43">
      <c r="A31" s="146" t="s">
        <v>423</v>
      </c>
      <c r="B31" s="147">
        <v>50235</v>
      </c>
      <c r="C31" s="147">
        <v>1</v>
      </c>
      <c r="D31" s="149">
        <v>46170</v>
      </c>
      <c r="E31" s="149">
        <v>46175</v>
      </c>
      <c r="F31" s="148" t="s">
        <v>34</v>
      </c>
      <c r="G31" s="148" t="s">
        <v>428</v>
      </c>
      <c r="H31" s="151">
        <v>0.95</v>
      </c>
      <c r="I31" s="169">
        <v>46176</v>
      </c>
      <c r="J31" s="169">
        <v>46182</v>
      </c>
      <c r="K31" s="168" t="s">
        <v>34</v>
      </c>
      <c r="L31" s="168" t="s">
        <v>422</v>
      </c>
      <c r="M31" s="179">
        <v>1</v>
      </c>
      <c r="N31" s="153">
        <v>46176</v>
      </c>
      <c r="O31" s="153">
        <v>46182</v>
      </c>
      <c r="P31" s="152" t="s">
        <v>34</v>
      </c>
      <c r="Q31" s="152" t="s">
        <v>422</v>
      </c>
      <c r="R31" s="155">
        <v>1</v>
      </c>
      <c r="S31" s="157">
        <v>46202</v>
      </c>
      <c r="T31" s="157">
        <v>46208</v>
      </c>
      <c r="U31" s="156" t="s">
        <v>40</v>
      </c>
      <c r="V31" s="156" t="s">
        <v>429</v>
      </c>
      <c r="W31" s="158">
        <v>0.9</v>
      </c>
      <c r="X31" s="160">
        <v>46215</v>
      </c>
      <c r="Y31" s="160">
        <v>46217</v>
      </c>
      <c r="Z31" s="159" t="s">
        <v>40</v>
      </c>
      <c r="AA31" s="159" t="s">
        <v>422</v>
      </c>
      <c r="AB31" s="161">
        <v>0</v>
      </c>
      <c r="AC31" s="163">
        <v>46218</v>
      </c>
      <c r="AD31" s="163">
        <v>46224</v>
      </c>
      <c r="AE31" s="162" t="s">
        <v>34</v>
      </c>
      <c r="AF31" s="162" t="s">
        <v>422</v>
      </c>
      <c r="AG31" s="164">
        <v>1</v>
      </c>
      <c r="AH31" s="165">
        <v>46231</v>
      </c>
      <c r="AI31" s="165">
        <v>46233</v>
      </c>
      <c r="AJ31" s="166" t="s">
        <v>165</v>
      </c>
      <c r="AK31" s="166" t="s">
        <v>422</v>
      </c>
      <c r="AL31" s="167">
        <v>0</v>
      </c>
      <c r="AM31" s="169">
        <v>46332</v>
      </c>
      <c r="AN31" s="169">
        <v>46338</v>
      </c>
      <c r="AO31" s="168" t="s">
        <v>40</v>
      </c>
      <c r="AP31" s="170">
        <v>0</v>
      </c>
      <c r="AQ31"/>
    </row>
    <row r="32" spans="1:43">
      <c r="A32" s="146" t="s">
        <v>423</v>
      </c>
      <c r="B32" s="147">
        <v>50240</v>
      </c>
      <c r="C32" s="147">
        <v>1</v>
      </c>
      <c r="D32" s="149">
        <v>46170</v>
      </c>
      <c r="E32" s="149">
        <v>46175</v>
      </c>
      <c r="F32" s="148" t="s">
        <v>34</v>
      </c>
      <c r="G32" s="148" t="s">
        <v>430</v>
      </c>
      <c r="H32" s="151">
        <v>0.95</v>
      </c>
      <c r="I32" s="169">
        <v>46176</v>
      </c>
      <c r="J32" s="169">
        <v>46182</v>
      </c>
      <c r="K32" s="168" t="s">
        <v>40</v>
      </c>
      <c r="L32" s="168"/>
      <c r="M32" s="179">
        <v>1</v>
      </c>
      <c r="N32" s="153">
        <v>46176</v>
      </c>
      <c r="O32" s="153">
        <v>46182</v>
      </c>
      <c r="P32" s="152" t="s">
        <v>40</v>
      </c>
      <c r="Q32" s="152" t="s">
        <v>426</v>
      </c>
      <c r="R32" s="155">
        <v>0</v>
      </c>
      <c r="S32" s="157">
        <v>46202</v>
      </c>
      <c r="T32" s="157">
        <v>46208</v>
      </c>
      <c r="U32" s="156" t="s">
        <v>34</v>
      </c>
      <c r="V32" s="156" t="s">
        <v>422</v>
      </c>
      <c r="W32" s="158">
        <v>1</v>
      </c>
      <c r="X32" s="160">
        <v>46215</v>
      </c>
      <c r="Y32" s="160">
        <v>46217</v>
      </c>
      <c r="Z32" s="159" t="s">
        <v>40</v>
      </c>
      <c r="AA32" s="159" t="s">
        <v>426</v>
      </c>
      <c r="AB32" s="161">
        <v>0</v>
      </c>
      <c r="AC32" s="163">
        <v>46218</v>
      </c>
      <c r="AD32" s="163">
        <v>46224</v>
      </c>
      <c r="AE32" s="162" t="s">
        <v>34</v>
      </c>
      <c r="AF32" s="162" t="s">
        <v>422</v>
      </c>
      <c r="AG32" s="164">
        <v>1</v>
      </c>
      <c r="AH32" s="165">
        <v>46231</v>
      </c>
      <c r="AI32" s="165">
        <v>46233</v>
      </c>
      <c r="AJ32" s="166" t="s">
        <v>165</v>
      </c>
      <c r="AK32" s="166" t="s">
        <v>422</v>
      </c>
      <c r="AL32" s="167">
        <v>0</v>
      </c>
      <c r="AM32" s="169">
        <v>46332</v>
      </c>
      <c r="AN32" s="169">
        <v>46338</v>
      </c>
      <c r="AO32" s="168" t="s">
        <v>40</v>
      </c>
      <c r="AP32" s="170">
        <v>0</v>
      </c>
      <c r="AQ32"/>
    </row>
    <row r="33" spans="1:43">
      <c r="A33" s="146" t="s">
        <v>423</v>
      </c>
      <c r="B33" s="147">
        <v>50245</v>
      </c>
      <c r="C33" s="147">
        <v>1</v>
      </c>
      <c r="D33" s="149">
        <v>46170</v>
      </c>
      <c r="E33" s="149">
        <v>46175</v>
      </c>
      <c r="F33" s="148" t="s">
        <v>34</v>
      </c>
      <c r="G33" s="148" t="s">
        <v>422</v>
      </c>
      <c r="H33" s="151">
        <v>1</v>
      </c>
      <c r="I33" s="169">
        <v>46183</v>
      </c>
      <c r="J33" s="169">
        <v>46189</v>
      </c>
      <c r="K33" s="168" t="s">
        <v>40</v>
      </c>
      <c r="L33" s="168" t="s">
        <v>426</v>
      </c>
      <c r="M33" s="179">
        <v>1</v>
      </c>
      <c r="N33" s="153">
        <v>46183</v>
      </c>
      <c r="O33" s="153">
        <v>46189</v>
      </c>
      <c r="P33" s="152" t="s">
        <v>40</v>
      </c>
      <c r="Q33" s="152" t="s">
        <v>426</v>
      </c>
      <c r="R33" s="155">
        <v>0</v>
      </c>
      <c r="S33" s="157">
        <v>46202</v>
      </c>
      <c r="T33" s="157">
        <v>46208</v>
      </c>
      <c r="U33" s="156" t="s">
        <v>34</v>
      </c>
      <c r="V33" s="156" t="s">
        <v>422</v>
      </c>
      <c r="W33" s="158">
        <v>1</v>
      </c>
      <c r="X33" s="160">
        <v>46215</v>
      </c>
      <c r="Y33" s="160">
        <v>46217</v>
      </c>
      <c r="Z33" s="159" t="s">
        <v>34</v>
      </c>
      <c r="AA33" s="159" t="s">
        <v>426</v>
      </c>
      <c r="AB33" s="161">
        <v>1</v>
      </c>
      <c r="AC33" s="163">
        <v>46218</v>
      </c>
      <c r="AD33" s="163">
        <v>46224</v>
      </c>
      <c r="AE33" s="162" t="s">
        <v>34</v>
      </c>
      <c r="AF33" s="162" t="s">
        <v>422</v>
      </c>
      <c r="AG33" s="164">
        <v>1</v>
      </c>
      <c r="AH33" s="165">
        <v>46231</v>
      </c>
      <c r="AI33" s="165">
        <v>46233</v>
      </c>
      <c r="AJ33" s="166" t="s">
        <v>165</v>
      </c>
      <c r="AK33" s="166" t="s">
        <v>422</v>
      </c>
      <c r="AL33" s="167">
        <v>0</v>
      </c>
      <c r="AM33" s="169">
        <v>46332</v>
      </c>
      <c r="AN33" s="169">
        <v>46338</v>
      </c>
      <c r="AO33" s="168" t="s">
        <v>40</v>
      </c>
      <c r="AP33" s="170">
        <v>0</v>
      </c>
      <c r="AQ33"/>
    </row>
    <row r="34" spans="1:43" ht="15">
      <c r="A34" s="146" t="s">
        <v>423</v>
      </c>
      <c r="B34" s="147">
        <v>50251</v>
      </c>
      <c r="C34" s="147">
        <v>1</v>
      </c>
      <c r="D34" s="149">
        <v>46170</v>
      </c>
      <c r="E34" s="149">
        <v>46175</v>
      </c>
      <c r="F34" s="148" t="s">
        <v>34</v>
      </c>
      <c r="G34" s="382" t="s">
        <v>430</v>
      </c>
      <c r="H34" s="151">
        <v>0.95</v>
      </c>
      <c r="I34" s="169">
        <v>46183</v>
      </c>
      <c r="J34" s="169">
        <v>46189</v>
      </c>
      <c r="K34" s="168" t="s">
        <v>40</v>
      </c>
      <c r="L34" s="168" t="s">
        <v>431</v>
      </c>
      <c r="M34" s="179">
        <v>0.95</v>
      </c>
      <c r="N34" s="153">
        <v>46183</v>
      </c>
      <c r="O34" s="153">
        <v>46189</v>
      </c>
      <c r="P34" s="152" t="s">
        <v>40</v>
      </c>
      <c r="Q34" s="152" t="s">
        <v>432</v>
      </c>
      <c r="R34" s="155">
        <v>0</v>
      </c>
      <c r="S34" s="157">
        <v>46202</v>
      </c>
      <c r="T34" s="157">
        <v>46208</v>
      </c>
      <c r="U34" s="156" t="s">
        <v>40</v>
      </c>
      <c r="V34" s="156" t="s">
        <v>426</v>
      </c>
      <c r="W34" s="158">
        <v>0</v>
      </c>
      <c r="X34" s="160">
        <v>46215</v>
      </c>
      <c r="Y34" s="160">
        <v>46217</v>
      </c>
      <c r="Z34" s="159" t="s">
        <v>40</v>
      </c>
      <c r="AA34" s="159" t="s">
        <v>426</v>
      </c>
      <c r="AB34" s="161">
        <v>0</v>
      </c>
      <c r="AC34" s="163">
        <v>46218</v>
      </c>
      <c r="AD34" s="163">
        <v>46224</v>
      </c>
      <c r="AE34" s="162" t="s">
        <v>34</v>
      </c>
      <c r="AF34" s="162" t="s">
        <v>422</v>
      </c>
      <c r="AG34" s="164">
        <v>1</v>
      </c>
      <c r="AH34" s="165">
        <v>46231</v>
      </c>
      <c r="AI34" s="165">
        <v>46233</v>
      </c>
      <c r="AJ34" s="166" t="s">
        <v>165</v>
      </c>
      <c r="AK34" s="166" t="s">
        <v>422</v>
      </c>
      <c r="AL34" s="167">
        <v>0</v>
      </c>
      <c r="AM34" s="169">
        <v>46332</v>
      </c>
      <c r="AN34" s="169">
        <v>46338</v>
      </c>
      <c r="AO34" s="168" t="s">
        <v>40</v>
      </c>
      <c r="AP34" s="170">
        <v>0</v>
      </c>
      <c r="AQ34"/>
    </row>
    <row r="35" spans="1:43">
      <c r="A35" s="146" t="s">
        <v>423</v>
      </c>
      <c r="B35" s="147">
        <v>50255</v>
      </c>
      <c r="C35" s="147">
        <v>1</v>
      </c>
      <c r="D35" s="149">
        <v>46170</v>
      </c>
      <c r="E35" s="149">
        <v>46175</v>
      </c>
      <c r="F35" s="148" t="s">
        <v>34</v>
      </c>
      <c r="G35" s="148" t="s">
        <v>430</v>
      </c>
      <c r="H35" s="151">
        <v>0.95</v>
      </c>
      <c r="I35" s="169">
        <v>46183</v>
      </c>
      <c r="J35" s="169">
        <v>46189</v>
      </c>
      <c r="K35" s="168" t="s">
        <v>40</v>
      </c>
      <c r="L35" s="168"/>
      <c r="M35" s="179">
        <v>1</v>
      </c>
      <c r="N35" s="153">
        <v>46183</v>
      </c>
      <c r="O35" s="153">
        <v>46189</v>
      </c>
      <c r="P35" s="152" t="s">
        <v>40</v>
      </c>
      <c r="Q35" s="152" t="s">
        <v>426</v>
      </c>
      <c r="R35" s="155">
        <v>0</v>
      </c>
      <c r="S35" s="157">
        <v>46202</v>
      </c>
      <c r="T35" s="157">
        <v>46208</v>
      </c>
      <c r="U35" s="156" t="s">
        <v>40</v>
      </c>
      <c r="V35" s="156" t="s">
        <v>426</v>
      </c>
      <c r="W35" s="158">
        <v>0</v>
      </c>
      <c r="X35" s="160">
        <v>46215</v>
      </c>
      <c r="Y35" s="160">
        <v>46217</v>
      </c>
      <c r="Z35" s="159" t="s">
        <v>40</v>
      </c>
      <c r="AA35" s="159" t="s">
        <v>426</v>
      </c>
      <c r="AB35" s="161">
        <v>0</v>
      </c>
      <c r="AC35" s="163">
        <v>46218</v>
      </c>
      <c r="AD35" s="163">
        <v>46224</v>
      </c>
      <c r="AE35" s="162" t="s">
        <v>34</v>
      </c>
      <c r="AF35" s="162" t="s">
        <v>422</v>
      </c>
      <c r="AG35" s="164">
        <v>1</v>
      </c>
      <c r="AH35" s="165">
        <v>46231</v>
      </c>
      <c r="AI35" s="165">
        <v>46233</v>
      </c>
      <c r="AJ35" s="166" t="s">
        <v>165</v>
      </c>
      <c r="AK35" s="166" t="s">
        <v>422</v>
      </c>
      <c r="AL35" s="167">
        <v>0</v>
      </c>
      <c r="AM35" s="169">
        <v>46332</v>
      </c>
      <c r="AN35" s="169">
        <v>46338</v>
      </c>
      <c r="AO35" s="168" t="s">
        <v>40</v>
      </c>
      <c r="AP35" s="170">
        <v>0</v>
      </c>
      <c r="AQ35"/>
    </row>
    <row r="36" spans="1:43">
      <c r="A36" s="146" t="s">
        <v>423</v>
      </c>
      <c r="B36" s="147">
        <v>50260</v>
      </c>
      <c r="C36" s="147">
        <v>1</v>
      </c>
      <c r="D36" s="149">
        <v>46170</v>
      </c>
      <c r="E36" s="149">
        <v>46175</v>
      </c>
      <c r="F36" s="148" t="s">
        <v>34</v>
      </c>
      <c r="G36" s="148" t="s">
        <v>422</v>
      </c>
      <c r="H36" s="151">
        <v>1</v>
      </c>
      <c r="I36" s="169">
        <v>46183</v>
      </c>
      <c r="J36" s="169">
        <v>46189</v>
      </c>
      <c r="K36" s="168" t="s">
        <v>40</v>
      </c>
      <c r="L36" s="168" t="s">
        <v>426</v>
      </c>
      <c r="M36" s="179">
        <v>0</v>
      </c>
      <c r="N36" s="153">
        <v>46183</v>
      </c>
      <c r="O36" s="153">
        <v>46189</v>
      </c>
      <c r="P36" s="152" t="s">
        <v>40</v>
      </c>
      <c r="Q36" s="152" t="s">
        <v>426</v>
      </c>
      <c r="R36" s="155">
        <v>0</v>
      </c>
      <c r="S36" s="157">
        <v>46202</v>
      </c>
      <c r="T36" s="157">
        <v>46208</v>
      </c>
      <c r="U36" s="156" t="s">
        <v>40</v>
      </c>
      <c r="V36" s="156" t="s">
        <v>426</v>
      </c>
      <c r="W36" s="158">
        <v>0.8</v>
      </c>
      <c r="X36" s="160">
        <v>46215</v>
      </c>
      <c r="Y36" s="160">
        <v>46217</v>
      </c>
      <c r="Z36" s="159" t="s">
        <v>34</v>
      </c>
      <c r="AA36" s="159" t="s">
        <v>433</v>
      </c>
      <c r="AB36" s="161">
        <v>1</v>
      </c>
      <c r="AC36" s="163">
        <v>46218</v>
      </c>
      <c r="AD36" s="163">
        <v>46224</v>
      </c>
      <c r="AE36" s="162" t="s">
        <v>34</v>
      </c>
      <c r="AF36" s="162" t="s">
        <v>422</v>
      </c>
      <c r="AG36" s="164">
        <v>0.8</v>
      </c>
      <c r="AH36" s="165">
        <v>46231</v>
      </c>
      <c r="AI36" s="165">
        <v>46233</v>
      </c>
      <c r="AJ36" s="166" t="s">
        <v>165</v>
      </c>
      <c r="AK36" s="166" t="s">
        <v>422</v>
      </c>
      <c r="AL36" s="167">
        <v>0</v>
      </c>
      <c r="AM36" s="169">
        <v>46332</v>
      </c>
      <c r="AN36" s="169">
        <v>46338</v>
      </c>
      <c r="AO36" s="168" t="s">
        <v>40</v>
      </c>
      <c r="AP36" s="170">
        <v>0</v>
      </c>
      <c r="AQ36"/>
    </row>
    <row r="37" spans="1:43">
      <c r="A37" s="146" t="s">
        <v>423</v>
      </c>
      <c r="B37" s="147">
        <v>50265</v>
      </c>
      <c r="C37" s="147">
        <v>1</v>
      </c>
      <c r="D37" s="149">
        <v>46170</v>
      </c>
      <c r="E37" s="149">
        <v>46175</v>
      </c>
      <c r="F37" s="148" t="s">
        <v>40</v>
      </c>
      <c r="G37" s="148" t="s">
        <v>422</v>
      </c>
      <c r="H37" s="151">
        <v>0</v>
      </c>
      <c r="I37" s="169">
        <v>46183</v>
      </c>
      <c r="J37" s="169">
        <v>46189</v>
      </c>
      <c r="K37" s="168" t="s">
        <v>40</v>
      </c>
      <c r="L37" s="168" t="s">
        <v>422</v>
      </c>
      <c r="M37" s="179">
        <v>0</v>
      </c>
      <c r="N37" s="153">
        <v>46183</v>
      </c>
      <c r="O37" s="153">
        <v>46189</v>
      </c>
      <c r="P37" s="152" t="s">
        <v>40</v>
      </c>
      <c r="Q37" s="152" t="s">
        <v>422</v>
      </c>
      <c r="R37" s="155">
        <v>0</v>
      </c>
      <c r="S37" s="157">
        <v>46202</v>
      </c>
      <c r="T37" s="157">
        <v>46208</v>
      </c>
      <c r="U37" s="156" t="s">
        <v>40</v>
      </c>
      <c r="V37" s="156" t="s">
        <v>422</v>
      </c>
      <c r="W37" s="158">
        <v>0</v>
      </c>
      <c r="X37" s="160">
        <v>46215</v>
      </c>
      <c r="Y37" s="160">
        <v>46217</v>
      </c>
      <c r="Z37" s="159" t="s">
        <v>40</v>
      </c>
      <c r="AA37" s="159" t="s">
        <v>422</v>
      </c>
      <c r="AB37" s="161">
        <v>0</v>
      </c>
      <c r="AC37" s="163">
        <v>46218</v>
      </c>
      <c r="AD37" s="163">
        <v>46224</v>
      </c>
      <c r="AE37" s="162" t="s">
        <v>40</v>
      </c>
      <c r="AF37" s="162" t="s">
        <v>422</v>
      </c>
      <c r="AG37" s="164">
        <v>0</v>
      </c>
      <c r="AH37" s="165">
        <v>46231</v>
      </c>
      <c r="AI37" s="165">
        <v>46233</v>
      </c>
      <c r="AJ37" s="166" t="s">
        <v>165</v>
      </c>
      <c r="AK37" s="166" t="s">
        <v>422</v>
      </c>
      <c r="AL37" s="167">
        <v>0</v>
      </c>
      <c r="AM37" s="169">
        <v>46332</v>
      </c>
      <c r="AN37" s="169">
        <v>46338</v>
      </c>
      <c r="AO37" s="168" t="s">
        <v>40</v>
      </c>
      <c r="AP37" s="170">
        <v>0</v>
      </c>
      <c r="AQ37"/>
    </row>
    <row r="38" spans="1:43">
      <c r="A38" s="146" t="s">
        <v>423</v>
      </c>
      <c r="B38" s="147">
        <v>50270</v>
      </c>
      <c r="C38" s="147">
        <v>1</v>
      </c>
      <c r="D38" s="149">
        <v>46170</v>
      </c>
      <c r="E38" s="149">
        <v>46175</v>
      </c>
      <c r="F38" s="148" t="s">
        <v>40</v>
      </c>
      <c r="G38" s="148" t="s">
        <v>422</v>
      </c>
      <c r="H38" s="151">
        <v>0</v>
      </c>
      <c r="I38" s="169">
        <v>46183</v>
      </c>
      <c r="J38" s="169">
        <v>46189</v>
      </c>
      <c r="K38" s="168" t="s">
        <v>40</v>
      </c>
      <c r="L38" s="168" t="s">
        <v>422</v>
      </c>
      <c r="M38" s="179">
        <v>0</v>
      </c>
      <c r="N38" s="153">
        <v>46183</v>
      </c>
      <c r="O38" s="153">
        <v>46189</v>
      </c>
      <c r="P38" s="152" t="s">
        <v>40</v>
      </c>
      <c r="Q38" s="152" t="s">
        <v>422</v>
      </c>
      <c r="R38" s="155">
        <v>0</v>
      </c>
      <c r="S38" s="157">
        <v>46202</v>
      </c>
      <c r="T38" s="157">
        <v>46208</v>
      </c>
      <c r="U38" s="156" t="s">
        <v>40</v>
      </c>
      <c r="V38" s="156" t="s">
        <v>422</v>
      </c>
      <c r="W38" s="158">
        <v>0</v>
      </c>
      <c r="X38" s="160">
        <v>46215</v>
      </c>
      <c r="Y38" s="160">
        <v>46217</v>
      </c>
      <c r="Z38" s="159" t="s">
        <v>40</v>
      </c>
      <c r="AA38" s="159" t="s">
        <v>422</v>
      </c>
      <c r="AB38" s="161">
        <v>0</v>
      </c>
      <c r="AC38" s="163">
        <v>46218</v>
      </c>
      <c r="AD38" s="163">
        <v>46224</v>
      </c>
      <c r="AE38" s="162" t="s">
        <v>40</v>
      </c>
      <c r="AF38" s="162" t="s">
        <v>422</v>
      </c>
      <c r="AG38" s="164">
        <v>0</v>
      </c>
      <c r="AH38" s="165">
        <v>46231</v>
      </c>
      <c r="AI38" s="165">
        <v>46233</v>
      </c>
      <c r="AJ38" s="166" t="s">
        <v>165</v>
      </c>
      <c r="AK38" s="166" t="s">
        <v>422</v>
      </c>
      <c r="AL38" s="167">
        <v>0</v>
      </c>
      <c r="AM38" s="169">
        <v>46332</v>
      </c>
      <c r="AN38" s="169">
        <v>46338</v>
      </c>
      <c r="AO38" s="168" t="s">
        <v>40</v>
      </c>
      <c r="AP38" s="170">
        <v>0</v>
      </c>
      <c r="AQ38"/>
    </row>
    <row r="39" spans="1:43">
      <c r="A39" s="146" t="s">
        <v>423</v>
      </c>
      <c r="B39" s="147">
        <v>50275</v>
      </c>
      <c r="C39" s="147">
        <v>1</v>
      </c>
      <c r="D39" s="149">
        <v>46170</v>
      </c>
      <c r="E39" s="149">
        <v>46175</v>
      </c>
      <c r="F39" s="148" t="s">
        <v>34</v>
      </c>
      <c r="G39" s="148" t="s">
        <v>422</v>
      </c>
      <c r="H39" s="151">
        <v>1</v>
      </c>
      <c r="I39" s="169">
        <v>46183</v>
      </c>
      <c r="J39" s="169">
        <v>46189</v>
      </c>
      <c r="K39" s="168" t="s">
        <v>40</v>
      </c>
      <c r="L39" s="168" t="s">
        <v>422</v>
      </c>
      <c r="M39" s="179">
        <v>0</v>
      </c>
      <c r="N39" s="153">
        <v>46183</v>
      </c>
      <c r="O39" s="153">
        <v>46189</v>
      </c>
      <c r="P39" s="152" t="s">
        <v>40</v>
      </c>
      <c r="Q39" s="152" t="s">
        <v>422</v>
      </c>
      <c r="R39" s="155">
        <v>0</v>
      </c>
      <c r="S39" s="157">
        <v>46202</v>
      </c>
      <c r="T39" s="157">
        <v>46208</v>
      </c>
      <c r="U39" s="156" t="s">
        <v>40</v>
      </c>
      <c r="V39" s="156" t="s">
        <v>422</v>
      </c>
      <c r="W39" s="158">
        <v>0</v>
      </c>
      <c r="X39" s="160">
        <v>46215</v>
      </c>
      <c r="Y39" s="160">
        <v>46217</v>
      </c>
      <c r="Z39" s="159" t="s">
        <v>40</v>
      </c>
      <c r="AA39" s="159" t="s">
        <v>422</v>
      </c>
      <c r="AB39" s="161">
        <v>0</v>
      </c>
      <c r="AC39" s="163">
        <v>46218</v>
      </c>
      <c r="AD39" s="163">
        <v>46224</v>
      </c>
      <c r="AE39" s="162" t="s">
        <v>40</v>
      </c>
      <c r="AF39" s="162" t="s">
        <v>422</v>
      </c>
      <c r="AG39" s="164">
        <v>0</v>
      </c>
      <c r="AH39" s="165">
        <v>46231</v>
      </c>
      <c r="AI39" s="165">
        <v>46233</v>
      </c>
      <c r="AJ39" s="166" t="s">
        <v>165</v>
      </c>
      <c r="AK39" s="166" t="s">
        <v>422</v>
      </c>
      <c r="AL39" s="167">
        <v>0</v>
      </c>
      <c r="AM39" s="169">
        <v>46332</v>
      </c>
      <c r="AN39" s="169">
        <v>46338</v>
      </c>
      <c r="AO39" s="168" t="s">
        <v>40</v>
      </c>
      <c r="AP39" s="170">
        <v>0</v>
      </c>
      <c r="AQ39"/>
    </row>
    <row r="40" spans="1:43">
      <c r="A40" s="146" t="s">
        <v>423</v>
      </c>
      <c r="B40" s="147">
        <v>50280</v>
      </c>
      <c r="C40" s="147">
        <v>1</v>
      </c>
      <c r="D40" s="149">
        <v>46170</v>
      </c>
      <c r="E40" s="149">
        <v>46175</v>
      </c>
      <c r="F40" s="148" t="s">
        <v>40</v>
      </c>
      <c r="G40" s="148" t="s">
        <v>422</v>
      </c>
      <c r="H40" s="151">
        <v>0</v>
      </c>
      <c r="I40" s="169">
        <v>46183</v>
      </c>
      <c r="J40" s="169">
        <v>46189</v>
      </c>
      <c r="K40" s="168" t="s">
        <v>40</v>
      </c>
      <c r="L40" s="168" t="s">
        <v>422</v>
      </c>
      <c r="M40" s="179">
        <v>0</v>
      </c>
      <c r="N40" s="153">
        <v>46183</v>
      </c>
      <c r="O40" s="153">
        <v>46189</v>
      </c>
      <c r="P40" s="152" t="s">
        <v>40</v>
      </c>
      <c r="Q40" s="152" t="s">
        <v>422</v>
      </c>
      <c r="R40" s="155">
        <v>0</v>
      </c>
      <c r="S40" s="157">
        <v>46202</v>
      </c>
      <c r="T40" s="157">
        <v>46208</v>
      </c>
      <c r="U40" s="156" t="s">
        <v>40</v>
      </c>
      <c r="V40" s="156" t="s">
        <v>422</v>
      </c>
      <c r="W40" s="158">
        <v>0</v>
      </c>
      <c r="X40" s="160">
        <v>46215</v>
      </c>
      <c r="Y40" s="160">
        <v>46217</v>
      </c>
      <c r="Z40" s="159" t="s">
        <v>40</v>
      </c>
      <c r="AA40" s="159" t="s">
        <v>422</v>
      </c>
      <c r="AB40" s="161">
        <v>0</v>
      </c>
      <c r="AC40" s="163">
        <v>46218</v>
      </c>
      <c r="AD40" s="163">
        <v>46224</v>
      </c>
      <c r="AE40" s="162" t="s">
        <v>40</v>
      </c>
      <c r="AF40" s="162" t="s">
        <v>422</v>
      </c>
      <c r="AG40" s="164">
        <v>0</v>
      </c>
      <c r="AH40" s="165">
        <v>46231</v>
      </c>
      <c r="AI40" s="165">
        <v>46233</v>
      </c>
      <c r="AJ40" s="166" t="s">
        <v>165</v>
      </c>
      <c r="AK40" s="166" t="s">
        <v>422</v>
      </c>
      <c r="AL40" s="167">
        <v>0</v>
      </c>
      <c r="AM40" s="169">
        <v>46332</v>
      </c>
      <c r="AN40" s="169">
        <v>46338</v>
      </c>
      <c r="AO40" s="168" t="s">
        <v>40</v>
      </c>
      <c r="AP40" s="170">
        <v>0</v>
      </c>
      <c r="AQ40"/>
    </row>
    <row r="41" spans="1:43">
      <c r="A41" s="146" t="s">
        <v>423</v>
      </c>
      <c r="B41" s="147">
        <v>50285</v>
      </c>
      <c r="C41" s="147">
        <v>1</v>
      </c>
      <c r="D41" s="149">
        <v>46170</v>
      </c>
      <c r="E41" s="149">
        <v>46175</v>
      </c>
      <c r="F41" s="148" t="s">
        <v>34</v>
      </c>
      <c r="G41" s="148" t="s">
        <v>422</v>
      </c>
      <c r="H41" s="151">
        <v>1</v>
      </c>
      <c r="I41" s="169">
        <v>46183</v>
      </c>
      <c r="J41" s="169">
        <v>46189</v>
      </c>
      <c r="K41" s="168" t="s">
        <v>40</v>
      </c>
      <c r="L41" s="168" t="s">
        <v>422</v>
      </c>
      <c r="M41" s="179">
        <v>0</v>
      </c>
      <c r="N41" s="153">
        <v>46183</v>
      </c>
      <c r="O41" s="153">
        <v>46189</v>
      </c>
      <c r="P41" s="152" t="s">
        <v>40</v>
      </c>
      <c r="Q41" s="152" t="s">
        <v>422</v>
      </c>
      <c r="R41" s="155">
        <v>0</v>
      </c>
      <c r="S41" s="157">
        <v>46202</v>
      </c>
      <c r="T41" s="157">
        <v>46208</v>
      </c>
      <c r="U41" s="156" t="s">
        <v>40</v>
      </c>
      <c r="V41" s="156" t="s">
        <v>422</v>
      </c>
      <c r="W41" s="158">
        <v>0</v>
      </c>
      <c r="X41" s="160">
        <v>46215</v>
      </c>
      <c r="Y41" s="160">
        <v>46217</v>
      </c>
      <c r="Z41" s="159" t="s">
        <v>40</v>
      </c>
      <c r="AA41" s="159" t="s">
        <v>422</v>
      </c>
      <c r="AB41" s="161">
        <v>0</v>
      </c>
      <c r="AC41" s="163">
        <v>46218</v>
      </c>
      <c r="AD41" s="163">
        <v>46224</v>
      </c>
      <c r="AE41" s="162" t="s">
        <v>40</v>
      </c>
      <c r="AF41" s="162" t="s">
        <v>422</v>
      </c>
      <c r="AG41" s="164">
        <v>0</v>
      </c>
      <c r="AH41" s="165">
        <v>46231</v>
      </c>
      <c r="AI41" s="165">
        <v>46233</v>
      </c>
      <c r="AJ41" s="166" t="s">
        <v>165</v>
      </c>
      <c r="AK41" s="166" t="s">
        <v>422</v>
      </c>
      <c r="AL41" s="167">
        <v>0</v>
      </c>
      <c r="AM41" s="169">
        <v>46332</v>
      </c>
      <c r="AN41" s="169">
        <v>46338</v>
      </c>
      <c r="AO41" s="168" t="s">
        <v>40</v>
      </c>
      <c r="AP41" s="170">
        <v>0</v>
      </c>
      <c r="AQ41"/>
    </row>
    <row r="42" spans="1:43">
      <c r="A42" s="146" t="s">
        <v>423</v>
      </c>
      <c r="B42" s="147">
        <v>50290</v>
      </c>
      <c r="C42" s="147">
        <v>1</v>
      </c>
      <c r="D42" s="149">
        <v>46170</v>
      </c>
      <c r="E42" s="149">
        <v>46175</v>
      </c>
      <c r="F42" s="148" t="s">
        <v>34</v>
      </c>
      <c r="G42" s="148" t="s">
        <v>422</v>
      </c>
      <c r="H42" s="151">
        <v>1</v>
      </c>
      <c r="I42" s="169">
        <v>46183</v>
      </c>
      <c r="J42" s="169">
        <v>46189</v>
      </c>
      <c r="K42" s="168" t="s">
        <v>40</v>
      </c>
      <c r="L42" s="168" t="s">
        <v>422</v>
      </c>
      <c r="M42" s="179">
        <v>0</v>
      </c>
      <c r="N42" s="153">
        <v>46183</v>
      </c>
      <c r="O42" s="153">
        <v>46189</v>
      </c>
      <c r="P42" s="152" t="s">
        <v>40</v>
      </c>
      <c r="Q42" s="152" t="s">
        <v>422</v>
      </c>
      <c r="R42" s="155">
        <v>0</v>
      </c>
      <c r="S42" s="157">
        <v>46202</v>
      </c>
      <c r="T42" s="157">
        <v>46208</v>
      </c>
      <c r="U42" s="156" t="s">
        <v>40</v>
      </c>
      <c r="V42" s="156" t="s">
        <v>422</v>
      </c>
      <c r="W42" s="158">
        <v>0</v>
      </c>
      <c r="X42" s="160">
        <v>46215</v>
      </c>
      <c r="Y42" s="160">
        <v>46217</v>
      </c>
      <c r="Z42" s="159" t="s">
        <v>40</v>
      </c>
      <c r="AA42" s="159" t="s">
        <v>422</v>
      </c>
      <c r="AB42" s="161">
        <v>0</v>
      </c>
      <c r="AC42" s="163">
        <v>46218</v>
      </c>
      <c r="AD42" s="163">
        <v>46224</v>
      </c>
      <c r="AE42" s="162" t="s">
        <v>40</v>
      </c>
      <c r="AF42" s="162" t="s">
        <v>422</v>
      </c>
      <c r="AG42" s="164">
        <v>0</v>
      </c>
      <c r="AH42" s="165">
        <v>46231</v>
      </c>
      <c r="AI42" s="165">
        <v>46233</v>
      </c>
      <c r="AJ42" s="166" t="s">
        <v>165</v>
      </c>
      <c r="AK42" s="166" t="s">
        <v>422</v>
      </c>
      <c r="AL42" s="167">
        <v>0</v>
      </c>
      <c r="AM42" s="169">
        <v>46332</v>
      </c>
      <c r="AN42" s="169">
        <v>46338</v>
      </c>
      <c r="AO42" s="168" t="s">
        <v>40</v>
      </c>
      <c r="AP42" s="170">
        <v>0</v>
      </c>
      <c r="AQ42"/>
    </row>
    <row r="43" spans="1:43">
      <c r="A43" s="146" t="s">
        <v>423</v>
      </c>
      <c r="B43" s="147">
        <v>50295</v>
      </c>
      <c r="C43" s="147">
        <v>1</v>
      </c>
      <c r="D43" s="149">
        <v>46170</v>
      </c>
      <c r="E43" s="149">
        <v>46175</v>
      </c>
      <c r="F43" s="148" t="s">
        <v>34</v>
      </c>
      <c r="G43" s="148" t="s">
        <v>422</v>
      </c>
      <c r="H43" s="151">
        <v>1</v>
      </c>
      <c r="I43" s="169">
        <v>46183</v>
      </c>
      <c r="J43" s="169">
        <v>46189</v>
      </c>
      <c r="K43" s="168" t="s">
        <v>40</v>
      </c>
      <c r="L43" s="168" t="s">
        <v>422</v>
      </c>
      <c r="M43" s="179">
        <v>0</v>
      </c>
      <c r="N43" s="153">
        <v>46183</v>
      </c>
      <c r="O43" s="153">
        <v>46189</v>
      </c>
      <c r="P43" s="152" t="s">
        <v>40</v>
      </c>
      <c r="Q43" s="152" t="s">
        <v>422</v>
      </c>
      <c r="R43" s="155">
        <v>0</v>
      </c>
      <c r="S43" s="157">
        <v>46202</v>
      </c>
      <c r="T43" s="157">
        <v>46208</v>
      </c>
      <c r="U43" s="156" t="s">
        <v>40</v>
      </c>
      <c r="V43" s="156" t="s">
        <v>422</v>
      </c>
      <c r="W43" s="158">
        <v>0</v>
      </c>
      <c r="X43" s="160">
        <v>46215</v>
      </c>
      <c r="Y43" s="160">
        <v>46217</v>
      </c>
      <c r="Z43" s="159" t="s">
        <v>40</v>
      </c>
      <c r="AA43" s="159" t="s">
        <v>422</v>
      </c>
      <c r="AB43" s="161">
        <v>0</v>
      </c>
      <c r="AC43" s="163">
        <v>46218</v>
      </c>
      <c r="AD43" s="163">
        <v>46224</v>
      </c>
      <c r="AE43" s="162" t="s">
        <v>40</v>
      </c>
      <c r="AF43" s="162" t="s">
        <v>422</v>
      </c>
      <c r="AG43" s="164">
        <v>0</v>
      </c>
      <c r="AH43" s="165">
        <v>46231</v>
      </c>
      <c r="AI43" s="165">
        <v>46233</v>
      </c>
      <c r="AJ43" s="166" t="s">
        <v>165</v>
      </c>
      <c r="AK43" s="166" t="s">
        <v>422</v>
      </c>
      <c r="AL43" s="167">
        <v>0</v>
      </c>
      <c r="AM43" s="169">
        <v>46332</v>
      </c>
      <c r="AN43" s="169">
        <v>46338</v>
      </c>
      <c r="AO43" s="168" t="s">
        <v>40</v>
      </c>
      <c r="AP43" s="170">
        <v>0</v>
      </c>
      <c r="AQ43"/>
    </row>
    <row r="44" spans="1:43">
      <c r="A44" s="146" t="s">
        <v>423</v>
      </c>
      <c r="B44" s="147">
        <v>50300</v>
      </c>
      <c r="C44" s="147">
        <v>1</v>
      </c>
      <c r="D44" s="149">
        <v>46170</v>
      </c>
      <c r="E44" s="149">
        <v>46175</v>
      </c>
      <c r="F44" s="148" t="s">
        <v>34</v>
      </c>
      <c r="G44" s="148" t="s">
        <v>422</v>
      </c>
      <c r="H44" s="151">
        <v>1</v>
      </c>
      <c r="I44" s="169">
        <v>46183</v>
      </c>
      <c r="J44" s="169">
        <v>46189</v>
      </c>
      <c r="K44" s="168" t="s">
        <v>40</v>
      </c>
      <c r="L44" s="168" t="s">
        <v>422</v>
      </c>
      <c r="M44" s="179">
        <v>0</v>
      </c>
      <c r="N44" s="153">
        <v>46183</v>
      </c>
      <c r="O44" s="153">
        <v>46189</v>
      </c>
      <c r="P44" s="152" t="s">
        <v>40</v>
      </c>
      <c r="Q44" s="152" t="s">
        <v>422</v>
      </c>
      <c r="R44" s="155">
        <v>0</v>
      </c>
      <c r="S44" s="157">
        <v>46202</v>
      </c>
      <c r="T44" s="157">
        <v>46208</v>
      </c>
      <c r="U44" s="156" t="s">
        <v>40</v>
      </c>
      <c r="V44" s="156" t="s">
        <v>422</v>
      </c>
      <c r="W44" s="158">
        <v>0</v>
      </c>
      <c r="X44" s="160">
        <v>46215</v>
      </c>
      <c r="Y44" s="160">
        <v>46217</v>
      </c>
      <c r="Z44" s="159" t="s">
        <v>40</v>
      </c>
      <c r="AA44" s="159" t="s">
        <v>422</v>
      </c>
      <c r="AB44" s="161">
        <v>0</v>
      </c>
      <c r="AC44" s="163">
        <v>46218</v>
      </c>
      <c r="AD44" s="163">
        <v>46224</v>
      </c>
      <c r="AE44" s="162" t="s">
        <v>40</v>
      </c>
      <c r="AF44" s="162" t="s">
        <v>422</v>
      </c>
      <c r="AG44" s="164">
        <v>0</v>
      </c>
      <c r="AH44" s="165">
        <v>46231</v>
      </c>
      <c r="AI44" s="165">
        <v>46233</v>
      </c>
      <c r="AJ44" s="166" t="s">
        <v>165</v>
      </c>
      <c r="AK44" s="166" t="s">
        <v>422</v>
      </c>
      <c r="AL44" s="167">
        <v>0</v>
      </c>
      <c r="AM44" s="169">
        <v>46332</v>
      </c>
      <c r="AN44" s="169">
        <v>46338</v>
      </c>
      <c r="AO44" s="168" t="s">
        <v>40</v>
      </c>
      <c r="AP44" s="170">
        <v>0</v>
      </c>
      <c r="AQ44"/>
    </row>
    <row r="45" spans="1:43">
      <c r="A45" s="146" t="s">
        <v>423</v>
      </c>
      <c r="B45" s="147">
        <v>50305</v>
      </c>
      <c r="C45" s="147">
        <v>1</v>
      </c>
      <c r="D45" s="149">
        <v>46170</v>
      </c>
      <c r="E45" s="149">
        <v>46175</v>
      </c>
      <c r="F45" s="148" t="s">
        <v>34</v>
      </c>
      <c r="G45" s="148" t="s">
        <v>422</v>
      </c>
      <c r="H45" s="151">
        <v>1</v>
      </c>
      <c r="I45" s="169">
        <v>46183</v>
      </c>
      <c r="J45" s="169">
        <v>46189</v>
      </c>
      <c r="K45" s="168" t="s">
        <v>232</v>
      </c>
      <c r="L45" s="168" t="s">
        <v>422</v>
      </c>
      <c r="M45" s="179">
        <v>0.8</v>
      </c>
      <c r="N45" s="153">
        <v>46183</v>
      </c>
      <c r="O45" s="153">
        <v>46189</v>
      </c>
      <c r="P45" s="152" t="s">
        <v>232</v>
      </c>
      <c r="Q45" s="152" t="s">
        <v>422</v>
      </c>
      <c r="R45" s="155">
        <v>0.8</v>
      </c>
      <c r="S45" s="157">
        <v>46202</v>
      </c>
      <c r="T45" s="157">
        <v>46208</v>
      </c>
      <c r="U45" s="156" t="s">
        <v>40</v>
      </c>
      <c r="V45" s="156"/>
      <c r="W45" s="158">
        <v>0.8</v>
      </c>
      <c r="X45" s="160">
        <v>46215</v>
      </c>
      <c r="Y45" s="160">
        <v>46217</v>
      </c>
      <c r="Z45" s="159" t="s">
        <v>232</v>
      </c>
      <c r="AA45" s="159" t="s">
        <v>422</v>
      </c>
      <c r="AB45" s="161">
        <v>1</v>
      </c>
      <c r="AC45" s="163">
        <v>46218</v>
      </c>
      <c r="AD45" s="163">
        <v>46224</v>
      </c>
      <c r="AE45" s="162" t="s">
        <v>232</v>
      </c>
      <c r="AF45" s="162" t="s">
        <v>422</v>
      </c>
      <c r="AG45" s="164">
        <v>0.8</v>
      </c>
      <c r="AH45" s="165">
        <v>46231</v>
      </c>
      <c r="AI45" s="165">
        <v>46233</v>
      </c>
      <c r="AJ45" s="166" t="s">
        <v>165</v>
      </c>
      <c r="AK45" s="166" t="s">
        <v>422</v>
      </c>
      <c r="AL45" s="167">
        <v>0</v>
      </c>
      <c r="AM45" s="169">
        <v>46332</v>
      </c>
      <c r="AN45" s="169">
        <v>46338</v>
      </c>
      <c r="AO45" s="168" t="s">
        <v>40</v>
      </c>
      <c r="AP45" s="170">
        <v>0</v>
      </c>
      <c r="AQ45"/>
    </row>
    <row r="46" spans="1:43">
      <c r="A46" s="146" t="s">
        <v>423</v>
      </c>
      <c r="B46" s="147">
        <v>50310</v>
      </c>
      <c r="C46" s="147">
        <v>1</v>
      </c>
      <c r="D46" s="149">
        <v>46170</v>
      </c>
      <c r="E46" s="149">
        <v>46175</v>
      </c>
      <c r="F46" s="148" t="s">
        <v>34</v>
      </c>
      <c r="G46" s="148" t="s">
        <v>422</v>
      </c>
      <c r="H46" s="151">
        <v>1</v>
      </c>
      <c r="I46" s="169">
        <v>46183</v>
      </c>
      <c r="J46" s="169">
        <v>46189</v>
      </c>
      <c r="K46" s="168" t="s">
        <v>34</v>
      </c>
      <c r="L46" s="168" t="s">
        <v>422</v>
      </c>
      <c r="M46" s="179">
        <v>1</v>
      </c>
      <c r="N46" s="153">
        <v>46183</v>
      </c>
      <c r="O46" s="153">
        <v>46189</v>
      </c>
      <c r="P46" s="152" t="s">
        <v>34</v>
      </c>
      <c r="Q46" s="152" t="s">
        <v>422</v>
      </c>
      <c r="R46" s="155">
        <v>1</v>
      </c>
      <c r="S46" s="157">
        <v>46202</v>
      </c>
      <c r="T46" s="157">
        <v>46208</v>
      </c>
      <c r="U46" s="156" t="s">
        <v>34</v>
      </c>
      <c r="V46" s="156" t="s">
        <v>422</v>
      </c>
      <c r="W46" s="158">
        <v>1</v>
      </c>
      <c r="X46" s="160">
        <v>46215</v>
      </c>
      <c r="Y46" s="160">
        <v>46217</v>
      </c>
      <c r="Z46" s="159" t="s">
        <v>34</v>
      </c>
      <c r="AA46" s="159" t="s">
        <v>422</v>
      </c>
      <c r="AB46" s="161">
        <v>0</v>
      </c>
      <c r="AC46" s="163">
        <v>46218</v>
      </c>
      <c r="AD46" s="163">
        <v>46224</v>
      </c>
      <c r="AE46" s="162" t="s">
        <v>34</v>
      </c>
      <c r="AF46" s="162" t="s">
        <v>422</v>
      </c>
      <c r="AG46" s="164">
        <v>0.7</v>
      </c>
      <c r="AH46" s="165">
        <v>46231</v>
      </c>
      <c r="AI46" s="165">
        <v>46233</v>
      </c>
      <c r="AJ46" s="166" t="s">
        <v>165</v>
      </c>
      <c r="AK46" s="166" t="s">
        <v>422</v>
      </c>
      <c r="AL46" s="167">
        <v>0</v>
      </c>
      <c r="AM46" s="169">
        <v>46332</v>
      </c>
      <c r="AN46" s="169">
        <v>46338</v>
      </c>
      <c r="AO46" s="168" t="s">
        <v>40</v>
      </c>
      <c r="AP46" s="170">
        <v>0</v>
      </c>
      <c r="AQ46"/>
    </row>
    <row r="47" spans="1:43">
      <c r="A47" s="146" t="s">
        <v>423</v>
      </c>
      <c r="B47" s="147">
        <v>50315</v>
      </c>
      <c r="C47" s="147">
        <v>1</v>
      </c>
      <c r="D47" s="149">
        <v>46170</v>
      </c>
      <c r="E47" s="149">
        <v>46175</v>
      </c>
      <c r="F47" s="148" t="s">
        <v>34</v>
      </c>
      <c r="G47" s="148" t="s">
        <v>422</v>
      </c>
      <c r="H47" s="151">
        <v>1</v>
      </c>
      <c r="I47" s="169">
        <v>46183</v>
      </c>
      <c r="J47" s="169">
        <v>46189</v>
      </c>
      <c r="K47" s="168" t="s">
        <v>34</v>
      </c>
      <c r="L47" s="168" t="s">
        <v>422</v>
      </c>
      <c r="M47" s="179">
        <v>1</v>
      </c>
      <c r="N47" s="153">
        <v>46183</v>
      </c>
      <c r="O47" s="153">
        <v>46189</v>
      </c>
      <c r="P47" s="152" t="s">
        <v>34</v>
      </c>
      <c r="Q47" s="152" t="s">
        <v>422</v>
      </c>
      <c r="R47" s="155">
        <v>1</v>
      </c>
      <c r="S47" s="157">
        <v>46202</v>
      </c>
      <c r="T47" s="157">
        <v>46208</v>
      </c>
      <c r="U47" s="156" t="s">
        <v>34</v>
      </c>
      <c r="V47" s="156" t="s">
        <v>422</v>
      </c>
      <c r="W47" s="158">
        <v>1</v>
      </c>
      <c r="X47" s="160">
        <v>46215</v>
      </c>
      <c r="Y47" s="160">
        <v>46217</v>
      </c>
      <c r="Z47" s="159" t="s">
        <v>40</v>
      </c>
      <c r="AA47" s="159" t="s">
        <v>426</v>
      </c>
      <c r="AB47" s="161">
        <v>0</v>
      </c>
      <c r="AC47" s="163">
        <v>46218</v>
      </c>
      <c r="AD47" s="163">
        <v>46224</v>
      </c>
      <c r="AE47" s="162" t="s">
        <v>34</v>
      </c>
      <c r="AF47" s="162" t="s">
        <v>422</v>
      </c>
      <c r="AG47" s="164">
        <v>0.7</v>
      </c>
      <c r="AH47" s="165">
        <v>46231</v>
      </c>
      <c r="AI47" s="165">
        <v>46233</v>
      </c>
      <c r="AJ47" s="166" t="s">
        <v>165</v>
      </c>
      <c r="AK47" s="166" t="s">
        <v>422</v>
      </c>
      <c r="AL47" s="167">
        <v>0</v>
      </c>
      <c r="AM47" s="169">
        <v>46332</v>
      </c>
      <c r="AN47" s="169">
        <v>46338</v>
      </c>
      <c r="AO47" s="168" t="s">
        <v>40</v>
      </c>
      <c r="AP47" s="170">
        <v>0</v>
      </c>
      <c r="AQ47"/>
    </row>
    <row r="48" spans="1:43">
      <c r="A48" s="146" t="s">
        <v>423</v>
      </c>
      <c r="B48" s="147">
        <v>50320</v>
      </c>
      <c r="C48" s="147">
        <v>1</v>
      </c>
      <c r="D48" s="149">
        <v>46170</v>
      </c>
      <c r="E48" s="149">
        <v>46175</v>
      </c>
      <c r="F48" s="148" t="s">
        <v>34</v>
      </c>
      <c r="G48" s="148" t="s">
        <v>422</v>
      </c>
      <c r="H48" s="151">
        <v>1</v>
      </c>
      <c r="I48" s="169">
        <v>46183</v>
      </c>
      <c r="J48" s="169">
        <v>46189</v>
      </c>
      <c r="K48" s="168" t="s">
        <v>34</v>
      </c>
      <c r="L48" s="168" t="s">
        <v>422</v>
      </c>
      <c r="M48" s="179">
        <v>1</v>
      </c>
      <c r="N48" s="153">
        <v>46183</v>
      </c>
      <c r="O48" s="153">
        <v>46189</v>
      </c>
      <c r="P48" s="152" t="s">
        <v>34</v>
      </c>
      <c r="Q48" s="152" t="s">
        <v>422</v>
      </c>
      <c r="R48" s="155">
        <v>1</v>
      </c>
      <c r="S48" s="157">
        <v>46202</v>
      </c>
      <c r="T48" s="157">
        <v>46208</v>
      </c>
      <c r="U48" s="156" t="s">
        <v>34</v>
      </c>
      <c r="V48" s="156" t="s">
        <v>422</v>
      </c>
      <c r="W48" s="158">
        <v>1</v>
      </c>
      <c r="X48" s="160">
        <v>46215</v>
      </c>
      <c r="Y48" s="160">
        <v>46217</v>
      </c>
      <c r="Z48" s="159" t="s">
        <v>34</v>
      </c>
      <c r="AA48" s="159" t="s">
        <v>422</v>
      </c>
      <c r="AB48" s="161">
        <v>1</v>
      </c>
      <c r="AC48" s="163">
        <v>46218</v>
      </c>
      <c r="AD48" s="163">
        <v>46224</v>
      </c>
      <c r="AE48" s="162" t="s">
        <v>34</v>
      </c>
      <c r="AF48" s="162" t="s">
        <v>422</v>
      </c>
      <c r="AG48" s="164">
        <v>1</v>
      </c>
      <c r="AH48" s="165">
        <v>46231</v>
      </c>
      <c r="AI48" s="165">
        <v>46233</v>
      </c>
      <c r="AJ48" s="166" t="s">
        <v>165</v>
      </c>
      <c r="AK48" s="166" t="s">
        <v>422</v>
      </c>
      <c r="AL48" s="167">
        <v>0</v>
      </c>
      <c r="AM48" s="169">
        <v>46332</v>
      </c>
      <c r="AN48" s="169">
        <v>46338</v>
      </c>
      <c r="AO48" s="168" t="s">
        <v>40</v>
      </c>
      <c r="AP48" s="170">
        <v>0</v>
      </c>
      <c r="AQ48"/>
    </row>
    <row r="49" spans="1:43">
      <c r="A49" s="146" t="s">
        <v>423</v>
      </c>
      <c r="B49" s="147">
        <v>50325</v>
      </c>
      <c r="C49" s="147">
        <v>1</v>
      </c>
      <c r="D49" s="149">
        <v>46170</v>
      </c>
      <c r="E49" s="149">
        <v>46175</v>
      </c>
      <c r="F49" s="148" t="s">
        <v>34</v>
      </c>
      <c r="G49" s="148" t="s">
        <v>422</v>
      </c>
      <c r="H49" s="151">
        <v>1</v>
      </c>
      <c r="I49" s="169">
        <v>46183</v>
      </c>
      <c r="J49" s="169">
        <v>46189</v>
      </c>
      <c r="K49" s="168" t="s">
        <v>34</v>
      </c>
      <c r="L49" s="168" t="s">
        <v>422</v>
      </c>
      <c r="M49" s="179">
        <v>1</v>
      </c>
      <c r="N49" s="153">
        <v>46183</v>
      </c>
      <c r="O49" s="153">
        <v>46189</v>
      </c>
      <c r="P49" s="152" t="s">
        <v>34</v>
      </c>
      <c r="Q49" s="152" t="s">
        <v>422</v>
      </c>
      <c r="R49" s="155">
        <v>1</v>
      </c>
      <c r="S49" s="157">
        <v>46202</v>
      </c>
      <c r="T49" s="157">
        <v>46208</v>
      </c>
      <c r="U49" s="156" t="s">
        <v>34</v>
      </c>
      <c r="V49" s="156" t="s">
        <v>422</v>
      </c>
      <c r="W49" s="158">
        <v>1</v>
      </c>
      <c r="X49" s="160">
        <v>46215</v>
      </c>
      <c r="Y49" s="160">
        <v>46217</v>
      </c>
      <c r="Z49" s="159" t="s">
        <v>34</v>
      </c>
      <c r="AA49" s="159" t="s">
        <v>422</v>
      </c>
      <c r="AB49" s="161">
        <v>1</v>
      </c>
      <c r="AC49" s="163">
        <v>46218</v>
      </c>
      <c r="AD49" s="163">
        <v>46224</v>
      </c>
      <c r="AE49" s="162" t="s">
        <v>34</v>
      </c>
      <c r="AF49" s="162" t="s">
        <v>422</v>
      </c>
      <c r="AG49" s="164">
        <v>1</v>
      </c>
      <c r="AH49" s="165">
        <v>46231</v>
      </c>
      <c r="AI49" s="165">
        <v>46233</v>
      </c>
      <c r="AJ49" s="166" t="s">
        <v>165</v>
      </c>
      <c r="AK49" s="166" t="s">
        <v>422</v>
      </c>
      <c r="AL49" s="167">
        <v>0</v>
      </c>
      <c r="AM49" s="169">
        <v>46332</v>
      </c>
      <c r="AN49" s="169">
        <v>46338</v>
      </c>
      <c r="AO49" s="168" t="s">
        <v>40</v>
      </c>
      <c r="AP49" s="170">
        <v>0</v>
      </c>
      <c r="AQ49"/>
    </row>
    <row r="50" spans="1:43" ht="15">
      <c r="A50" s="146" t="s">
        <v>423</v>
      </c>
      <c r="B50" s="147">
        <v>50330</v>
      </c>
      <c r="C50" s="147">
        <v>1</v>
      </c>
      <c r="D50" s="149">
        <v>46170</v>
      </c>
      <c r="E50" s="149">
        <v>46175</v>
      </c>
      <c r="F50" s="148" t="s">
        <v>34</v>
      </c>
      <c r="G50" s="382" t="s">
        <v>434</v>
      </c>
      <c r="H50" s="151">
        <v>1</v>
      </c>
      <c r="I50" s="169">
        <v>46183</v>
      </c>
      <c r="J50" s="169">
        <v>46189</v>
      </c>
      <c r="K50" s="168" t="s">
        <v>34</v>
      </c>
      <c r="L50" s="168" t="s">
        <v>422</v>
      </c>
      <c r="M50" s="179">
        <v>1</v>
      </c>
      <c r="N50" s="153">
        <v>46183</v>
      </c>
      <c r="O50" s="153">
        <v>46189</v>
      </c>
      <c r="P50" s="152" t="s">
        <v>34</v>
      </c>
      <c r="Q50" s="152" t="s">
        <v>422</v>
      </c>
      <c r="R50" s="155">
        <v>1</v>
      </c>
      <c r="S50" s="157">
        <v>46202</v>
      </c>
      <c r="T50" s="157">
        <v>46208</v>
      </c>
      <c r="U50" s="156" t="s">
        <v>34</v>
      </c>
      <c r="V50" s="156" t="s">
        <v>422</v>
      </c>
      <c r="W50" s="158">
        <v>1</v>
      </c>
      <c r="X50" s="160">
        <v>46215</v>
      </c>
      <c r="Y50" s="160">
        <v>46217</v>
      </c>
      <c r="Z50" s="159" t="s">
        <v>34</v>
      </c>
      <c r="AA50" s="159" t="s">
        <v>422</v>
      </c>
      <c r="AB50" s="161">
        <v>1</v>
      </c>
      <c r="AC50" s="163">
        <v>46218</v>
      </c>
      <c r="AD50" s="163">
        <v>46224</v>
      </c>
      <c r="AE50" s="162" t="s">
        <v>34</v>
      </c>
      <c r="AF50" s="162" t="s">
        <v>422</v>
      </c>
      <c r="AG50" s="164">
        <v>1</v>
      </c>
      <c r="AH50" s="165">
        <v>46231</v>
      </c>
      <c r="AI50" s="165">
        <v>46233</v>
      </c>
      <c r="AJ50" s="166" t="s">
        <v>165</v>
      </c>
      <c r="AK50" s="166" t="s">
        <v>422</v>
      </c>
      <c r="AL50" s="167">
        <v>0</v>
      </c>
      <c r="AM50" s="169">
        <v>46332</v>
      </c>
      <c r="AN50" s="169">
        <v>46338</v>
      </c>
      <c r="AO50" s="168" t="s">
        <v>40</v>
      </c>
      <c r="AP50" s="170">
        <v>0</v>
      </c>
      <c r="AQ50"/>
    </row>
    <row r="51" spans="1:43">
      <c r="A51" s="146" t="s">
        <v>423</v>
      </c>
      <c r="B51" s="147">
        <v>50405</v>
      </c>
      <c r="C51" s="147">
        <v>1</v>
      </c>
      <c r="D51" s="149">
        <v>46170</v>
      </c>
      <c r="E51" s="149">
        <v>46175</v>
      </c>
      <c r="F51" s="148" t="s">
        <v>34</v>
      </c>
      <c r="G51" s="148" t="s">
        <v>435</v>
      </c>
      <c r="H51" s="151">
        <v>0.95</v>
      </c>
      <c r="I51" s="169">
        <v>46183</v>
      </c>
      <c r="J51" s="169">
        <v>46189</v>
      </c>
      <c r="K51" s="168" t="s">
        <v>40</v>
      </c>
      <c r="L51" s="168" t="s">
        <v>422</v>
      </c>
      <c r="M51" s="179">
        <v>0</v>
      </c>
      <c r="N51" s="153">
        <v>46183</v>
      </c>
      <c r="O51" s="153">
        <v>46189</v>
      </c>
      <c r="P51" s="152" t="s">
        <v>40</v>
      </c>
      <c r="Q51" s="152" t="s">
        <v>422</v>
      </c>
      <c r="R51" s="155">
        <v>0</v>
      </c>
      <c r="S51" s="157">
        <v>46202</v>
      </c>
      <c r="T51" s="157">
        <v>46208</v>
      </c>
      <c r="U51" s="156" t="s">
        <v>34</v>
      </c>
      <c r="V51" s="156" t="s">
        <v>422</v>
      </c>
      <c r="W51" s="158">
        <v>0.8</v>
      </c>
      <c r="X51" s="160">
        <v>46215</v>
      </c>
      <c r="Y51" s="160">
        <v>46217</v>
      </c>
      <c r="Z51" s="159" t="s">
        <v>40</v>
      </c>
      <c r="AA51" s="159" t="s">
        <v>426</v>
      </c>
      <c r="AB51" s="161">
        <v>0</v>
      </c>
      <c r="AC51" s="163">
        <v>46218</v>
      </c>
      <c r="AD51" s="163">
        <v>46224</v>
      </c>
      <c r="AE51" s="162" t="s">
        <v>34</v>
      </c>
      <c r="AF51" s="162" t="s">
        <v>422</v>
      </c>
      <c r="AG51" s="164">
        <v>1</v>
      </c>
      <c r="AH51" s="165">
        <v>46231</v>
      </c>
      <c r="AI51" s="165">
        <v>46233</v>
      </c>
      <c r="AJ51" s="166" t="s">
        <v>165</v>
      </c>
      <c r="AK51" s="166" t="s">
        <v>422</v>
      </c>
      <c r="AL51" s="167">
        <v>0</v>
      </c>
      <c r="AM51" s="169">
        <v>46332</v>
      </c>
      <c r="AN51" s="169">
        <v>46338</v>
      </c>
      <c r="AO51" s="168" t="s">
        <v>40</v>
      </c>
      <c r="AP51" s="170">
        <v>0</v>
      </c>
      <c r="AQ51"/>
    </row>
    <row r="52" spans="1:43" ht="15">
      <c r="A52" s="146" t="s">
        <v>423</v>
      </c>
      <c r="B52" s="147">
        <v>50415</v>
      </c>
      <c r="C52" s="147">
        <v>709</v>
      </c>
      <c r="D52" s="149">
        <v>46170</v>
      </c>
      <c r="E52" s="149">
        <v>46175</v>
      </c>
      <c r="F52" s="148" t="s">
        <v>34</v>
      </c>
      <c r="G52" s="382"/>
      <c r="H52" s="151">
        <v>1</v>
      </c>
      <c r="I52" s="169">
        <v>46183</v>
      </c>
      <c r="J52" s="169">
        <v>46189</v>
      </c>
      <c r="K52" s="168" t="s">
        <v>34</v>
      </c>
      <c r="L52" s="168" t="s">
        <v>422</v>
      </c>
      <c r="M52" s="179">
        <v>1</v>
      </c>
      <c r="N52" s="153">
        <v>46183</v>
      </c>
      <c r="O52" s="153">
        <v>46189</v>
      </c>
      <c r="P52" s="152" t="s">
        <v>34</v>
      </c>
      <c r="Q52" s="152" t="s">
        <v>422</v>
      </c>
      <c r="R52" s="155">
        <v>1</v>
      </c>
      <c r="S52" s="157">
        <v>46202</v>
      </c>
      <c r="T52" s="157">
        <v>46208</v>
      </c>
      <c r="U52" s="156" t="s">
        <v>40</v>
      </c>
      <c r="V52" s="156" t="s">
        <v>426</v>
      </c>
      <c r="W52" s="158">
        <v>0</v>
      </c>
      <c r="X52" s="160">
        <v>46215</v>
      </c>
      <c r="Y52" s="160">
        <v>46217</v>
      </c>
      <c r="Z52" s="159" t="s">
        <v>34</v>
      </c>
      <c r="AA52" s="159" t="s">
        <v>422</v>
      </c>
      <c r="AB52" s="161">
        <v>1</v>
      </c>
      <c r="AC52" s="163">
        <v>46218</v>
      </c>
      <c r="AD52" s="163">
        <v>46224</v>
      </c>
      <c r="AE52" s="162" t="s">
        <v>34</v>
      </c>
      <c r="AF52" s="162" t="s">
        <v>422</v>
      </c>
      <c r="AG52" s="164">
        <v>1</v>
      </c>
      <c r="AH52" s="165">
        <v>46231</v>
      </c>
      <c r="AI52" s="165">
        <v>46233</v>
      </c>
      <c r="AJ52" s="166" t="s">
        <v>165</v>
      </c>
      <c r="AK52" s="166" t="s">
        <v>422</v>
      </c>
      <c r="AL52" s="167">
        <v>0</v>
      </c>
      <c r="AM52" s="169">
        <v>46332</v>
      </c>
      <c r="AN52" s="169">
        <v>46338</v>
      </c>
      <c r="AO52" s="168" t="s">
        <v>40</v>
      </c>
      <c r="AP52" s="170">
        <v>0</v>
      </c>
      <c r="AQ52"/>
    </row>
    <row r="53" spans="1:43" ht="15">
      <c r="A53" s="146" t="s">
        <v>423</v>
      </c>
      <c r="B53" s="147">
        <v>50420</v>
      </c>
      <c r="C53" s="147">
        <v>649</v>
      </c>
      <c r="D53" s="149">
        <v>46170</v>
      </c>
      <c r="E53" s="149">
        <v>46175</v>
      </c>
      <c r="F53" s="148" t="s">
        <v>34</v>
      </c>
      <c r="G53" s="382"/>
      <c r="H53" s="151">
        <v>1</v>
      </c>
      <c r="I53" s="169">
        <v>46183</v>
      </c>
      <c r="J53" s="169">
        <v>46189</v>
      </c>
      <c r="K53" s="168" t="s">
        <v>34</v>
      </c>
      <c r="L53" s="168" t="s">
        <v>422</v>
      </c>
      <c r="M53" s="179">
        <v>1</v>
      </c>
      <c r="N53" s="153">
        <v>46183</v>
      </c>
      <c r="O53" s="153">
        <v>46189</v>
      </c>
      <c r="P53" s="152" t="s">
        <v>34</v>
      </c>
      <c r="Q53" s="152" t="s">
        <v>422</v>
      </c>
      <c r="R53" s="155">
        <v>1</v>
      </c>
      <c r="S53" s="157">
        <v>46202</v>
      </c>
      <c r="T53" s="157">
        <v>46208</v>
      </c>
      <c r="U53" s="156" t="s">
        <v>40</v>
      </c>
      <c r="V53" s="156" t="s">
        <v>426</v>
      </c>
      <c r="W53" s="158">
        <v>0</v>
      </c>
      <c r="X53" s="160">
        <v>46215</v>
      </c>
      <c r="Y53" s="160">
        <v>46217</v>
      </c>
      <c r="Z53" s="159" t="s">
        <v>34</v>
      </c>
      <c r="AA53" s="159" t="s">
        <v>422</v>
      </c>
      <c r="AB53" s="161">
        <v>1</v>
      </c>
      <c r="AC53" s="163">
        <v>46218</v>
      </c>
      <c r="AD53" s="163">
        <v>46224</v>
      </c>
      <c r="AE53" s="162" t="s">
        <v>34</v>
      </c>
      <c r="AF53" s="162" t="s">
        <v>422</v>
      </c>
      <c r="AG53" s="164">
        <v>1</v>
      </c>
      <c r="AH53" s="165">
        <v>46231</v>
      </c>
      <c r="AI53" s="165">
        <v>46233</v>
      </c>
      <c r="AJ53" s="166" t="s">
        <v>165</v>
      </c>
      <c r="AK53" s="166" t="s">
        <v>422</v>
      </c>
      <c r="AL53" s="167">
        <v>0</v>
      </c>
      <c r="AM53" s="169">
        <v>46332</v>
      </c>
      <c r="AN53" s="169">
        <v>46338</v>
      </c>
      <c r="AO53" s="168" t="s">
        <v>40</v>
      </c>
      <c r="AP53" s="170">
        <v>0</v>
      </c>
      <c r="AQ53"/>
    </row>
    <row r="54" spans="1:43" ht="15">
      <c r="A54" s="146"/>
      <c r="B54" s="147"/>
      <c r="C54" s="147">
        <v>1</v>
      </c>
      <c r="D54" s="149"/>
      <c r="E54" s="149"/>
      <c r="F54" s="148"/>
      <c r="G54" s="382">
        <v>84296200</v>
      </c>
      <c r="H54" s="151"/>
      <c r="I54" s="169"/>
      <c r="J54" s="169"/>
      <c r="K54" s="168"/>
      <c r="L54" s="168"/>
      <c r="M54" s="179"/>
      <c r="N54" s="153"/>
      <c r="O54" s="153"/>
      <c r="P54" s="152"/>
      <c r="Q54" s="152"/>
      <c r="R54" s="155"/>
      <c r="S54" s="157"/>
      <c r="T54" s="157"/>
      <c r="U54" s="156"/>
      <c r="V54" s="156"/>
      <c r="W54" s="158"/>
      <c r="X54" s="160"/>
      <c r="Y54" s="160"/>
      <c r="Z54" s="159"/>
      <c r="AA54" s="159"/>
      <c r="AB54" s="161"/>
      <c r="AC54" s="163"/>
      <c r="AD54" s="163"/>
      <c r="AE54" s="162"/>
      <c r="AF54" s="162"/>
      <c r="AG54" s="164"/>
      <c r="AH54" s="165"/>
      <c r="AI54" s="165"/>
      <c r="AJ54" s="166"/>
      <c r="AK54" s="166"/>
      <c r="AL54" s="167"/>
      <c r="AM54" s="169"/>
      <c r="AN54" s="169"/>
      <c r="AO54" s="168"/>
      <c r="AP54" s="170"/>
      <c r="AQ54"/>
    </row>
    <row r="55" spans="1:43">
      <c r="A55" s="146" t="s">
        <v>423</v>
      </c>
      <c r="B55" s="147">
        <v>50435</v>
      </c>
      <c r="C55" s="147">
        <v>1</v>
      </c>
      <c r="D55" s="149">
        <v>46170</v>
      </c>
      <c r="E55" s="149">
        <v>46175</v>
      </c>
      <c r="F55" s="148" t="s">
        <v>34</v>
      </c>
      <c r="G55" s="148" t="s">
        <v>422</v>
      </c>
      <c r="H55" s="151">
        <v>1</v>
      </c>
      <c r="I55" s="169">
        <v>46183</v>
      </c>
      <c r="J55" s="169">
        <v>46189</v>
      </c>
      <c r="K55" s="168" t="s">
        <v>34</v>
      </c>
      <c r="L55" s="168" t="s">
        <v>422</v>
      </c>
      <c r="M55" s="179">
        <v>1</v>
      </c>
      <c r="N55" s="153">
        <v>46183</v>
      </c>
      <c r="O55" s="153">
        <v>46189</v>
      </c>
      <c r="P55" s="152" t="s">
        <v>34</v>
      </c>
      <c r="Q55" s="152" t="s">
        <v>422</v>
      </c>
      <c r="R55" s="155">
        <v>1</v>
      </c>
      <c r="S55" s="157">
        <v>46202</v>
      </c>
      <c r="T55" s="157">
        <v>46208</v>
      </c>
      <c r="U55" s="156" t="s">
        <v>34</v>
      </c>
      <c r="V55" s="156" t="s">
        <v>422</v>
      </c>
      <c r="W55" s="158">
        <v>0</v>
      </c>
      <c r="X55" s="160">
        <v>46215</v>
      </c>
      <c r="Y55" s="160">
        <v>46217</v>
      </c>
      <c r="Z55" s="159" t="s">
        <v>34</v>
      </c>
      <c r="AA55" s="159" t="s">
        <v>433</v>
      </c>
      <c r="AB55" s="161">
        <v>1</v>
      </c>
      <c r="AC55" s="163">
        <v>46218</v>
      </c>
      <c r="AD55" s="163">
        <v>46224</v>
      </c>
      <c r="AE55" s="162" t="s">
        <v>40</v>
      </c>
      <c r="AF55" s="162" t="s">
        <v>422</v>
      </c>
      <c r="AG55" s="164">
        <v>1</v>
      </c>
      <c r="AH55" s="165">
        <v>46231</v>
      </c>
      <c r="AI55" s="165">
        <v>46233</v>
      </c>
      <c r="AJ55" s="166" t="s">
        <v>165</v>
      </c>
      <c r="AK55" s="166" t="s">
        <v>422</v>
      </c>
      <c r="AL55" s="167">
        <v>0</v>
      </c>
      <c r="AM55" s="169">
        <v>46332</v>
      </c>
      <c r="AN55" s="169">
        <v>46338</v>
      </c>
      <c r="AO55" s="168" t="s">
        <v>40</v>
      </c>
      <c r="AP55" s="170">
        <v>0</v>
      </c>
      <c r="AQ55"/>
    </row>
    <row r="56" spans="1:43">
      <c r="A56" s="146" t="s">
        <v>423</v>
      </c>
      <c r="B56" s="147">
        <v>50440</v>
      </c>
      <c r="C56" s="147">
        <v>1</v>
      </c>
      <c r="D56" s="149">
        <v>46170</v>
      </c>
      <c r="E56" s="149">
        <v>46175</v>
      </c>
      <c r="F56" s="148" t="s">
        <v>34</v>
      </c>
      <c r="G56" s="148" t="s">
        <v>422</v>
      </c>
      <c r="H56" s="151">
        <v>1</v>
      </c>
      <c r="I56" s="169">
        <v>46183</v>
      </c>
      <c r="J56" s="169">
        <v>46189</v>
      </c>
      <c r="K56" s="168" t="s">
        <v>34</v>
      </c>
      <c r="L56" s="168" t="s">
        <v>422</v>
      </c>
      <c r="M56" s="179">
        <v>1</v>
      </c>
      <c r="N56" s="153">
        <v>46183</v>
      </c>
      <c r="O56" s="153">
        <v>46189</v>
      </c>
      <c r="P56" s="152" t="s">
        <v>34</v>
      </c>
      <c r="Q56" s="152" t="s">
        <v>422</v>
      </c>
      <c r="R56" s="155">
        <v>1</v>
      </c>
      <c r="S56" s="157">
        <v>46202</v>
      </c>
      <c r="T56" s="157">
        <v>46208</v>
      </c>
      <c r="U56" s="156" t="s">
        <v>34</v>
      </c>
      <c r="V56" s="156" t="s">
        <v>422</v>
      </c>
      <c r="W56" s="158">
        <v>1</v>
      </c>
      <c r="X56" s="160">
        <v>46215</v>
      </c>
      <c r="Y56" s="160">
        <v>46217</v>
      </c>
      <c r="Z56" s="159" t="s">
        <v>34</v>
      </c>
      <c r="AA56" s="159" t="s">
        <v>433</v>
      </c>
      <c r="AB56" s="161">
        <v>1</v>
      </c>
      <c r="AC56" s="163">
        <v>46218</v>
      </c>
      <c r="AD56" s="163">
        <v>46224</v>
      </c>
      <c r="AE56" s="162" t="s">
        <v>34</v>
      </c>
      <c r="AF56" s="162" t="s">
        <v>422</v>
      </c>
      <c r="AG56" s="164">
        <v>1</v>
      </c>
      <c r="AH56" s="165">
        <v>46231</v>
      </c>
      <c r="AI56" s="165">
        <v>46233</v>
      </c>
      <c r="AJ56" s="166" t="s">
        <v>165</v>
      </c>
      <c r="AK56" s="166" t="s">
        <v>422</v>
      </c>
      <c r="AL56" s="167">
        <v>0</v>
      </c>
      <c r="AM56" s="169">
        <v>46332</v>
      </c>
      <c r="AN56" s="169">
        <v>46338</v>
      </c>
      <c r="AO56" s="168" t="s">
        <v>40</v>
      </c>
      <c r="AP56" s="170">
        <v>0</v>
      </c>
      <c r="AQ56"/>
    </row>
    <row r="57" spans="1:43" ht="15">
      <c r="A57" s="146" t="s">
        <v>423</v>
      </c>
      <c r="B57" s="147">
        <v>50445</v>
      </c>
      <c r="C57" s="147">
        <v>1</v>
      </c>
      <c r="D57" s="149">
        <v>46170</v>
      </c>
      <c r="E57" s="149">
        <v>46175</v>
      </c>
      <c r="F57" s="148" t="s">
        <v>34</v>
      </c>
      <c r="G57" s="382"/>
      <c r="H57" s="151">
        <v>1</v>
      </c>
      <c r="I57" s="169">
        <v>46183</v>
      </c>
      <c r="J57" s="169">
        <v>46189</v>
      </c>
      <c r="K57" s="168" t="s">
        <v>34</v>
      </c>
      <c r="L57" s="168" t="s">
        <v>422</v>
      </c>
      <c r="M57" s="179">
        <v>1</v>
      </c>
      <c r="N57" s="153">
        <v>46183</v>
      </c>
      <c r="O57" s="153">
        <v>46189</v>
      </c>
      <c r="P57" s="152" t="s">
        <v>34</v>
      </c>
      <c r="Q57" s="152" t="s">
        <v>422</v>
      </c>
      <c r="R57" s="155">
        <v>1</v>
      </c>
      <c r="S57" s="157">
        <v>46202</v>
      </c>
      <c r="T57" s="157">
        <v>46208</v>
      </c>
      <c r="U57" s="156" t="s">
        <v>40</v>
      </c>
      <c r="V57" s="156" t="s">
        <v>422</v>
      </c>
      <c r="W57" s="158">
        <v>1</v>
      </c>
      <c r="X57" s="160">
        <v>46215</v>
      </c>
      <c r="Y57" s="160">
        <v>46217</v>
      </c>
      <c r="Z57" s="159" t="s">
        <v>34</v>
      </c>
      <c r="AA57" s="159" t="s">
        <v>422</v>
      </c>
      <c r="AB57" s="161">
        <v>1</v>
      </c>
      <c r="AC57" s="163">
        <v>46218</v>
      </c>
      <c r="AD57" s="163">
        <v>46224</v>
      </c>
      <c r="AE57" s="162" t="s">
        <v>34</v>
      </c>
      <c r="AF57" s="162" t="s">
        <v>422</v>
      </c>
      <c r="AG57" s="164">
        <v>0</v>
      </c>
      <c r="AH57" s="165">
        <v>46231</v>
      </c>
      <c r="AI57" s="165">
        <v>46233</v>
      </c>
      <c r="AJ57" s="166" t="s">
        <v>165</v>
      </c>
      <c r="AK57" s="166" t="s">
        <v>422</v>
      </c>
      <c r="AL57" s="167">
        <v>0</v>
      </c>
      <c r="AM57" s="169">
        <v>46332</v>
      </c>
      <c r="AN57" s="169">
        <v>46338</v>
      </c>
      <c r="AO57" s="168" t="s">
        <v>40</v>
      </c>
      <c r="AP57" s="170">
        <v>0</v>
      </c>
      <c r="AQ57"/>
    </row>
    <row r="58" spans="1:43" ht="15">
      <c r="A58" s="146"/>
      <c r="B58" s="147"/>
      <c r="C58" s="147">
        <v>66</v>
      </c>
      <c r="D58" s="149"/>
      <c r="E58" s="149"/>
      <c r="F58" s="148"/>
      <c r="G58" s="382">
        <v>41026700</v>
      </c>
      <c r="H58" s="151"/>
      <c r="I58" s="169"/>
      <c r="J58" s="169"/>
      <c r="K58" s="168"/>
      <c r="L58" s="168"/>
      <c r="M58" s="179"/>
      <c r="N58" s="153"/>
      <c r="O58" s="153"/>
      <c r="P58" s="152"/>
      <c r="Q58" s="152"/>
      <c r="R58" s="155"/>
      <c r="S58" s="157"/>
      <c r="T58" s="157"/>
      <c r="U58" s="156"/>
      <c r="V58" s="156"/>
      <c r="W58" s="158"/>
      <c r="X58" s="160"/>
      <c r="Y58" s="160"/>
      <c r="Z58" s="159"/>
      <c r="AA58" s="159"/>
      <c r="AB58" s="161"/>
      <c r="AC58" s="163"/>
      <c r="AD58" s="163"/>
      <c r="AE58" s="162"/>
      <c r="AF58" s="162"/>
      <c r="AG58" s="164"/>
      <c r="AH58" s="165"/>
      <c r="AI58" s="165"/>
      <c r="AJ58" s="166"/>
      <c r="AK58" s="166"/>
      <c r="AL58" s="167"/>
      <c r="AM58" s="169"/>
      <c r="AN58" s="169"/>
      <c r="AO58" s="168"/>
      <c r="AP58" s="170"/>
      <c r="AQ58"/>
    </row>
    <row r="59" spans="1:43">
      <c r="A59" s="146" t="s">
        <v>423</v>
      </c>
      <c r="B59" s="147">
        <v>50450</v>
      </c>
      <c r="C59" s="147">
        <v>1</v>
      </c>
      <c r="D59" s="149">
        <v>46170</v>
      </c>
      <c r="E59" s="149">
        <v>46175</v>
      </c>
      <c r="F59" s="148" t="s">
        <v>34</v>
      </c>
      <c r="G59" s="148" t="s">
        <v>422</v>
      </c>
      <c r="H59" s="151">
        <v>1</v>
      </c>
      <c r="I59" s="169">
        <v>46183</v>
      </c>
      <c r="J59" s="169">
        <v>46189</v>
      </c>
      <c r="K59" s="168" t="s">
        <v>34</v>
      </c>
      <c r="L59" s="168" t="s">
        <v>422</v>
      </c>
      <c r="M59" s="179">
        <v>1</v>
      </c>
      <c r="N59" s="153">
        <v>46183</v>
      </c>
      <c r="O59" s="153">
        <v>46189</v>
      </c>
      <c r="P59" s="152" t="s">
        <v>34</v>
      </c>
      <c r="Q59" s="152" t="s">
        <v>422</v>
      </c>
      <c r="R59" s="155">
        <v>1</v>
      </c>
      <c r="S59" s="157">
        <v>46202</v>
      </c>
      <c r="T59" s="157">
        <v>46208</v>
      </c>
      <c r="U59" s="156" t="s">
        <v>34</v>
      </c>
      <c r="V59" s="156" t="s">
        <v>422</v>
      </c>
      <c r="W59" s="158">
        <v>1</v>
      </c>
      <c r="X59" s="160">
        <v>46215</v>
      </c>
      <c r="Y59" s="160">
        <v>46217</v>
      </c>
      <c r="Z59" s="159" t="s">
        <v>34</v>
      </c>
      <c r="AA59" s="159" t="s">
        <v>422</v>
      </c>
      <c r="AB59" s="161">
        <v>1</v>
      </c>
      <c r="AC59" s="163">
        <v>46218</v>
      </c>
      <c r="AD59" s="163">
        <v>46224</v>
      </c>
      <c r="AE59" s="162" t="s">
        <v>34</v>
      </c>
      <c r="AF59" s="162" t="s">
        <v>422</v>
      </c>
      <c r="AG59" s="164">
        <v>1</v>
      </c>
      <c r="AH59" s="165">
        <v>46231</v>
      </c>
      <c r="AI59" s="165">
        <v>46233</v>
      </c>
      <c r="AJ59" s="166" t="s">
        <v>165</v>
      </c>
      <c r="AK59" s="166" t="s">
        <v>422</v>
      </c>
      <c r="AL59" s="167">
        <v>0</v>
      </c>
      <c r="AM59" s="169">
        <v>46332</v>
      </c>
      <c r="AN59" s="169">
        <v>46338</v>
      </c>
      <c r="AO59" s="168" t="s">
        <v>40</v>
      </c>
      <c r="AP59" s="170">
        <v>0</v>
      </c>
      <c r="AQ59"/>
    </row>
    <row r="60" spans="1:43">
      <c r="A60" s="146" t="s">
        <v>423</v>
      </c>
      <c r="B60" s="147">
        <v>50455</v>
      </c>
      <c r="C60" s="147">
        <v>1</v>
      </c>
      <c r="D60" s="149">
        <v>46170</v>
      </c>
      <c r="E60" s="149">
        <v>46175</v>
      </c>
      <c r="F60" s="148" t="s">
        <v>40</v>
      </c>
      <c r="G60" s="148" t="s">
        <v>422</v>
      </c>
      <c r="H60" s="151">
        <v>0.9</v>
      </c>
      <c r="I60" s="169">
        <v>46183</v>
      </c>
      <c r="J60" s="169">
        <v>46189</v>
      </c>
      <c r="K60" s="168" t="s">
        <v>40</v>
      </c>
      <c r="L60" s="168" t="s">
        <v>422</v>
      </c>
      <c r="M60" s="179">
        <v>0</v>
      </c>
      <c r="N60" s="153">
        <v>46183</v>
      </c>
      <c r="O60" s="153">
        <v>46189</v>
      </c>
      <c r="P60" s="152" t="s">
        <v>40</v>
      </c>
      <c r="Q60" s="152" t="s">
        <v>422</v>
      </c>
      <c r="R60" s="155">
        <v>0</v>
      </c>
      <c r="S60" s="157">
        <v>46202</v>
      </c>
      <c r="T60" s="157">
        <v>46208</v>
      </c>
      <c r="U60" s="156" t="s">
        <v>40</v>
      </c>
      <c r="V60" s="156" t="s">
        <v>422</v>
      </c>
      <c r="W60" s="158">
        <v>0</v>
      </c>
      <c r="X60" s="160">
        <v>46215</v>
      </c>
      <c r="Y60" s="160">
        <v>46217</v>
      </c>
      <c r="Z60" s="159" t="s">
        <v>40</v>
      </c>
      <c r="AA60" s="159" t="s">
        <v>422</v>
      </c>
      <c r="AB60" s="161">
        <v>0</v>
      </c>
      <c r="AC60" s="163">
        <v>46218</v>
      </c>
      <c r="AD60" s="163">
        <v>46224</v>
      </c>
      <c r="AE60" s="162" t="s">
        <v>40</v>
      </c>
      <c r="AF60" s="162" t="s">
        <v>422</v>
      </c>
      <c r="AG60" s="164">
        <v>0</v>
      </c>
      <c r="AH60" s="165">
        <v>46231</v>
      </c>
      <c r="AI60" s="165">
        <v>46233</v>
      </c>
      <c r="AJ60" s="166" t="s">
        <v>165</v>
      </c>
      <c r="AK60" s="166" t="s">
        <v>422</v>
      </c>
      <c r="AL60" s="167">
        <v>0</v>
      </c>
      <c r="AM60" s="169">
        <v>46332</v>
      </c>
      <c r="AN60" s="169">
        <v>46338</v>
      </c>
      <c r="AO60" s="168" t="s">
        <v>40</v>
      </c>
      <c r="AP60" s="170">
        <v>0</v>
      </c>
      <c r="AQ60"/>
    </row>
    <row r="61" spans="1:43" ht="15">
      <c r="A61" s="146" t="s">
        <v>423</v>
      </c>
      <c r="B61" s="147">
        <v>50460</v>
      </c>
      <c r="C61" s="147">
        <v>1</v>
      </c>
      <c r="D61" s="149">
        <v>46170</v>
      </c>
      <c r="E61" s="149">
        <v>46175</v>
      </c>
      <c r="F61" s="148" t="s">
        <v>40</v>
      </c>
      <c r="G61" s="382">
        <v>41027200</v>
      </c>
      <c r="H61" s="151">
        <v>0.9</v>
      </c>
      <c r="I61" s="169">
        <v>46183</v>
      </c>
      <c r="J61" s="169">
        <v>46189</v>
      </c>
      <c r="K61" s="168" t="s">
        <v>40</v>
      </c>
      <c r="L61" s="168" t="s">
        <v>422</v>
      </c>
      <c r="M61" s="179">
        <v>0</v>
      </c>
      <c r="N61" s="153">
        <v>46183</v>
      </c>
      <c r="O61" s="153">
        <v>46189</v>
      </c>
      <c r="P61" s="152" t="s">
        <v>40</v>
      </c>
      <c r="Q61" s="152" t="s">
        <v>422</v>
      </c>
      <c r="R61" s="155">
        <v>0</v>
      </c>
      <c r="S61" s="157">
        <v>46202</v>
      </c>
      <c r="T61" s="157">
        <v>46208</v>
      </c>
      <c r="U61" s="156" t="s">
        <v>40</v>
      </c>
      <c r="V61" s="156" t="s">
        <v>422</v>
      </c>
      <c r="W61" s="158">
        <v>0</v>
      </c>
      <c r="X61" s="160">
        <v>46215</v>
      </c>
      <c r="Y61" s="160">
        <v>46217</v>
      </c>
      <c r="Z61" s="159" t="s">
        <v>40</v>
      </c>
      <c r="AA61" s="159" t="s">
        <v>422</v>
      </c>
      <c r="AB61" s="161">
        <v>0</v>
      </c>
      <c r="AC61" s="163">
        <v>46218</v>
      </c>
      <c r="AD61" s="163">
        <v>46224</v>
      </c>
      <c r="AE61" s="162" t="s">
        <v>40</v>
      </c>
      <c r="AF61" s="162" t="s">
        <v>422</v>
      </c>
      <c r="AG61" s="164">
        <v>0</v>
      </c>
      <c r="AH61" s="165">
        <v>46231</v>
      </c>
      <c r="AI61" s="165">
        <v>46233</v>
      </c>
      <c r="AJ61" s="166" t="s">
        <v>165</v>
      </c>
      <c r="AK61" s="166" t="s">
        <v>422</v>
      </c>
      <c r="AL61" s="167">
        <v>0</v>
      </c>
      <c r="AM61" s="169">
        <v>46332</v>
      </c>
      <c r="AN61" s="169">
        <v>46338</v>
      </c>
      <c r="AO61" s="168" t="s">
        <v>40</v>
      </c>
      <c r="AP61" s="170">
        <v>0</v>
      </c>
      <c r="AQ61"/>
    </row>
    <row r="62" spans="1:43">
      <c r="A62" s="146" t="s">
        <v>423</v>
      </c>
      <c r="B62" s="147">
        <v>50465</v>
      </c>
      <c r="C62" s="147">
        <v>1</v>
      </c>
      <c r="D62" s="149">
        <v>46170</v>
      </c>
      <c r="E62" s="149">
        <v>46175</v>
      </c>
      <c r="F62" s="148" t="s">
        <v>40</v>
      </c>
      <c r="G62" s="148" t="s">
        <v>422</v>
      </c>
      <c r="H62" s="151">
        <v>1</v>
      </c>
      <c r="I62" s="169">
        <v>46183</v>
      </c>
      <c r="J62" s="169">
        <v>46189</v>
      </c>
      <c r="K62" s="168" t="s">
        <v>40</v>
      </c>
      <c r="L62" s="168" t="s">
        <v>422</v>
      </c>
      <c r="M62" s="179">
        <v>0</v>
      </c>
      <c r="N62" s="153">
        <v>46183</v>
      </c>
      <c r="O62" s="153">
        <v>46189</v>
      </c>
      <c r="P62" s="152" t="s">
        <v>40</v>
      </c>
      <c r="Q62" s="152" t="s">
        <v>422</v>
      </c>
      <c r="R62" s="155">
        <v>0</v>
      </c>
      <c r="S62" s="157">
        <v>46202</v>
      </c>
      <c r="T62" s="157">
        <v>46208</v>
      </c>
      <c r="U62" s="156" t="s">
        <v>40</v>
      </c>
      <c r="V62" s="156" t="s">
        <v>422</v>
      </c>
      <c r="W62" s="158">
        <v>0</v>
      </c>
      <c r="X62" s="160">
        <v>46215</v>
      </c>
      <c r="Y62" s="160">
        <v>46217</v>
      </c>
      <c r="Z62" s="159" t="s">
        <v>40</v>
      </c>
      <c r="AA62" s="159" t="s">
        <v>422</v>
      </c>
      <c r="AB62" s="161">
        <v>0</v>
      </c>
      <c r="AC62" s="163">
        <v>46218</v>
      </c>
      <c r="AD62" s="163">
        <v>46224</v>
      </c>
      <c r="AE62" s="162" t="s">
        <v>40</v>
      </c>
      <c r="AF62" s="162" t="s">
        <v>422</v>
      </c>
      <c r="AG62" s="164">
        <v>0</v>
      </c>
      <c r="AH62" s="165">
        <v>46231</v>
      </c>
      <c r="AI62" s="165">
        <v>46233</v>
      </c>
      <c r="AJ62" s="166" t="s">
        <v>165</v>
      </c>
      <c r="AK62" s="166" t="s">
        <v>422</v>
      </c>
      <c r="AL62" s="167">
        <v>0</v>
      </c>
      <c r="AM62" s="169">
        <v>46332</v>
      </c>
      <c r="AN62" s="169">
        <v>46338</v>
      </c>
      <c r="AO62" s="168" t="s">
        <v>40</v>
      </c>
      <c r="AP62" s="170">
        <v>0</v>
      </c>
      <c r="AQ62"/>
    </row>
    <row r="63" spans="1:43">
      <c r="A63" s="146" t="s">
        <v>423</v>
      </c>
      <c r="B63" s="147">
        <v>50505</v>
      </c>
      <c r="C63" s="147">
        <v>1</v>
      </c>
      <c r="D63" s="149">
        <v>46170</v>
      </c>
      <c r="E63" s="149">
        <v>46175</v>
      </c>
      <c r="F63" s="148" t="s">
        <v>40</v>
      </c>
      <c r="G63" s="148" t="s">
        <v>422</v>
      </c>
      <c r="H63" s="151">
        <v>1</v>
      </c>
      <c r="I63" s="169">
        <v>46183</v>
      </c>
      <c r="J63" s="169">
        <v>46189</v>
      </c>
      <c r="K63" s="168" t="s">
        <v>40</v>
      </c>
      <c r="L63" s="168" t="s">
        <v>422</v>
      </c>
      <c r="M63" s="179">
        <v>0</v>
      </c>
      <c r="N63" s="153">
        <v>46183</v>
      </c>
      <c r="O63" s="153">
        <v>46189</v>
      </c>
      <c r="P63" s="152" t="s">
        <v>40</v>
      </c>
      <c r="Q63" s="152" t="s">
        <v>422</v>
      </c>
      <c r="R63" s="155">
        <v>0</v>
      </c>
      <c r="S63" s="157">
        <v>46202</v>
      </c>
      <c r="T63" s="157">
        <v>46208</v>
      </c>
      <c r="U63" s="156" t="s">
        <v>40</v>
      </c>
      <c r="V63" s="156" t="s">
        <v>422</v>
      </c>
      <c r="W63" s="158">
        <v>0</v>
      </c>
      <c r="X63" s="160">
        <v>46215</v>
      </c>
      <c r="Y63" s="160">
        <v>46217</v>
      </c>
      <c r="Z63" s="159" t="s">
        <v>40</v>
      </c>
      <c r="AA63" s="159" t="s">
        <v>422</v>
      </c>
      <c r="AB63" s="161">
        <v>0</v>
      </c>
      <c r="AC63" s="163">
        <v>46218</v>
      </c>
      <c r="AD63" s="163">
        <v>46224</v>
      </c>
      <c r="AE63" s="162" t="s">
        <v>40</v>
      </c>
      <c r="AF63" s="162" t="s">
        <v>422</v>
      </c>
      <c r="AG63" s="164">
        <v>0</v>
      </c>
      <c r="AH63" s="165">
        <v>46231</v>
      </c>
      <c r="AI63" s="165">
        <v>46233</v>
      </c>
      <c r="AJ63" s="166" t="s">
        <v>165</v>
      </c>
      <c r="AK63" s="166" t="s">
        <v>422</v>
      </c>
      <c r="AL63" s="167">
        <v>0</v>
      </c>
      <c r="AM63" s="169">
        <v>46332</v>
      </c>
      <c r="AN63" s="169">
        <v>46338</v>
      </c>
      <c r="AO63" s="168" t="s">
        <v>40</v>
      </c>
      <c r="AP63" s="170">
        <v>0</v>
      </c>
      <c r="AQ63"/>
    </row>
    <row r="64" spans="1:43">
      <c r="A64" s="146" t="s">
        <v>423</v>
      </c>
      <c r="B64" s="147">
        <v>50510</v>
      </c>
      <c r="C64" s="147">
        <v>1</v>
      </c>
      <c r="D64" s="149">
        <v>46170</v>
      </c>
      <c r="E64" s="149">
        <v>46175</v>
      </c>
      <c r="F64" s="148" t="s">
        <v>40</v>
      </c>
      <c r="G64" s="148" t="s">
        <v>422</v>
      </c>
      <c r="H64" s="151">
        <v>1</v>
      </c>
      <c r="I64" s="169">
        <v>46183</v>
      </c>
      <c r="J64" s="169">
        <v>46189</v>
      </c>
      <c r="K64" s="168" t="s">
        <v>40</v>
      </c>
      <c r="L64" s="168" t="s">
        <v>422</v>
      </c>
      <c r="M64" s="179">
        <v>0</v>
      </c>
      <c r="N64" s="153">
        <v>46183</v>
      </c>
      <c r="O64" s="153">
        <v>46189</v>
      </c>
      <c r="P64" s="152" t="s">
        <v>40</v>
      </c>
      <c r="Q64" s="152" t="s">
        <v>422</v>
      </c>
      <c r="R64" s="155">
        <v>0</v>
      </c>
      <c r="S64" s="157">
        <v>46209</v>
      </c>
      <c r="T64" s="157">
        <v>46214</v>
      </c>
      <c r="U64" s="156" t="s">
        <v>40</v>
      </c>
      <c r="V64" s="156" t="s">
        <v>422</v>
      </c>
      <c r="W64" s="158">
        <v>0</v>
      </c>
      <c r="X64" s="160">
        <v>46215</v>
      </c>
      <c r="Y64" s="160">
        <v>46217</v>
      </c>
      <c r="Z64" s="159" t="s">
        <v>40</v>
      </c>
      <c r="AA64" s="159" t="s">
        <v>422</v>
      </c>
      <c r="AB64" s="161">
        <v>0</v>
      </c>
      <c r="AC64" s="163">
        <v>46218</v>
      </c>
      <c r="AD64" s="163">
        <v>46224</v>
      </c>
      <c r="AE64" s="162" t="s">
        <v>40</v>
      </c>
      <c r="AF64" s="162" t="s">
        <v>422</v>
      </c>
      <c r="AG64" s="164">
        <v>0</v>
      </c>
      <c r="AH64" s="165">
        <v>46231</v>
      </c>
      <c r="AI64" s="165">
        <v>46233</v>
      </c>
      <c r="AJ64" s="166" t="s">
        <v>165</v>
      </c>
      <c r="AK64" s="166" t="s">
        <v>422</v>
      </c>
      <c r="AL64" s="167">
        <v>0</v>
      </c>
      <c r="AM64" s="169">
        <v>46332</v>
      </c>
      <c r="AN64" s="169">
        <v>46338</v>
      </c>
      <c r="AO64" s="168" t="s">
        <v>40</v>
      </c>
      <c r="AP64" s="170">
        <v>0</v>
      </c>
      <c r="AQ64"/>
    </row>
    <row r="65" spans="1:43">
      <c r="A65" s="146" t="s">
        <v>423</v>
      </c>
      <c r="B65" s="147">
        <v>50515</v>
      </c>
      <c r="C65" s="147">
        <v>1</v>
      </c>
      <c r="D65" s="149">
        <v>46170</v>
      </c>
      <c r="E65" s="149">
        <v>46175</v>
      </c>
      <c r="F65" s="148" t="s">
        <v>40</v>
      </c>
      <c r="G65" s="148" t="s">
        <v>422</v>
      </c>
      <c r="H65" s="151">
        <v>1</v>
      </c>
      <c r="I65" s="169">
        <v>46190</v>
      </c>
      <c r="J65" s="169">
        <v>46196</v>
      </c>
      <c r="K65" s="168" t="s">
        <v>40</v>
      </c>
      <c r="L65" s="168" t="s">
        <v>422</v>
      </c>
      <c r="M65" s="179">
        <v>0</v>
      </c>
      <c r="N65" s="153">
        <v>46190</v>
      </c>
      <c r="O65" s="153">
        <v>46196</v>
      </c>
      <c r="P65" s="152" t="s">
        <v>40</v>
      </c>
      <c r="Q65" s="152" t="s">
        <v>422</v>
      </c>
      <c r="R65" s="155">
        <v>0</v>
      </c>
      <c r="S65" s="157">
        <v>46209</v>
      </c>
      <c r="T65" s="157">
        <v>46214</v>
      </c>
      <c r="U65" s="156" t="s">
        <v>40</v>
      </c>
      <c r="V65" s="156" t="s">
        <v>422</v>
      </c>
      <c r="W65" s="158">
        <v>0</v>
      </c>
      <c r="X65" s="160">
        <v>46215</v>
      </c>
      <c r="Y65" s="160">
        <v>46217</v>
      </c>
      <c r="Z65" s="159" t="s">
        <v>40</v>
      </c>
      <c r="AA65" s="159" t="s">
        <v>422</v>
      </c>
      <c r="AB65" s="161">
        <v>0</v>
      </c>
      <c r="AC65" s="163">
        <v>46225</v>
      </c>
      <c r="AD65" s="163">
        <v>46230</v>
      </c>
      <c r="AE65" s="162" t="s">
        <v>40</v>
      </c>
      <c r="AF65" s="162" t="s">
        <v>422</v>
      </c>
      <c r="AG65" s="164">
        <v>0</v>
      </c>
      <c r="AH65" s="165">
        <v>46231</v>
      </c>
      <c r="AI65" s="165">
        <v>46233</v>
      </c>
      <c r="AJ65" s="166" t="s">
        <v>165</v>
      </c>
      <c r="AK65" s="166" t="s">
        <v>422</v>
      </c>
      <c r="AL65" s="167">
        <v>0</v>
      </c>
      <c r="AM65" s="169">
        <v>46332</v>
      </c>
      <c r="AN65" s="169">
        <v>46338</v>
      </c>
      <c r="AO65" s="168" t="s">
        <v>40</v>
      </c>
      <c r="AP65" s="170">
        <v>0</v>
      </c>
      <c r="AQ65"/>
    </row>
    <row r="66" spans="1:43">
      <c r="A66" s="146" t="s">
        <v>423</v>
      </c>
      <c r="B66" s="147">
        <v>50701</v>
      </c>
      <c r="C66" s="147">
        <v>1</v>
      </c>
      <c r="D66" s="149">
        <v>46170</v>
      </c>
      <c r="E66" s="149">
        <v>46175</v>
      </c>
      <c r="F66" s="148" t="s">
        <v>40</v>
      </c>
      <c r="G66" s="148" t="s">
        <v>436</v>
      </c>
      <c r="H66" s="151">
        <v>0</v>
      </c>
      <c r="I66" s="169">
        <v>46190</v>
      </c>
      <c r="J66" s="169">
        <v>46196</v>
      </c>
      <c r="K66" s="168" t="s">
        <v>40</v>
      </c>
      <c r="L66" s="168" t="s">
        <v>422</v>
      </c>
      <c r="M66" s="179">
        <v>0</v>
      </c>
      <c r="N66" s="153">
        <v>46190</v>
      </c>
      <c r="O66" s="153">
        <v>46196</v>
      </c>
      <c r="P66" s="152" t="s">
        <v>40</v>
      </c>
      <c r="Q66" s="152" t="s">
        <v>422</v>
      </c>
      <c r="R66" s="155">
        <v>0</v>
      </c>
      <c r="S66" s="157">
        <v>46209</v>
      </c>
      <c r="T66" s="157">
        <v>46214</v>
      </c>
      <c r="U66" s="156" t="s">
        <v>40</v>
      </c>
      <c r="V66" s="156" t="s">
        <v>422</v>
      </c>
      <c r="W66" s="158">
        <v>0</v>
      </c>
      <c r="X66" s="160">
        <v>46215</v>
      </c>
      <c r="Y66" s="160">
        <v>46217</v>
      </c>
      <c r="Z66" s="159" t="s">
        <v>40</v>
      </c>
      <c r="AA66" s="159" t="s">
        <v>422</v>
      </c>
      <c r="AB66" s="161">
        <v>0</v>
      </c>
      <c r="AC66" s="163">
        <v>46225</v>
      </c>
      <c r="AD66" s="163">
        <v>46230</v>
      </c>
      <c r="AE66" s="162" t="s">
        <v>40</v>
      </c>
      <c r="AF66" s="162" t="s">
        <v>422</v>
      </c>
      <c r="AG66" s="164">
        <v>0</v>
      </c>
      <c r="AH66" s="165">
        <v>46231</v>
      </c>
      <c r="AI66" s="165">
        <v>46233</v>
      </c>
      <c r="AJ66" s="166" t="s">
        <v>165</v>
      </c>
      <c r="AK66" s="166" t="s">
        <v>422</v>
      </c>
      <c r="AL66" s="167">
        <v>0</v>
      </c>
      <c r="AM66" s="169">
        <v>46332</v>
      </c>
      <c r="AN66" s="169">
        <v>46338</v>
      </c>
      <c r="AO66" s="168" t="s">
        <v>40</v>
      </c>
      <c r="AP66" s="170">
        <v>0</v>
      </c>
      <c r="AQ66"/>
    </row>
    <row r="67" spans="1:43">
      <c r="A67" s="146" t="s">
        <v>423</v>
      </c>
      <c r="B67" s="147">
        <v>50702</v>
      </c>
      <c r="C67" s="147">
        <v>1</v>
      </c>
      <c r="D67" s="149">
        <v>46170</v>
      </c>
      <c r="E67" s="149">
        <v>46175</v>
      </c>
      <c r="F67" s="148" t="s">
        <v>40</v>
      </c>
      <c r="G67" s="148" t="s">
        <v>436</v>
      </c>
      <c r="H67" s="151">
        <v>0</v>
      </c>
      <c r="I67" s="169">
        <v>46190</v>
      </c>
      <c r="J67" s="169">
        <v>46196</v>
      </c>
      <c r="K67" s="168" t="s">
        <v>40</v>
      </c>
      <c r="L67" s="168" t="s">
        <v>422</v>
      </c>
      <c r="M67" s="179">
        <v>0</v>
      </c>
      <c r="N67" s="153">
        <v>46190</v>
      </c>
      <c r="O67" s="153">
        <v>46196</v>
      </c>
      <c r="P67" s="152" t="s">
        <v>40</v>
      </c>
      <c r="Q67" s="152" t="s">
        <v>422</v>
      </c>
      <c r="R67" s="155">
        <v>0</v>
      </c>
      <c r="S67" s="157">
        <v>46209</v>
      </c>
      <c r="T67" s="157">
        <v>46214</v>
      </c>
      <c r="U67" s="156" t="s">
        <v>40</v>
      </c>
      <c r="V67" s="156" t="s">
        <v>422</v>
      </c>
      <c r="W67" s="158">
        <v>0</v>
      </c>
      <c r="X67" s="160">
        <v>46215</v>
      </c>
      <c r="Y67" s="160">
        <v>46217</v>
      </c>
      <c r="Z67" s="159" t="s">
        <v>40</v>
      </c>
      <c r="AA67" s="159" t="s">
        <v>422</v>
      </c>
      <c r="AB67" s="161">
        <v>0</v>
      </c>
      <c r="AC67" s="163">
        <v>46225</v>
      </c>
      <c r="AD67" s="163">
        <v>46230</v>
      </c>
      <c r="AE67" s="162" t="s">
        <v>40</v>
      </c>
      <c r="AF67" s="162" t="s">
        <v>422</v>
      </c>
      <c r="AG67" s="164">
        <v>0</v>
      </c>
      <c r="AH67" s="165">
        <v>46231</v>
      </c>
      <c r="AI67" s="165">
        <v>46233</v>
      </c>
      <c r="AJ67" s="166" t="s">
        <v>165</v>
      </c>
      <c r="AK67" s="166" t="s">
        <v>422</v>
      </c>
      <c r="AL67" s="167">
        <v>0</v>
      </c>
      <c r="AM67" s="169">
        <v>46332</v>
      </c>
      <c r="AN67" s="169">
        <v>46338</v>
      </c>
      <c r="AO67" s="168" t="s">
        <v>40</v>
      </c>
      <c r="AP67" s="170">
        <v>0</v>
      </c>
      <c r="AQ67"/>
    </row>
    <row r="68" spans="1:43">
      <c r="A68" s="146" t="s">
        <v>423</v>
      </c>
      <c r="B68" s="147">
        <v>50703</v>
      </c>
      <c r="C68" s="147">
        <v>1</v>
      </c>
      <c r="D68" s="149">
        <v>46170</v>
      </c>
      <c r="E68" s="149">
        <v>46175</v>
      </c>
      <c r="F68" s="148" t="s">
        <v>40</v>
      </c>
      <c r="G68" s="148" t="s">
        <v>436</v>
      </c>
      <c r="H68" s="151">
        <v>0</v>
      </c>
      <c r="I68" s="169">
        <v>46190</v>
      </c>
      <c r="J68" s="169">
        <v>46196</v>
      </c>
      <c r="K68" s="168" t="s">
        <v>40</v>
      </c>
      <c r="L68" s="168" t="s">
        <v>422</v>
      </c>
      <c r="M68" s="179">
        <v>0</v>
      </c>
      <c r="N68" s="153">
        <v>46190</v>
      </c>
      <c r="O68" s="153">
        <v>46196</v>
      </c>
      <c r="P68" s="152" t="s">
        <v>40</v>
      </c>
      <c r="Q68" s="152" t="s">
        <v>422</v>
      </c>
      <c r="R68" s="155">
        <v>0</v>
      </c>
      <c r="S68" s="157">
        <v>46209</v>
      </c>
      <c r="T68" s="157">
        <v>46214</v>
      </c>
      <c r="U68" s="156" t="s">
        <v>40</v>
      </c>
      <c r="V68" s="156" t="s">
        <v>422</v>
      </c>
      <c r="W68" s="158">
        <v>0</v>
      </c>
      <c r="X68" s="160">
        <v>46215</v>
      </c>
      <c r="Y68" s="160">
        <v>46217</v>
      </c>
      <c r="Z68" s="159" t="s">
        <v>40</v>
      </c>
      <c r="AA68" s="159" t="s">
        <v>422</v>
      </c>
      <c r="AB68" s="161">
        <v>0</v>
      </c>
      <c r="AC68" s="163">
        <v>46225</v>
      </c>
      <c r="AD68" s="163">
        <v>46230</v>
      </c>
      <c r="AE68" s="162" t="s">
        <v>40</v>
      </c>
      <c r="AF68" s="162" t="s">
        <v>422</v>
      </c>
      <c r="AG68" s="164">
        <v>0</v>
      </c>
      <c r="AH68" s="165">
        <v>46231</v>
      </c>
      <c r="AI68" s="165">
        <v>46233</v>
      </c>
      <c r="AJ68" s="166" t="s">
        <v>165</v>
      </c>
      <c r="AK68" s="166" t="s">
        <v>422</v>
      </c>
      <c r="AL68" s="167">
        <v>0</v>
      </c>
      <c r="AM68" s="169">
        <v>46332</v>
      </c>
      <c r="AN68" s="169">
        <v>46338</v>
      </c>
      <c r="AO68" s="168" t="s">
        <v>40</v>
      </c>
      <c r="AP68" s="170">
        <v>0</v>
      </c>
      <c r="AQ68"/>
    </row>
    <row r="69" spans="1:43">
      <c r="A69" s="146" t="s">
        <v>423</v>
      </c>
      <c r="B69" s="147">
        <v>50704</v>
      </c>
      <c r="C69" s="147">
        <v>1</v>
      </c>
      <c r="D69" s="149">
        <v>46170</v>
      </c>
      <c r="E69" s="149">
        <v>46175</v>
      </c>
      <c r="F69" s="148" t="s">
        <v>40</v>
      </c>
      <c r="G69" s="148" t="s">
        <v>436</v>
      </c>
      <c r="H69" s="151">
        <v>0</v>
      </c>
      <c r="I69" s="169">
        <v>46190</v>
      </c>
      <c r="J69" s="169">
        <v>46196</v>
      </c>
      <c r="K69" s="168" t="s">
        <v>40</v>
      </c>
      <c r="L69" s="168" t="s">
        <v>422</v>
      </c>
      <c r="M69" s="179">
        <v>0</v>
      </c>
      <c r="N69" s="153">
        <v>46190</v>
      </c>
      <c r="O69" s="153">
        <v>46196</v>
      </c>
      <c r="P69" s="152" t="s">
        <v>40</v>
      </c>
      <c r="Q69" s="152" t="s">
        <v>422</v>
      </c>
      <c r="R69" s="155">
        <v>0</v>
      </c>
      <c r="S69" s="157">
        <v>46209</v>
      </c>
      <c r="T69" s="157">
        <v>46214</v>
      </c>
      <c r="U69" s="156" t="s">
        <v>40</v>
      </c>
      <c r="V69" s="156" t="s">
        <v>422</v>
      </c>
      <c r="W69" s="158">
        <v>0</v>
      </c>
      <c r="X69" s="160">
        <v>46215</v>
      </c>
      <c r="Y69" s="160">
        <v>46217</v>
      </c>
      <c r="Z69" s="159" t="s">
        <v>40</v>
      </c>
      <c r="AA69" s="159" t="s">
        <v>422</v>
      </c>
      <c r="AB69" s="161">
        <v>0</v>
      </c>
      <c r="AC69" s="163">
        <v>46225</v>
      </c>
      <c r="AD69" s="163">
        <v>46230</v>
      </c>
      <c r="AE69" s="162" t="s">
        <v>40</v>
      </c>
      <c r="AF69" s="162" t="s">
        <v>422</v>
      </c>
      <c r="AG69" s="164">
        <v>0</v>
      </c>
      <c r="AH69" s="165">
        <v>46231</v>
      </c>
      <c r="AI69" s="165">
        <v>46233</v>
      </c>
      <c r="AJ69" s="166" t="s">
        <v>165</v>
      </c>
      <c r="AK69" s="166" t="s">
        <v>422</v>
      </c>
      <c r="AL69" s="167">
        <v>0</v>
      </c>
      <c r="AM69" s="169">
        <v>46332</v>
      </c>
      <c r="AN69" s="169">
        <v>46338</v>
      </c>
      <c r="AO69" s="168" t="s">
        <v>40</v>
      </c>
      <c r="AP69" s="170">
        <v>0</v>
      </c>
      <c r="AQ69"/>
    </row>
    <row r="70" spans="1:43">
      <c r="A70" s="146" t="s">
        <v>423</v>
      </c>
      <c r="B70" s="147">
        <v>50705</v>
      </c>
      <c r="C70" s="147">
        <v>1</v>
      </c>
      <c r="D70" s="149">
        <v>46170</v>
      </c>
      <c r="E70" s="149">
        <v>46175</v>
      </c>
      <c r="F70" s="148" t="s">
        <v>40</v>
      </c>
      <c r="G70" s="148" t="s">
        <v>436</v>
      </c>
      <c r="H70" s="151">
        <v>0</v>
      </c>
      <c r="I70" s="169">
        <v>46190</v>
      </c>
      <c r="J70" s="169">
        <v>46196</v>
      </c>
      <c r="K70" s="168" t="s">
        <v>40</v>
      </c>
      <c r="L70" s="168" t="s">
        <v>422</v>
      </c>
      <c r="M70" s="179">
        <v>0</v>
      </c>
      <c r="N70" s="153">
        <v>46190</v>
      </c>
      <c r="O70" s="153">
        <v>46196</v>
      </c>
      <c r="P70" s="152" t="s">
        <v>40</v>
      </c>
      <c r="Q70" s="152" t="s">
        <v>422</v>
      </c>
      <c r="R70" s="155">
        <v>0</v>
      </c>
      <c r="S70" s="157">
        <v>46209</v>
      </c>
      <c r="T70" s="157">
        <v>46214</v>
      </c>
      <c r="U70" s="156" t="s">
        <v>40</v>
      </c>
      <c r="V70" s="156" t="s">
        <v>422</v>
      </c>
      <c r="W70" s="158">
        <v>0</v>
      </c>
      <c r="X70" s="160">
        <v>46215</v>
      </c>
      <c r="Y70" s="160">
        <v>46217</v>
      </c>
      <c r="Z70" s="159" t="s">
        <v>40</v>
      </c>
      <c r="AA70" s="159" t="s">
        <v>422</v>
      </c>
      <c r="AB70" s="161">
        <v>0</v>
      </c>
      <c r="AC70" s="163">
        <v>46225</v>
      </c>
      <c r="AD70" s="163">
        <v>46230</v>
      </c>
      <c r="AE70" s="162" t="s">
        <v>40</v>
      </c>
      <c r="AF70" s="162" t="s">
        <v>422</v>
      </c>
      <c r="AG70" s="164">
        <v>0</v>
      </c>
      <c r="AH70" s="165">
        <v>46231</v>
      </c>
      <c r="AI70" s="165">
        <v>46233</v>
      </c>
      <c r="AJ70" s="166" t="s">
        <v>165</v>
      </c>
      <c r="AK70" s="166" t="s">
        <v>422</v>
      </c>
      <c r="AL70" s="167">
        <v>0</v>
      </c>
      <c r="AM70" s="169">
        <v>46332</v>
      </c>
      <c r="AN70" s="169">
        <v>46338</v>
      </c>
      <c r="AO70" s="168" t="s">
        <v>40</v>
      </c>
      <c r="AP70" s="170">
        <v>0</v>
      </c>
      <c r="AQ70"/>
    </row>
    <row r="71" spans="1:43">
      <c r="A71" s="146" t="s">
        <v>423</v>
      </c>
      <c r="B71" s="147">
        <v>50706</v>
      </c>
      <c r="C71" s="147">
        <v>1</v>
      </c>
      <c r="D71" s="149">
        <v>46170</v>
      </c>
      <c r="E71" s="149">
        <v>46175</v>
      </c>
      <c r="F71" s="148" t="s">
        <v>40</v>
      </c>
      <c r="G71" s="148" t="s">
        <v>436</v>
      </c>
      <c r="H71" s="151">
        <v>0</v>
      </c>
      <c r="I71" s="169">
        <v>46190</v>
      </c>
      <c r="J71" s="169">
        <v>46196</v>
      </c>
      <c r="K71" s="168" t="s">
        <v>40</v>
      </c>
      <c r="L71" s="168" t="s">
        <v>422</v>
      </c>
      <c r="M71" s="179">
        <v>0</v>
      </c>
      <c r="N71" s="153">
        <v>46190</v>
      </c>
      <c r="O71" s="153">
        <v>46196</v>
      </c>
      <c r="P71" s="152" t="s">
        <v>40</v>
      </c>
      <c r="Q71" s="152" t="s">
        <v>422</v>
      </c>
      <c r="R71" s="155">
        <v>0</v>
      </c>
      <c r="S71" s="157">
        <v>46209</v>
      </c>
      <c r="T71" s="157">
        <v>46214</v>
      </c>
      <c r="U71" s="156" t="s">
        <v>40</v>
      </c>
      <c r="V71" s="156" t="s">
        <v>422</v>
      </c>
      <c r="W71" s="158">
        <v>0</v>
      </c>
      <c r="X71" s="160">
        <v>46215</v>
      </c>
      <c r="Y71" s="160">
        <v>46217</v>
      </c>
      <c r="Z71" s="159" t="s">
        <v>40</v>
      </c>
      <c r="AA71" s="159" t="s">
        <v>422</v>
      </c>
      <c r="AB71" s="161">
        <v>0</v>
      </c>
      <c r="AC71" s="163">
        <v>46225</v>
      </c>
      <c r="AD71" s="163">
        <v>46230</v>
      </c>
      <c r="AE71" s="162" t="s">
        <v>40</v>
      </c>
      <c r="AF71" s="162" t="s">
        <v>422</v>
      </c>
      <c r="AG71" s="164">
        <v>0</v>
      </c>
      <c r="AH71" s="165">
        <v>46231</v>
      </c>
      <c r="AI71" s="165">
        <v>46233</v>
      </c>
      <c r="AJ71" s="166" t="s">
        <v>165</v>
      </c>
      <c r="AK71" s="166" t="s">
        <v>422</v>
      </c>
      <c r="AL71" s="167">
        <v>0</v>
      </c>
      <c r="AM71" s="169">
        <v>46332</v>
      </c>
      <c r="AN71" s="169">
        <v>46338</v>
      </c>
      <c r="AO71" s="168" t="s">
        <v>40</v>
      </c>
      <c r="AP71" s="170">
        <v>0</v>
      </c>
      <c r="AQ71"/>
    </row>
    <row r="72" spans="1:43">
      <c r="A72" s="146" t="s">
        <v>423</v>
      </c>
      <c r="B72" s="147">
        <v>50707</v>
      </c>
      <c r="C72" s="147">
        <v>1</v>
      </c>
      <c r="D72" s="149">
        <v>46170</v>
      </c>
      <c r="E72" s="149">
        <v>46175</v>
      </c>
      <c r="F72" s="148" t="s">
        <v>40</v>
      </c>
      <c r="G72" s="148" t="s">
        <v>436</v>
      </c>
      <c r="H72" s="151">
        <v>0</v>
      </c>
      <c r="I72" s="169">
        <v>46190</v>
      </c>
      <c r="J72" s="169">
        <v>46196</v>
      </c>
      <c r="K72" s="168" t="s">
        <v>40</v>
      </c>
      <c r="L72" s="168" t="s">
        <v>422</v>
      </c>
      <c r="M72" s="179">
        <v>0</v>
      </c>
      <c r="N72" s="153">
        <v>46190</v>
      </c>
      <c r="O72" s="153">
        <v>46196</v>
      </c>
      <c r="P72" s="152" t="s">
        <v>40</v>
      </c>
      <c r="Q72" s="152" t="s">
        <v>422</v>
      </c>
      <c r="R72" s="155">
        <v>0</v>
      </c>
      <c r="S72" s="157">
        <v>46209</v>
      </c>
      <c r="T72" s="157">
        <v>46214</v>
      </c>
      <c r="U72" s="156" t="s">
        <v>40</v>
      </c>
      <c r="V72" s="156" t="s">
        <v>422</v>
      </c>
      <c r="W72" s="158">
        <v>0</v>
      </c>
      <c r="X72" s="160">
        <v>46215</v>
      </c>
      <c r="Y72" s="160">
        <v>46217</v>
      </c>
      <c r="Z72" s="159" t="s">
        <v>40</v>
      </c>
      <c r="AA72" s="159" t="s">
        <v>422</v>
      </c>
      <c r="AB72" s="161">
        <v>0</v>
      </c>
      <c r="AC72" s="163">
        <v>46225</v>
      </c>
      <c r="AD72" s="163">
        <v>46230</v>
      </c>
      <c r="AE72" s="162" t="s">
        <v>40</v>
      </c>
      <c r="AF72" s="162" t="s">
        <v>422</v>
      </c>
      <c r="AG72" s="164">
        <v>0</v>
      </c>
      <c r="AH72" s="165">
        <v>46231</v>
      </c>
      <c r="AI72" s="165">
        <v>46233</v>
      </c>
      <c r="AJ72" s="166" t="s">
        <v>165</v>
      </c>
      <c r="AK72" s="166" t="s">
        <v>422</v>
      </c>
      <c r="AL72" s="167">
        <v>0</v>
      </c>
      <c r="AM72" s="169">
        <v>46332</v>
      </c>
      <c r="AN72" s="169">
        <v>46338</v>
      </c>
      <c r="AO72" s="168" t="s">
        <v>40</v>
      </c>
      <c r="AP72" s="170">
        <v>0</v>
      </c>
      <c r="AQ72"/>
    </row>
    <row r="73" spans="1:43">
      <c r="A73" s="146" t="s">
        <v>423</v>
      </c>
      <c r="B73" s="147">
        <v>50709</v>
      </c>
      <c r="C73" s="147">
        <v>1</v>
      </c>
      <c r="D73" s="149">
        <v>46170</v>
      </c>
      <c r="E73" s="149">
        <v>46175</v>
      </c>
      <c r="F73" s="148" t="s">
        <v>40</v>
      </c>
      <c r="G73" s="148" t="s">
        <v>436</v>
      </c>
      <c r="H73" s="151">
        <v>0</v>
      </c>
      <c r="I73" s="169">
        <v>46190</v>
      </c>
      <c r="J73" s="169">
        <v>46196</v>
      </c>
      <c r="K73" s="168" t="s">
        <v>40</v>
      </c>
      <c r="L73" s="168" t="s">
        <v>422</v>
      </c>
      <c r="M73" s="179">
        <v>0</v>
      </c>
      <c r="N73" s="153">
        <v>46190</v>
      </c>
      <c r="O73" s="153">
        <v>46196</v>
      </c>
      <c r="P73" s="152" t="s">
        <v>40</v>
      </c>
      <c r="Q73" s="152" t="s">
        <v>422</v>
      </c>
      <c r="R73" s="155">
        <v>0</v>
      </c>
      <c r="S73" s="157">
        <v>46209</v>
      </c>
      <c r="T73" s="157">
        <v>46214</v>
      </c>
      <c r="U73" s="156" t="s">
        <v>40</v>
      </c>
      <c r="V73" s="156" t="s">
        <v>422</v>
      </c>
      <c r="W73" s="158">
        <v>0</v>
      </c>
      <c r="X73" s="160">
        <v>46215</v>
      </c>
      <c r="Y73" s="160">
        <v>46217</v>
      </c>
      <c r="Z73" s="159" t="s">
        <v>40</v>
      </c>
      <c r="AA73" s="159" t="s">
        <v>422</v>
      </c>
      <c r="AB73" s="161">
        <v>0</v>
      </c>
      <c r="AC73" s="163">
        <v>46225</v>
      </c>
      <c r="AD73" s="163">
        <v>46230</v>
      </c>
      <c r="AE73" s="162" t="s">
        <v>40</v>
      </c>
      <c r="AF73" s="162" t="s">
        <v>422</v>
      </c>
      <c r="AG73" s="164">
        <v>0</v>
      </c>
      <c r="AH73" s="165">
        <v>46231</v>
      </c>
      <c r="AI73" s="165">
        <v>46233</v>
      </c>
      <c r="AJ73" s="166" t="s">
        <v>165</v>
      </c>
      <c r="AK73" s="166" t="s">
        <v>422</v>
      </c>
      <c r="AL73" s="167">
        <v>0</v>
      </c>
      <c r="AM73" s="169">
        <v>46332</v>
      </c>
      <c r="AN73" s="169">
        <v>46338</v>
      </c>
      <c r="AO73" s="168" t="s">
        <v>40</v>
      </c>
      <c r="AP73" s="170">
        <v>0</v>
      </c>
      <c r="AQ73"/>
    </row>
    <row r="74" spans="1:43">
      <c r="A74" s="146" t="s">
        <v>423</v>
      </c>
      <c r="B74" s="147">
        <v>50710</v>
      </c>
      <c r="C74" s="147">
        <v>1</v>
      </c>
      <c r="D74" s="149">
        <v>46170</v>
      </c>
      <c r="E74" s="149">
        <v>46175</v>
      </c>
      <c r="F74" s="148" t="s">
        <v>40</v>
      </c>
      <c r="G74" s="148" t="s">
        <v>436</v>
      </c>
      <c r="H74" s="151">
        <v>0</v>
      </c>
      <c r="I74" s="169">
        <v>46190</v>
      </c>
      <c r="J74" s="169">
        <v>46196</v>
      </c>
      <c r="K74" s="168" t="s">
        <v>40</v>
      </c>
      <c r="L74" s="168" t="s">
        <v>422</v>
      </c>
      <c r="M74" s="179">
        <v>0</v>
      </c>
      <c r="N74" s="153">
        <v>46190</v>
      </c>
      <c r="O74" s="153">
        <v>46196</v>
      </c>
      <c r="P74" s="152" t="s">
        <v>40</v>
      </c>
      <c r="Q74" s="152" t="s">
        <v>422</v>
      </c>
      <c r="R74" s="155">
        <v>0</v>
      </c>
      <c r="S74" s="157">
        <v>46209</v>
      </c>
      <c r="T74" s="157">
        <v>46214</v>
      </c>
      <c r="U74" s="156" t="s">
        <v>40</v>
      </c>
      <c r="V74" s="156" t="s">
        <v>422</v>
      </c>
      <c r="W74" s="158">
        <v>0</v>
      </c>
      <c r="X74" s="160">
        <v>46215</v>
      </c>
      <c r="Y74" s="160">
        <v>46217</v>
      </c>
      <c r="Z74" s="159" t="s">
        <v>40</v>
      </c>
      <c r="AA74" s="159" t="s">
        <v>422</v>
      </c>
      <c r="AB74" s="161">
        <v>0</v>
      </c>
      <c r="AC74" s="163">
        <v>46225</v>
      </c>
      <c r="AD74" s="163">
        <v>46230</v>
      </c>
      <c r="AE74" s="162" t="s">
        <v>40</v>
      </c>
      <c r="AF74" s="162" t="s">
        <v>422</v>
      </c>
      <c r="AG74" s="164">
        <v>0</v>
      </c>
      <c r="AH74" s="165">
        <v>46231</v>
      </c>
      <c r="AI74" s="165">
        <v>46233</v>
      </c>
      <c r="AJ74" s="166" t="s">
        <v>165</v>
      </c>
      <c r="AK74" s="166" t="s">
        <v>422</v>
      </c>
      <c r="AL74" s="167">
        <v>0</v>
      </c>
      <c r="AM74" s="169">
        <v>46332</v>
      </c>
      <c r="AN74" s="169">
        <v>46338</v>
      </c>
      <c r="AO74" s="168" t="s">
        <v>40</v>
      </c>
      <c r="AP74" s="170">
        <v>0</v>
      </c>
      <c r="AQ74"/>
    </row>
    <row r="75" spans="1:43">
      <c r="A75" s="146" t="s">
        <v>423</v>
      </c>
      <c r="B75" s="147">
        <v>50711</v>
      </c>
      <c r="C75" s="147">
        <v>1</v>
      </c>
      <c r="D75" s="149">
        <v>46170</v>
      </c>
      <c r="E75" s="149">
        <v>46175</v>
      </c>
      <c r="F75" s="148" t="s">
        <v>40</v>
      </c>
      <c r="G75" s="148" t="s">
        <v>436</v>
      </c>
      <c r="H75" s="151">
        <v>0</v>
      </c>
      <c r="I75" s="169">
        <v>46190</v>
      </c>
      <c r="J75" s="169">
        <v>46196</v>
      </c>
      <c r="K75" s="168" t="s">
        <v>40</v>
      </c>
      <c r="L75" s="168" t="s">
        <v>422</v>
      </c>
      <c r="M75" s="179">
        <v>0</v>
      </c>
      <c r="N75" s="153">
        <v>46190</v>
      </c>
      <c r="O75" s="153">
        <v>46196</v>
      </c>
      <c r="P75" s="152" t="s">
        <v>40</v>
      </c>
      <c r="Q75" s="152" t="s">
        <v>422</v>
      </c>
      <c r="R75" s="155">
        <v>0</v>
      </c>
      <c r="S75" s="157">
        <v>46209</v>
      </c>
      <c r="T75" s="157">
        <v>46214</v>
      </c>
      <c r="U75" s="156" t="s">
        <v>40</v>
      </c>
      <c r="V75" s="156" t="s">
        <v>422</v>
      </c>
      <c r="W75" s="158">
        <v>0</v>
      </c>
      <c r="X75" s="160">
        <v>46215</v>
      </c>
      <c r="Y75" s="160">
        <v>46217</v>
      </c>
      <c r="Z75" s="159" t="s">
        <v>40</v>
      </c>
      <c r="AA75" s="159" t="s">
        <v>422</v>
      </c>
      <c r="AB75" s="161">
        <v>0</v>
      </c>
      <c r="AC75" s="163">
        <v>46225</v>
      </c>
      <c r="AD75" s="163">
        <v>46230</v>
      </c>
      <c r="AE75" s="162" t="s">
        <v>40</v>
      </c>
      <c r="AF75" s="162" t="s">
        <v>422</v>
      </c>
      <c r="AG75" s="164">
        <v>0</v>
      </c>
      <c r="AH75" s="165">
        <v>46231</v>
      </c>
      <c r="AI75" s="165">
        <v>46233</v>
      </c>
      <c r="AJ75" s="166" t="s">
        <v>165</v>
      </c>
      <c r="AK75" s="166" t="s">
        <v>422</v>
      </c>
      <c r="AL75" s="167">
        <v>0</v>
      </c>
      <c r="AM75" s="169">
        <v>46332</v>
      </c>
      <c r="AN75" s="169">
        <v>46338</v>
      </c>
      <c r="AO75" s="168" t="s">
        <v>40</v>
      </c>
      <c r="AP75" s="170">
        <v>0</v>
      </c>
      <c r="AQ75"/>
    </row>
    <row r="76" spans="1:43">
      <c r="A76" s="146" t="s">
        <v>423</v>
      </c>
      <c r="B76" s="147">
        <v>50712</v>
      </c>
      <c r="C76" s="147">
        <v>1</v>
      </c>
      <c r="D76" s="149">
        <v>46170</v>
      </c>
      <c r="E76" s="149">
        <v>46175</v>
      </c>
      <c r="F76" s="148" t="s">
        <v>40</v>
      </c>
      <c r="G76" s="148" t="s">
        <v>436</v>
      </c>
      <c r="H76" s="151">
        <v>0</v>
      </c>
      <c r="I76" s="169">
        <v>46190</v>
      </c>
      <c r="J76" s="169">
        <v>46196</v>
      </c>
      <c r="K76" s="168" t="s">
        <v>40</v>
      </c>
      <c r="L76" s="168" t="s">
        <v>422</v>
      </c>
      <c r="M76" s="179">
        <v>0</v>
      </c>
      <c r="N76" s="153">
        <v>46190</v>
      </c>
      <c r="O76" s="153">
        <v>46196</v>
      </c>
      <c r="P76" s="152" t="s">
        <v>40</v>
      </c>
      <c r="Q76" s="152" t="s">
        <v>422</v>
      </c>
      <c r="R76" s="155">
        <v>0</v>
      </c>
      <c r="S76" s="157">
        <v>46209</v>
      </c>
      <c r="T76" s="157">
        <v>46214</v>
      </c>
      <c r="U76" s="156" t="s">
        <v>40</v>
      </c>
      <c r="V76" s="156" t="s">
        <v>422</v>
      </c>
      <c r="W76" s="158">
        <v>0</v>
      </c>
      <c r="X76" s="160">
        <v>46215</v>
      </c>
      <c r="Y76" s="160">
        <v>46217</v>
      </c>
      <c r="Z76" s="159" t="s">
        <v>40</v>
      </c>
      <c r="AA76" s="159" t="s">
        <v>422</v>
      </c>
      <c r="AB76" s="161">
        <v>0</v>
      </c>
      <c r="AC76" s="163">
        <v>46225</v>
      </c>
      <c r="AD76" s="163">
        <v>46230</v>
      </c>
      <c r="AE76" s="162" t="s">
        <v>40</v>
      </c>
      <c r="AF76" s="162" t="s">
        <v>422</v>
      </c>
      <c r="AG76" s="164">
        <v>0</v>
      </c>
      <c r="AH76" s="165">
        <v>46231</v>
      </c>
      <c r="AI76" s="165">
        <v>46233</v>
      </c>
      <c r="AJ76" s="166" t="s">
        <v>165</v>
      </c>
      <c r="AK76" s="166" t="s">
        <v>422</v>
      </c>
      <c r="AL76" s="167">
        <v>0</v>
      </c>
      <c r="AM76" s="169">
        <v>46332</v>
      </c>
      <c r="AN76" s="169">
        <v>46338</v>
      </c>
      <c r="AO76" s="168" t="s">
        <v>40</v>
      </c>
      <c r="AP76" s="170">
        <v>0</v>
      </c>
      <c r="AQ76"/>
    </row>
    <row r="77" spans="1:43">
      <c r="A77" s="146" t="s">
        <v>423</v>
      </c>
      <c r="B77" s="147">
        <v>50713</v>
      </c>
      <c r="C77" s="147">
        <v>1</v>
      </c>
      <c r="D77" s="149">
        <v>46170</v>
      </c>
      <c r="E77" s="149">
        <v>46175</v>
      </c>
      <c r="F77" s="148" t="s">
        <v>40</v>
      </c>
      <c r="G77" s="148" t="s">
        <v>436</v>
      </c>
      <c r="H77" s="151">
        <v>0</v>
      </c>
      <c r="I77" s="169">
        <v>46190</v>
      </c>
      <c r="J77" s="169">
        <v>46196</v>
      </c>
      <c r="K77" s="168" t="s">
        <v>40</v>
      </c>
      <c r="L77" s="168" t="s">
        <v>422</v>
      </c>
      <c r="M77" s="179">
        <v>0</v>
      </c>
      <c r="N77" s="153">
        <v>46190</v>
      </c>
      <c r="O77" s="153">
        <v>46196</v>
      </c>
      <c r="P77" s="152" t="s">
        <v>40</v>
      </c>
      <c r="Q77" s="152" t="s">
        <v>422</v>
      </c>
      <c r="R77" s="155">
        <v>0</v>
      </c>
      <c r="S77" s="157">
        <v>46209</v>
      </c>
      <c r="T77" s="157">
        <v>46214</v>
      </c>
      <c r="U77" s="156" t="s">
        <v>40</v>
      </c>
      <c r="V77" s="156" t="s">
        <v>422</v>
      </c>
      <c r="W77" s="158">
        <v>0</v>
      </c>
      <c r="X77" s="160">
        <v>46215</v>
      </c>
      <c r="Y77" s="160">
        <v>46217</v>
      </c>
      <c r="Z77" s="159" t="s">
        <v>40</v>
      </c>
      <c r="AA77" s="159" t="s">
        <v>422</v>
      </c>
      <c r="AB77" s="161">
        <v>0</v>
      </c>
      <c r="AC77" s="163">
        <v>46225</v>
      </c>
      <c r="AD77" s="163">
        <v>46230</v>
      </c>
      <c r="AE77" s="162" t="s">
        <v>40</v>
      </c>
      <c r="AF77" s="162" t="s">
        <v>422</v>
      </c>
      <c r="AG77" s="164">
        <v>0</v>
      </c>
      <c r="AH77" s="165">
        <v>46231</v>
      </c>
      <c r="AI77" s="165">
        <v>46233</v>
      </c>
      <c r="AJ77" s="166" t="s">
        <v>165</v>
      </c>
      <c r="AK77" s="166" t="s">
        <v>422</v>
      </c>
      <c r="AL77" s="167">
        <v>0</v>
      </c>
      <c r="AM77" s="169">
        <v>46332</v>
      </c>
      <c r="AN77" s="169">
        <v>46338</v>
      </c>
      <c r="AO77" s="168" t="s">
        <v>40</v>
      </c>
      <c r="AP77" s="170">
        <v>0</v>
      </c>
      <c r="AQ77"/>
    </row>
    <row r="78" spans="1:43">
      <c r="A78" s="146" t="s">
        <v>423</v>
      </c>
      <c r="B78" s="147">
        <v>50714</v>
      </c>
      <c r="C78" s="147">
        <v>1</v>
      </c>
      <c r="D78" s="149">
        <v>46170</v>
      </c>
      <c r="E78" s="149">
        <v>46175</v>
      </c>
      <c r="F78" s="148" t="s">
        <v>40</v>
      </c>
      <c r="G78" s="148" t="s">
        <v>436</v>
      </c>
      <c r="H78" s="151">
        <v>0</v>
      </c>
      <c r="I78" s="169">
        <v>46190</v>
      </c>
      <c r="J78" s="169">
        <v>46196</v>
      </c>
      <c r="K78" s="168" t="s">
        <v>40</v>
      </c>
      <c r="L78" s="168" t="s">
        <v>422</v>
      </c>
      <c r="M78" s="179">
        <v>0</v>
      </c>
      <c r="N78" s="153">
        <v>46190</v>
      </c>
      <c r="O78" s="153">
        <v>46196</v>
      </c>
      <c r="P78" s="152" t="s">
        <v>40</v>
      </c>
      <c r="Q78" s="152" t="s">
        <v>422</v>
      </c>
      <c r="R78" s="155">
        <v>0</v>
      </c>
      <c r="S78" s="157">
        <v>46209</v>
      </c>
      <c r="T78" s="157">
        <v>46214</v>
      </c>
      <c r="U78" s="156" t="s">
        <v>40</v>
      </c>
      <c r="V78" s="156" t="s">
        <v>422</v>
      </c>
      <c r="W78" s="158">
        <v>0</v>
      </c>
      <c r="X78" s="160">
        <v>46215</v>
      </c>
      <c r="Y78" s="160">
        <v>46217</v>
      </c>
      <c r="Z78" s="159" t="s">
        <v>40</v>
      </c>
      <c r="AA78" s="159" t="s">
        <v>422</v>
      </c>
      <c r="AB78" s="161">
        <v>0</v>
      </c>
      <c r="AC78" s="163">
        <v>46225</v>
      </c>
      <c r="AD78" s="163">
        <v>46230</v>
      </c>
      <c r="AE78" s="162" t="s">
        <v>40</v>
      </c>
      <c r="AF78" s="162" t="s">
        <v>422</v>
      </c>
      <c r="AG78" s="164">
        <v>0</v>
      </c>
      <c r="AH78" s="165">
        <v>46231</v>
      </c>
      <c r="AI78" s="165">
        <v>46233</v>
      </c>
      <c r="AJ78" s="166" t="s">
        <v>165</v>
      </c>
      <c r="AK78" s="166" t="s">
        <v>422</v>
      </c>
      <c r="AL78" s="167">
        <v>0</v>
      </c>
      <c r="AM78" s="169">
        <v>46332</v>
      </c>
      <c r="AN78" s="169">
        <v>46338</v>
      </c>
      <c r="AO78" s="168" t="s">
        <v>40</v>
      </c>
      <c r="AP78" s="170">
        <v>0</v>
      </c>
      <c r="AQ78"/>
    </row>
    <row r="79" spans="1:43">
      <c r="A79" s="146" t="s">
        <v>423</v>
      </c>
      <c r="B79" s="147">
        <v>50715</v>
      </c>
      <c r="C79" s="147">
        <v>1</v>
      </c>
      <c r="D79" s="149">
        <v>46170</v>
      </c>
      <c r="E79" s="149">
        <v>46175</v>
      </c>
      <c r="F79" s="148" t="s">
        <v>40</v>
      </c>
      <c r="G79" s="148" t="s">
        <v>436</v>
      </c>
      <c r="H79" s="151">
        <v>0</v>
      </c>
      <c r="I79" s="169">
        <v>46190</v>
      </c>
      <c r="J79" s="169">
        <v>46196</v>
      </c>
      <c r="K79" s="168" t="s">
        <v>40</v>
      </c>
      <c r="L79" s="168" t="s">
        <v>422</v>
      </c>
      <c r="M79" s="179">
        <v>0</v>
      </c>
      <c r="N79" s="153">
        <v>46190</v>
      </c>
      <c r="O79" s="153">
        <v>46196</v>
      </c>
      <c r="P79" s="152" t="s">
        <v>40</v>
      </c>
      <c r="Q79" s="152" t="s">
        <v>422</v>
      </c>
      <c r="R79" s="155">
        <v>0</v>
      </c>
      <c r="S79" s="157">
        <v>46209</v>
      </c>
      <c r="T79" s="157">
        <v>46214</v>
      </c>
      <c r="U79" s="156" t="s">
        <v>40</v>
      </c>
      <c r="V79" s="156" t="s">
        <v>422</v>
      </c>
      <c r="W79" s="158">
        <v>0</v>
      </c>
      <c r="X79" s="160">
        <v>46215</v>
      </c>
      <c r="Y79" s="160">
        <v>46217</v>
      </c>
      <c r="Z79" s="159" t="s">
        <v>40</v>
      </c>
      <c r="AA79" s="159" t="s">
        <v>422</v>
      </c>
      <c r="AB79" s="161">
        <v>0</v>
      </c>
      <c r="AC79" s="163">
        <v>46225</v>
      </c>
      <c r="AD79" s="163">
        <v>46230</v>
      </c>
      <c r="AE79" s="162" t="s">
        <v>40</v>
      </c>
      <c r="AF79" s="162" t="s">
        <v>422</v>
      </c>
      <c r="AG79" s="164">
        <v>0</v>
      </c>
      <c r="AH79" s="165">
        <v>46231</v>
      </c>
      <c r="AI79" s="165">
        <v>46233</v>
      </c>
      <c r="AJ79" s="166" t="s">
        <v>165</v>
      </c>
      <c r="AK79" s="166" t="s">
        <v>422</v>
      </c>
      <c r="AL79" s="167">
        <v>0</v>
      </c>
      <c r="AM79" s="169">
        <v>46332</v>
      </c>
      <c r="AN79" s="169">
        <v>46338</v>
      </c>
      <c r="AO79" s="168" t="s">
        <v>40</v>
      </c>
      <c r="AP79" s="170">
        <v>0</v>
      </c>
      <c r="AQ79"/>
    </row>
    <row r="80" spans="1:43">
      <c r="A80" s="146" t="s">
        <v>423</v>
      </c>
      <c r="B80" s="147">
        <v>50716</v>
      </c>
      <c r="C80" s="147">
        <v>1</v>
      </c>
      <c r="D80" s="149">
        <v>46170</v>
      </c>
      <c r="E80" s="149">
        <v>46175</v>
      </c>
      <c r="F80" s="148" t="s">
        <v>40</v>
      </c>
      <c r="G80" s="148" t="s">
        <v>436</v>
      </c>
      <c r="H80" s="151">
        <v>0</v>
      </c>
      <c r="I80" s="169">
        <v>46190</v>
      </c>
      <c r="J80" s="169">
        <v>46196</v>
      </c>
      <c r="K80" s="168" t="s">
        <v>40</v>
      </c>
      <c r="L80" s="168" t="s">
        <v>422</v>
      </c>
      <c r="M80" s="179">
        <v>0</v>
      </c>
      <c r="N80" s="153">
        <v>46190</v>
      </c>
      <c r="O80" s="153">
        <v>46196</v>
      </c>
      <c r="P80" s="152" t="s">
        <v>40</v>
      </c>
      <c r="Q80" s="152" t="s">
        <v>422</v>
      </c>
      <c r="R80" s="155">
        <v>0</v>
      </c>
      <c r="S80" s="157">
        <v>46209</v>
      </c>
      <c r="T80" s="157">
        <v>46214</v>
      </c>
      <c r="U80" s="156" t="s">
        <v>40</v>
      </c>
      <c r="V80" s="156" t="s">
        <v>422</v>
      </c>
      <c r="W80" s="158">
        <v>0</v>
      </c>
      <c r="X80" s="160">
        <v>46215</v>
      </c>
      <c r="Y80" s="160">
        <v>46217</v>
      </c>
      <c r="Z80" s="159" t="s">
        <v>40</v>
      </c>
      <c r="AA80" s="159" t="s">
        <v>422</v>
      </c>
      <c r="AB80" s="161">
        <v>0</v>
      </c>
      <c r="AC80" s="163">
        <v>46225</v>
      </c>
      <c r="AD80" s="163">
        <v>46230</v>
      </c>
      <c r="AE80" s="162" t="s">
        <v>40</v>
      </c>
      <c r="AF80" s="162" t="s">
        <v>422</v>
      </c>
      <c r="AG80" s="164">
        <v>0</v>
      </c>
      <c r="AH80" s="165">
        <v>46231</v>
      </c>
      <c r="AI80" s="165">
        <v>46233</v>
      </c>
      <c r="AJ80" s="166" t="s">
        <v>165</v>
      </c>
      <c r="AK80" s="166" t="s">
        <v>422</v>
      </c>
      <c r="AL80" s="167">
        <v>0</v>
      </c>
      <c r="AM80" s="169">
        <v>46332</v>
      </c>
      <c r="AN80" s="169">
        <v>46338</v>
      </c>
      <c r="AO80" s="168" t="s">
        <v>40</v>
      </c>
      <c r="AP80" s="170">
        <v>0</v>
      </c>
      <c r="AQ80"/>
    </row>
    <row r="81" spans="1:43">
      <c r="A81" s="146" t="s">
        <v>423</v>
      </c>
      <c r="B81" s="147">
        <v>50717</v>
      </c>
      <c r="C81" s="147">
        <v>1</v>
      </c>
      <c r="D81" s="149">
        <v>46170</v>
      </c>
      <c r="E81" s="149">
        <v>46175</v>
      </c>
      <c r="F81" s="148" t="s">
        <v>40</v>
      </c>
      <c r="G81" s="148" t="s">
        <v>436</v>
      </c>
      <c r="H81" s="151">
        <v>0</v>
      </c>
      <c r="I81" s="169">
        <v>46190</v>
      </c>
      <c r="J81" s="169">
        <v>46196</v>
      </c>
      <c r="K81" s="168" t="s">
        <v>40</v>
      </c>
      <c r="L81" s="168" t="s">
        <v>422</v>
      </c>
      <c r="M81" s="179">
        <v>0</v>
      </c>
      <c r="N81" s="153">
        <v>46190</v>
      </c>
      <c r="O81" s="153">
        <v>46196</v>
      </c>
      <c r="P81" s="152" t="s">
        <v>40</v>
      </c>
      <c r="Q81" s="152" t="s">
        <v>422</v>
      </c>
      <c r="R81" s="155">
        <v>0</v>
      </c>
      <c r="S81" s="157">
        <v>46209</v>
      </c>
      <c r="T81" s="157">
        <v>46214</v>
      </c>
      <c r="U81" s="156" t="s">
        <v>40</v>
      </c>
      <c r="V81" s="156" t="s">
        <v>422</v>
      </c>
      <c r="W81" s="158">
        <v>0</v>
      </c>
      <c r="X81" s="160">
        <v>46215</v>
      </c>
      <c r="Y81" s="160">
        <v>46217</v>
      </c>
      <c r="Z81" s="159" t="s">
        <v>40</v>
      </c>
      <c r="AA81" s="159" t="s">
        <v>422</v>
      </c>
      <c r="AB81" s="161">
        <v>0</v>
      </c>
      <c r="AC81" s="163">
        <v>46225</v>
      </c>
      <c r="AD81" s="163">
        <v>46230</v>
      </c>
      <c r="AE81" s="162" t="s">
        <v>40</v>
      </c>
      <c r="AF81" s="162" t="s">
        <v>422</v>
      </c>
      <c r="AG81" s="164">
        <v>0</v>
      </c>
      <c r="AH81" s="165">
        <v>46231</v>
      </c>
      <c r="AI81" s="165">
        <v>46233</v>
      </c>
      <c r="AJ81" s="166" t="s">
        <v>165</v>
      </c>
      <c r="AK81" s="166" t="s">
        <v>422</v>
      </c>
      <c r="AL81" s="167">
        <v>0</v>
      </c>
      <c r="AM81" s="169">
        <v>46332</v>
      </c>
      <c r="AN81" s="169">
        <v>46338</v>
      </c>
      <c r="AO81" s="168" t="s">
        <v>40</v>
      </c>
      <c r="AP81" s="170">
        <v>0</v>
      </c>
      <c r="AQ81"/>
    </row>
    <row r="82" spans="1:43">
      <c r="A82" s="146" t="s">
        <v>423</v>
      </c>
      <c r="B82" s="147">
        <v>50718</v>
      </c>
      <c r="C82" s="147">
        <v>1</v>
      </c>
      <c r="D82" s="149">
        <v>46170</v>
      </c>
      <c r="E82" s="149">
        <v>46175</v>
      </c>
      <c r="F82" s="148" t="s">
        <v>40</v>
      </c>
      <c r="G82" s="148" t="s">
        <v>436</v>
      </c>
      <c r="H82" s="151">
        <v>0</v>
      </c>
      <c r="I82" s="169">
        <v>46190</v>
      </c>
      <c r="J82" s="169">
        <v>46196</v>
      </c>
      <c r="K82" s="168" t="s">
        <v>40</v>
      </c>
      <c r="L82" s="168" t="s">
        <v>422</v>
      </c>
      <c r="M82" s="179">
        <v>0</v>
      </c>
      <c r="N82" s="153">
        <v>46190</v>
      </c>
      <c r="O82" s="153">
        <v>46196</v>
      </c>
      <c r="P82" s="152" t="s">
        <v>40</v>
      </c>
      <c r="Q82" s="152" t="s">
        <v>422</v>
      </c>
      <c r="R82" s="155">
        <v>0</v>
      </c>
      <c r="S82" s="157">
        <v>46209</v>
      </c>
      <c r="T82" s="157">
        <v>46214</v>
      </c>
      <c r="U82" s="156" t="s">
        <v>40</v>
      </c>
      <c r="V82" s="156" t="s">
        <v>422</v>
      </c>
      <c r="W82" s="158">
        <v>0</v>
      </c>
      <c r="X82" s="160">
        <v>46215</v>
      </c>
      <c r="Y82" s="160">
        <v>46217</v>
      </c>
      <c r="Z82" s="159" t="s">
        <v>40</v>
      </c>
      <c r="AA82" s="159" t="s">
        <v>422</v>
      </c>
      <c r="AB82" s="161">
        <v>0</v>
      </c>
      <c r="AC82" s="163">
        <v>46225</v>
      </c>
      <c r="AD82" s="163">
        <v>46230</v>
      </c>
      <c r="AE82" s="162" t="s">
        <v>40</v>
      </c>
      <c r="AF82" s="162" t="s">
        <v>422</v>
      </c>
      <c r="AG82" s="164">
        <v>0</v>
      </c>
      <c r="AH82" s="165">
        <v>46231</v>
      </c>
      <c r="AI82" s="165">
        <v>46233</v>
      </c>
      <c r="AJ82" s="166" t="s">
        <v>165</v>
      </c>
      <c r="AK82" s="166" t="s">
        <v>422</v>
      </c>
      <c r="AL82" s="167">
        <v>0</v>
      </c>
      <c r="AM82" s="169">
        <v>46332</v>
      </c>
      <c r="AN82" s="169">
        <v>46338</v>
      </c>
      <c r="AO82" s="168" t="s">
        <v>40</v>
      </c>
      <c r="AP82" s="170">
        <v>0</v>
      </c>
      <c r="AQ82"/>
    </row>
    <row r="83" spans="1:43">
      <c r="A83" s="146" t="s">
        <v>423</v>
      </c>
      <c r="B83" s="147">
        <v>50719</v>
      </c>
      <c r="C83" s="147">
        <v>1</v>
      </c>
      <c r="D83" s="149">
        <v>46170</v>
      </c>
      <c r="E83" s="149">
        <v>46175</v>
      </c>
      <c r="F83" s="148" t="s">
        <v>40</v>
      </c>
      <c r="G83" s="148" t="s">
        <v>436</v>
      </c>
      <c r="H83" s="151">
        <v>0</v>
      </c>
      <c r="I83" s="169">
        <v>46190</v>
      </c>
      <c r="J83" s="169">
        <v>46196</v>
      </c>
      <c r="K83" s="168" t="s">
        <v>40</v>
      </c>
      <c r="L83" s="168" t="s">
        <v>422</v>
      </c>
      <c r="M83" s="179">
        <v>0</v>
      </c>
      <c r="N83" s="153">
        <v>46190</v>
      </c>
      <c r="O83" s="153">
        <v>46196</v>
      </c>
      <c r="P83" s="152" t="s">
        <v>40</v>
      </c>
      <c r="Q83" s="152" t="s">
        <v>422</v>
      </c>
      <c r="R83" s="155">
        <v>0</v>
      </c>
      <c r="S83" s="157">
        <v>46209</v>
      </c>
      <c r="T83" s="157">
        <v>46214</v>
      </c>
      <c r="U83" s="156" t="s">
        <v>40</v>
      </c>
      <c r="V83" s="156" t="s">
        <v>422</v>
      </c>
      <c r="W83" s="158">
        <v>0</v>
      </c>
      <c r="X83" s="160">
        <v>46215</v>
      </c>
      <c r="Y83" s="160">
        <v>46217</v>
      </c>
      <c r="Z83" s="159" t="s">
        <v>40</v>
      </c>
      <c r="AA83" s="159" t="s">
        <v>422</v>
      </c>
      <c r="AB83" s="161">
        <v>0</v>
      </c>
      <c r="AC83" s="163">
        <v>46225</v>
      </c>
      <c r="AD83" s="163">
        <v>46230</v>
      </c>
      <c r="AE83" s="162" t="s">
        <v>40</v>
      </c>
      <c r="AF83" s="162" t="s">
        <v>422</v>
      </c>
      <c r="AG83" s="164">
        <v>0</v>
      </c>
      <c r="AH83" s="165">
        <v>46231</v>
      </c>
      <c r="AI83" s="165">
        <v>46233</v>
      </c>
      <c r="AJ83" s="166" t="s">
        <v>165</v>
      </c>
      <c r="AK83" s="166" t="s">
        <v>422</v>
      </c>
      <c r="AL83" s="167">
        <v>0</v>
      </c>
      <c r="AM83" s="169">
        <v>46332</v>
      </c>
      <c r="AN83" s="169">
        <v>46338</v>
      </c>
      <c r="AO83" s="168" t="s">
        <v>40</v>
      </c>
      <c r="AP83" s="170">
        <v>0</v>
      </c>
      <c r="AQ83"/>
    </row>
    <row r="84" spans="1:43">
      <c r="A84" s="146" t="s">
        <v>423</v>
      </c>
      <c r="B84" s="147">
        <v>50720</v>
      </c>
      <c r="C84" s="147">
        <v>1</v>
      </c>
      <c r="D84" s="149">
        <v>46170</v>
      </c>
      <c r="E84" s="149">
        <v>46175</v>
      </c>
      <c r="F84" s="148" t="s">
        <v>40</v>
      </c>
      <c r="G84" s="148" t="s">
        <v>436</v>
      </c>
      <c r="H84" s="151">
        <v>0</v>
      </c>
      <c r="I84" s="169">
        <v>46190</v>
      </c>
      <c r="J84" s="169">
        <v>46196</v>
      </c>
      <c r="K84" s="168" t="s">
        <v>40</v>
      </c>
      <c r="L84" s="168" t="s">
        <v>422</v>
      </c>
      <c r="M84" s="179">
        <v>0</v>
      </c>
      <c r="N84" s="153">
        <v>46190</v>
      </c>
      <c r="O84" s="153">
        <v>46196</v>
      </c>
      <c r="P84" s="152" t="s">
        <v>40</v>
      </c>
      <c r="Q84" s="152" t="s">
        <v>422</v>
      </c>
      <c r="R84" s="155">
        <v>0</v>
      </c>
      <c r="S84" s="157">
        <v>46209</v>
      </c>
      <c r="T84" s="157">
        <v>46214</v>
      </c>
      <c r="U84" s="156" t="s">
        <v>40</v>
      </c>
      <c r="V84" s="156" t="s">
        <v>422</v>
      </c>
      <c r="W84" s="158">
        <v>0</v>
      </c>
      <c r="X84" s="160">
        <v>46215</v>
      </c>
      <c r="Y84" s="160">
        <v>46217</v>
      </c>
      <c r="Z84" s="159" t="s">
        <v>40</v>
      </c>
      <c r="AA84" s="159" t="s">
        <v>422</v>
      </c>
      <c r="AB84" s="161">
        <v>0</v>
      </c>
      <c r="AC84" s="163">
        <v>46225</v>
      </c>
      <c r="AD84" s="163">
        <v>46230</v>
      </c>
      <c r="AE84" s="162" t="s">
        <v>40</v>
      </c>
      <c r="AF84" s="162" t="s">
        <v>422</v>
      </c>
      <c r="AG84" s="164">
        <v>0</v>
      </c>
      <c r="AH84" s="165">
        <v>46231</v>
      </c>
      <c r="AI84" s="165">
        <v>46233</v>
      </c>
      <c r="AJ84" s="166" t="s">
        <v>165</v>
      </c>
      <c r="AK84" s="166" t="s">
        <v>422</v>
      </c>
      <c r="AL84" s="167">
        <v>0</v>
      </c>
      <c r="AM84" s="169">
        <v>46332</v>
      </c>
      <c r="AN84" s="169">
        <v>46338</v>
      </c>
      <c r="AO84" s="168" t="s">
        <v>40</v>
      </c>
      <c r="AP84" s="170">
        <v>0</v>
      </c>
      <c r="AQ84"/>
    </row>
    <row r="85" spans="1:43">
      <c r="A85" s="146" t="s">
        <v>423</v>
      </c>
      <c r="B85" s="147">
        <v>50721</v>
      </c>
      <c r="C85" s="147">
        <v>1</v>
      </c>
      <c r="D85" s="149">
        <v>46170</v>
      </c>
      <c r="E85" s="149">
        <v>46175</v>
      </c>
      <c r="F85" s="148" t="s">
        <v>40</v>
      </c>
      <c r="G85" s="148" t="s">
        <v>436</v>
      </c>
      <c r="H85" s="151">
        <v>0</v>
      </c>
      <c r="I85" s="169">
        <v>46190</v>
      </c>
      <c r="J85" s="169">
        <v>46196</v>
      </c>
      <c r="K85" s="168" t="s">
        <v>40</v>
      </c>
      <c r="L85" s="168" t="s">
        <v>422</v>
      </c>
      <c r="M85" s="179">
        <v>0</v>
      </c>
      <c r="N85" s="153">
        <v>46190</v>
      </c>
      <c r="O85" s="153">
        <v>46196</v>
      </c>
      <c r="P85" s="152" t="s">
        <v>40</v>
      </c>
      <c r="Q85" s="152" t="s">
        <v>422</v>
      </c>
      <c r="R85" s="155">
        <v>0</v>
      </c>
      <c r="S85" s="157">
        <v>46209</v>
      </c>
      <c r="T85" s="157">
        <v>46214</v>
      </c>
      <c r="U85" s="156" t="s">
        <v>40</v>
      </c>
      <c r="V85" s="156" t="s">
        <v>422</v>
      </c>
      <c r="W85" s="158">
        <v>0</v>
      </c>
      <c r="X85" s="160">
        <v>46215</v>
      </c>
      <c r="Y85" s="160">
        <v>46217</v>
      </c>
      <c r="Z85" s="159" t="s">
        <v>40</v>
      </c>
      <c r="AA85" s="159" t="s">
        <v>422</v>
      </c>
      <c r="AB85" s="161">
        <v>0</v>
      </c>
      <c r="AC85" s="163">
        <v>46225</v>
      </c>
      <c r="AD85" s="163">
        <v>46230</v>
      </c>
      <c r="AE85" s="162" t="s">
        <v>40</v>
      </c>
      <c r="AF85" s="162" t="s">
        <v>422</v>
      </c>
      <c r="AG85" s="164">
        <v>0</v>
      </c>
      <c r="AH85" s="165">
        <v>46231</v>
      </c>
      <c r="AI85" s="165">
        <v>46233</v>
      </c>
      <c r="AJ85" s="166" t="s">
        <v>165</v>
      </c>
      <c r="AK85" s="166" t="s">
        <v>422</v>
      </c>
      <c r="AL85" s="167">
        <v>0</v>
      </c>
      <c r="AM85" s="169">
        <v>46332</v>
      </c>
      <c r="AN85" s="169">
        <v>46338</v>
      </c>
      <c r="AO85" s="168" t="s">
        <v>40</v>
      </c>
      <c r="AP85" s="170">
        <v>0</v>
      </c>
      <c r="AQ85"/>
    </row>
    <row r="86" spans="1:43">
      <c r="A86" s="146" t="s">
        <v>423</v>
      </c>
      <c r="B86" s="147">
        <v>50722</v>
      </c>
      <c r="C86" s="147">
        <v>1</v>
      </c>
      <c r="D86" s="149">
        <v>46170</v>
      </c>
      <c r="E86" s="149">
        <v>46175</v>
      </c>
      <c r="F86" s="148" t="s">
        <v>40</v>
      </c>
      <c r="G86" s="148" t="s">
        <v>436</v>
      </c>
      <c r="H86" s="151">
        <v>0</v>
      </c>
      <c r="I86" s="169">
        <v>46190</v>
      </c>
      <c r="J86" s="169">
        <v>46196</v>
      </c>
      <c r="K86" s="168" t="s">
        <v>40</v>
      </c>
      <c r="L86" s="168" t="s">
        <v>422</v>
      </c>
      <c r="M86" s="179">
        <v>0</v>
      </c>
      <c r="N86" s="153">
        <v>46190</v>
      </c>
      <c r="O86" s="153">
        <v>46196</v>
      </c>
      <c r="P86" s="152" t="s">
        <v>40</v>
      </c>
      <c r="Q86" s="152" t="s">
        <v>422</v>
      </c>
      <c r="R86" s="155">
        <v>0</v>
      </c>
      <c r="S86" s="157">
        <v>46209</v>
      </c>
      <c r="T86" s="157">
        <v>46214</v>
      </c>
      <c r="U86" s="156" t="s">
        <v>40</v>
      </c>
      <c r="V86" s="156" t="s">
        <v>422</v>
      </c>
      <c r="W86" s="158">
        <v>0</v>
      </c>
      <c r="X86" s="160">
        <v>46215</v>
      </c>
      <c r="Y86" s="160">
        <v>46217</v>
      </c>
      <c r="Z86" s="159" t="s">
        <v>40</v>
      </c>
      <c r="AA86" s="159" t="s">
        <v>422</v>
      </c>
      <c r="AB86" s="161">
        <v>0</v>
      </c>
      <c r="AC86" s="163">
        <v>46225</v>
      </c>
      <c r="AD86" s="163">
        <v>46230</v>
      </c>
      <c r="AE86" s="162" t="s">
        <v>40</v>
      </c>
      <c r="AF86" s="162" t="s">
        <v>422</v>
      </c>
      <c r="AG86" s="164">
        <v>0</v>
      </c>
      <c r="AH86" s="165">
        <v>46231</v>
      </c>
      <c r="AI86" s="165">
        <v>46233</v>
      </c>
      <c r="AJ86" s="166" t="s">
        <v>165</v>
      </c>
      <c r="AK86" s="166" t="s">
        <v>422</v>
      </c>
      <c r="AL86" s="167">
        <v>0</v>
      </c>
      <c r="AM86" s="169">
        <v>46332</v>
      </c>
      <c r="AN86" s="169">
        <v>46338</v>
      </c>
      <c r="AO86" s="168" t="s">
        <v>40</v>
      </c>
      <c r="AP86" s="170">
        <v>0</v>
      </c>
      <c r="AQ86"/>
    </row>
    <row r="87" spans="1:43">
      <c r="A87" s="146" t="s">
        <v>423</v>
      </c>
      <c r="B87" s="147">
        <v>50723</v>
      </c>
      <c r="C87" s="147">
        <v>1</v>
      </c>
      <c r="D87" s="149">
        <v>46170</v>
      </c>
      <c r="E87" s="149">
        <v>46175</v>
      </c>
      <c r="F87" s="148" t="s">
        <v>40</v>
      </c>
      <c r="G87" s="148" t="s">
        <v>436</v>
      </c>
      <c r="H87" s="151">
        <v>0</v>
      </c>
      <c r="I87" s="169">
        <v>46190</v>
      </c>
      <c r="J87" s="169">
        <v>46196</v>
      </c>
      <c r="K87" s="168" t="s">
        <v>40</v>
      </c>
      <c r="L87" s="168" t="s">
        <v>422</v>
      </c>
      <c r="M87" s="179">
        <v>0</v>
      </c>
      <c r="N87" s="153">
        <v>46190</v>
      </c>
      <c r="O87" s="153">
        <v>46196</v>
      </c>
      <c r="P87" s="152" t="s">
        <v>40</v>
      </c>
      <c r="Q87" s="152" t="s">
        <v>422</v>
      </c>
      <c r="R87" s="155">
        <v>0</v>
      </c>
      <c r="S87" s="157">
        <v>46209</v>
      </c>
      <c r="T87" s="157">
        <v>46214</v>
      </c>
      <c r="U87" s="156" t="s">
        <v>40</v>
      </c>
      <c r="V87" s="156" t="s">
        <v>422</v>
      </c>
      <c r="W87" s="158">
        <v>0</v>
      </c>
      <c r="X87" s="160">
        <v>46215</v>
      </c>
      <c r="Y87" s="160">
        <v>46217</v>
      </c>
      <c r="Z87" s="159" t="s">
        <v>40</v>
      </c>
      <c r="AA87" s="159" t="s">
        <v>422</v>
      </c>
      <c r="AB87" s="161">
        <v>0</v>
      </c>
      <c r="AC87" s="163">
        <v>46225</v>
      </c>
      <c r="AD87" s="163">
        <v>46230</v>
      </c>
      <c r="AE87" s="162" t="s">
        <v>40</v>
      </c>
      <c r="AF87" s="162" t="s">
        <v>422</v>
      </c>
      <c r="AG87" s="164">
        <v>0</v>
      </c>
      <c r="AH87" s="165">
        <v>46231</v>
      </c>
      <c r="AI87" s="165">
        <v>46233</v>
      </c>
      <c r="AJ87" s="166" t="s">
        <v>165</v>
      </c>
      <c r="AK87" s="166" t="s">
        <v>422</v>
      </c>
      <c r="AL87" s="167">
        <v>0</v>
      </c>
      <c r="AM87" s="169">
        <v>46332</v>
      </c>
      <c r="AN87" s="169">
        <v>46338</v>
      </c>
      <c r="AO87" s="168" t="s">
        <v>40</v>
      </c>
      <c r="AP87" s="170">
        <v>0</v>
      </c>
      <c r="AQ87"/>
    </row>
    <row r="88" spans="1:43">
      <c r="A88" s="146" t="s">
        <v>423</v>
      </c>
      <c r="B88" s="147">
        <v>50724</v>
      </c>
      <c r="C88" s="147">
        <v>1</v>
      </c>
      <c r="D88" s="149">
        <v>46170</v>
      </c>
      <c r="E88" s="149">
        <v>46175</v>
      </c>
      <c r="F88" s="148" t="s">
        <v>40</v>
      </c>
      <c r="G88" s="148" t="s">
        <v>436</v>
      </c>
      <c r="H88" s="151">
        <v>0</v>
      </c>
      <c r="I88" s="169">
        <v>46190</v>
      </c>
      <c r="J88" s="169">
        <v>46196</v>
      </c>
      <c r="K88" s="168" t="s">
        <v>40</v>
      </c>
      <c r="L88" s="168" t="s">
        <v>422</v>
      </c>
      <c r="M88" s="179">
        <v>0</v>
      </c>
      <c r="N88" s="153">
        <v>46190</v>
      </c>
      <c r="O88" s="153">
        <v>46196</v>
      </c>
      <c r="P88" s="152" t="s">
        <v>40</v>
      </c>
      <c r="Q88" s="152" t="s">
        <v>422</v>
      </c>
      <c r="R88" s="155">
        <v>0</v>
      </c>
      <c r="S88" s="157">
        <v>46209</v>
      </c>
      <c r="T88" s="157">
        <v>46214</v>
      </c>
      <c r="U88" s="156" t="s">
        <v>40</v>
      </c>
      <c r="V88" s="156" t="s">
        <v>422</v>
      </c>
      <c r="W88" s="158">
        <v>0</v>
      </c>
      <c r="X88" s="160">
        <v>46215</v>
      </c>
      <c r="Y88" s="160">
        <v>46217</v>
      </c>
      <c r="Z88" s="159" t="s">
        <v>40</v>
      </c>
      <c r="AA88" s="159" t="s">
        <v>422</v>
      </c>
      <c r="AB88" s="161">
        <v>0</v>
      </c>
      <c r="AC88" s="163">
        <v>46225</v>
      </c>
      <c r="AD88" s="163">
        <v>46230</v>
      </c>
      <c r="AE88" s="162" t="s">
        <v>40</v>
      </c>
      <c r="AF88" s="162" t="s">
        <v>422</v>
      </c>
      <c r="AG88" s="164">
        <v>0</v>
      </c>
      <c r="AH88" s="165">
        <v>46231</v>
      </c>
      <c r="AI88" s="165">
        <v>46233</v>
      </c>
      <c r="AJ88" s="166" t="s">
        <v>165</v>
      </c>
      <c r="AK88" s="166" t="s">
        <v>422</v>
      </c>
      <c r="AL88" s="167">
        <v>0</v>
      </c>
      <c r="AM88" s="169">
        <v>46332</v>
      </c>
      <c r="AN88" s="169">
        <v>46338</v>
      </c>
      <c r="AO88" s="168" t="s">
        <v>40</v>
      </c>
      <c r="AP88" s="170">
        <v>0</v>
      </c>
      <c r="AQ88"/>
    </row>
    <row r="89" spans="1:43">
      <c r="A89" s="146" t="s">
        <v>423</v>
      </c>
      <c r="B89" s="147">
        <v>50725</v>
      </c>
      <c r="C89" s="147">
        <v>1</v>
      </c>
      <c r="D89" s="149">
        <v>46170</v>
      </c>
      <c r="E89" s="149">
        <v>46175</v>
      </c>
      <c r="F89" s="148" t="s">
        <v>40</v>
      </c>
      <c r="G89" s="148" t="s">
        <v>436</v>
      </c>
      <c r="H89" s="151">
        <v>0</v>
      </c>
      <c r="I89" s="169">
        <v>46190</v>
      </c>
      <c r="J89" s="169">
        <v>46196</v>
      </c>
      <c r="K89" s="168" t="s">
        <v>40</v>
      </c>
      <c r="L89" s="168" t="s">
        <v>422</v>
      </c>
      <c r="M89" s="179">
        <v>0</v>
      </c>
      <c r="N89" s="153">
        <v>46190</v>
      </c>
      <c r="O89" s="153">
        <v>46196</v>
      </c>
      <c r="P89" s="152" t="s">
        <v>40</v>
      </c>
      <c r="Q89" s="152" t="s">
        <v>422</v>
      </c>
      <c r="R89" s="155">
        <v>0</v>
      </c>
      <c r="S89" s="157">
        <v>46209</v>
      </c>
      <c r="T89" s="157">
        <v>46214</v>
      </c>
      <c r="U89" s="156" t="s">
        <v>40</v>
      </c>
      <c r="V89" s="156" t="s">
        <v>422</v>
      </c>
      <c r="W89" s="158">
        <v>0</v>
      </c>
      <c r="X89" s="160">
        <v>46215</v>
      </c>
      <c r="Y89" s="160">
        <v>46217</v>
      </c>
      <c r="Z89" s="159" t="s">
        <v>40</v>
      </c>
      <c r="AA89" s="159" t="s">
        <v>422</v>
      </c>
      <c r="AB89" s="161">
        <v>0</v>
      </c>
      <c r="AC89" s="163">
        <v>46225</v>
      </c>
      <c r="AD89" s="163">
        <v>46230</v>
      </c>
      <c r="AE89" s="162" t="s">
        <v>40</v>
      </c>
      <c r="AF89" s="162" t="s">
        <v>422</v>
      </c>
      <c r="AG89" s="164">
        <v>0</v>
      </c>
      <c r="AH89" s="165">
        <v>46231</v>
      </c>
      <c r="AI89" s="165">
        <v>46233</v>
      </c>
      <c r="AJ89" s="166" t="s">
        <v>165</v>
      </c>
      <c r="AK89" s="166" t="s">
        <v>422</v>
      </c>
      <c r="AL89" s="167">
        <v>0</v>
      </c>
      <c r="AM89" s="169">
        <v>46332</v>
      </c>
      <c r="AN89" s="169">
        <v>46338</v>
      </c>
      <c r="AO89" s="168" t="s">
        <v>40</v>
      </c>
      <c r="AP89" s="170">
        <v>0</v>
      </c>
      <c r="AQ89"/>
    </row>
    <row r="90" spans="1:43">
      <c r="A90" s="146" t="s">
        <v>423</v>
      </c>
      <c r="B90" s="147">
        <v>50726</v>
      </c>
      <c r="C90" s="147">
        <v>1</v>
      </c>
      <c r="D90" s="149">
        <v>46170</v>
      </c>
      <c r="E90" s="149">
        <v>46175</v>
      </c>
      <c r="F90" s="148" t="s">
        <v>40</v>
      </c>
      <c r="G90" s="148" t="s">
        <v>436</v>
      </c>
      <c r="H90" s="151">
        <v>0</v>
      </c>
      <c r="I90" s="169">
        <v>46190</v>
      </c>
      <c r="J90" s="169">
        <v>46196</v>
      </c>
      <c r="K90" s="168" t="s">
        <v>40</v>
      </c>
      <c r="L90" s="168" t="s">
        <v>422</v>
      </c>
      <c r="M90" s="179">
        <v>0</v>
      </c>
      <c r="N90" s="153">
        <v>46190</v>
      </c>
      <c r="O90" s="153">
        <v>46196</v>
      </c>
      <c r="P90" s="152" t="s">
        <v>40</v>
      </c>
      <c r="Q90" s="152" t="s">
        <v>422</v>
      </c>
      <c r="R90" s="155">
        <v>0</v>
      </c>
      <c r="S90" s="157">
        <v>46209</v>
      </c>
      <c r="T90" s="157">
        <v>46214</v>
      </c>
      <c r="U90" s="156" t="s">
        <v>40</v>
      </c>
      <c r="V90" s="156" t="s">
        <v>422</v>
      </c>
      <c r="W90" s="158">
        <v>0</v>
      </c>
      <c r="X90" s="160">
        <v>46215</v>
      </c>
      <c r="Y90" s="160">
        <v>46217</v>
      </c>
      <c r="Z90" s="159" t="s">
        <v>40</v>
      </c>
      <c r="AA90" s="159" t="s">
        <v>422</v>
      </c>
      <c r="AB90" s="161">
        <v>0</v>
      </c>
      <c r="AC90" s="163">
        <v>46225</v>
      </c>
      <c r="AD90" s="163">
        <v>46230</v>
      </c>
      <c r="AE90" s="162" t="s">
        <v>40</v>
      </c>
      <c r="AF90" s="162" t="s">
        <v>422</v>
      </c>
      <c r="AG90" s="164">
        <v>0</v>
      </c>
      <c r="AH90" s="165">
        <v>46231</v>
      </c>
      <c r="AI90" s="165">
        <v>46233</v>
      </c>
      <c r="AJ90" s="166" t="s">
        <v>165</v>
      </c>
      <c r="AK90" s="166" t="s">
        <v>422</v>
      </c>
      <c r="AL90" s="167">
        <v>0</v>
      </c>
      <c r="AM90" s="169">
        <v>46332</v>
      </c>
      <c r="AN90" s="169">
        <v>46338</v>
      </c>
      <c r="AO90" s="168" t="s">
        <v>40</v>
      </c>
      <c r="AP90" s="170">
        <v>0</v>
      </c>
      <c r="AQ90"/>
    </row>
    <row r="91" spans="1:43">
      <c r="A91" s="146" t="s">
        <v>423</v>
      </c>
      <c r="B91" s="147">
        <v>50727</v>
      </c>
      <c r="C91" s="147">
        <v>1</v>
      </c>
      <c r="D91" s="149">
        <v>46170</v>
      </c>
      <c r="E91" s="149">
        <v>46175</v>
      </c>
      <c r="F91" s="148" t="s">
        <v>40</v>
      </c>
      <c r="G91" s="148" t="s">
        <v>436</v>
      </c>
      <c r="H91" s="151">
        <v>0</v>
      </c>
      <c r="I91" s="169">
        <v>46190</v>
      </c>
      <c r="J91" s="169">
        <v>46196</v>
      </c>
      <c r="K91" s="168" t="s">
        <v>40</v>
      </c>
      <c r="L91" s="168" t="s">
        <v>422</v>
      </c>
      <c r="M91" s="179">
        <v>0</v>
      </c>
      <c r="N91" s="153">
        <v>46190</v>
      </c>
      <c r="O91" s="153">
        <v>46196</v>
      </c>
      <c r="P91" s="152" t="s">
        <v>40</v>
      </c>
      <c r="Q91" s="152" t="s">
        <v>422</v>
      </c>
      <c r="R91" s="155">
        <v>0</v>
      </c>
      <c r="S91" s="157">
        <v>46209</v>
      </c>
      <c r="T91" s="157">
        <v>46214</v>
      </c>
      <c r="U91" s="156" t="s">
        <v>40</v>
      </c>
      <c r="V91" s="156" t="s">
        <v>422</v>
      </c>
      <c r="W91" s="158">
        <v>0</v>
      </c>
      <c r="X91" s="160">
        <v>46215</v>
      </c>
      <c r="Y91" s="160">
        <v>46217</v>
      </c>
      <c r="Z91" s="159" t="s">
        <v>40</v>
      </c>
      <c r="AA91" s="159" t="s">
        <v>422</v>
      </c>
      <c r="AB91" s="161">
        <v>0</v>
      </c>
      <c r="AC91" s="163">
        <v>46225</v>
      </c>
      <c r="AD91" s="163">
        <v>46230</v>
      </c>
      <c r="AE91" s="162" t="s">
        <v>40</v>
      </c>
      <c r="AF91" s="162" t="s">
        <v>422</v>
      </c>
      <c r="AG91" s="164">
        <v>0</v>
      </c>
      <c r="AH91" s="165">
        <v>46231</v>
      </c>
      <c r="AI91" s="165">
        <v>46233</v>
      </c>
      <c r="AJ91" s="166" t="s">
        <v>165</v>
      </c>
      <c r="AK91" s="166" t="s">
        <v>422</v>
      </c>
      <c r="AL91" s="167">
        <v>0</v>
      </c>
      <c r="AM91" s="169">
        <v>46332</v>
      </c>
      <c r="AN91" s="169">
        <v>46338</v>
      </c>
      <c r="AO91" s="168" t="s">
        <v>40</v>
      </c>
      <c r="AP91" s="170">
        <v>0</v>
      </c>
      <c r="AQ91"/>
    </row>
    <row r="92" spans="1:43">
      <c r="A92" s="146" t="s">
        <v>423</v>
      </c>
      <c r="B92" s="147">
        <v>50728</v>
      </c>
      <c r="C92" s="147">
        <v>1</v>
      </c>
      <c r="D92" s="149">
        <v>46170</v>
      </c>
      <c r="E92" s="149">
        <v>46175</v>
      </c>
      <c r="F92" s="148" t="s">
        <v>40</v>
      </c>
      <c r="G92" s="148" t="s">
        <v>436</v>
      </c>
      <c r="H92" s="151">
        <v>0</v>
      </c>
      <c r="I92" s="169">
        <v>46190</v>
      </c>
      <c r="J92" s="169">
        <v>46196</v>
      </c>
      <c r="K92" s="168" t="s">
        <v>40</v>
      </c>
      <c r="L92" s="168" t="s">
        <v>422</v>
      </c>
      <c r="M92" s="179">
        <v>0</v>
      </c>
      <c r="N92" s="153">
        <v>46190</v>
      </c>
      <c r="O92" s="153">
        <v>46196</v>
      </c>
      <c r="P92" s="152" t="s">
        <v>40</v>
      </c>
      <c r="Q92" s="152" t="s">
        <v>422</v>
      </c>
      <c r="R92" s="155">
        <v>0</v>
      </c>
      <c r="S92" s="157">
        <v>46209</v>
      </c>
      <c r="T92" s="157">
        <v>46214</v>
      </c>
      <c r="U92" s="156" t="s">
        <v>40</v>
      </c>
      <c r="V92" s="156" t="s">
        <v>422</v>
      </c>
      <c r="W92" s="158">
        <v>0</v>
      </c>
      <c r="X92" s="160">
        <v>46215</v>
      </c>
      <c r="Y92" s="160">
        <v>46217</v>
      </c>
      <c r="Z92" s="159" t="s">
        <v>40</v>
      </c>
      <c r="AA92" s="159" t="s">
        <v>422</v>
      </c>
      <c r="AB92" s="161">
        <v>0</v>
      </c>
      <c r="AC92" s="163">
        <v>46225</v>
      </c>
      <c r="AD92" s="163">
        <v>46230</v>
      </c>
      <c r="AE92" s="162" t="s">
        <v>40</v>
      </c>
      <c r="AF92" s="162" t="s">
        <v>422</v>
      </c>
      <c r="AG92" s="164">
        <v>0</v>
      </c>
      <c r="AH92" s="165">
        <v>46231</v>
      </c>
      <c r="AI92" s="165">
        <v>46233</v>
      </c>
      <c r="AJ92" s="166" t="s">
        <v>165</v>
      </c>
      <c r="AK92" s="166" t="s">
        <v>422</v>
      </c>
      <c r="AL92" s="167">
        <v>0</v>
      </c>
      <c r="AM92" s="169">
        <v>46332</v>
      </c>
      <c r="AN92" s="169">
        <v>46338</v>
      </c>
      <c r="AO92" s="168" t="s">
        <v>40</v>
      </c>
      <c r="AP92" s="170">
        <v>0</v>
      </c>
      <c r="AQ92"/>
    </row>
    <row r="93" spans="1:43">
      <c r="A93" s="146" t="s">
        <v>423</v>
      </c>
      <c r="B93" s="147">
        <v>50729</v>
      </c>
      <c r="C93" s="147">
        <v>1</v>
      </c>
      <c r="D93" s="149">
        <v>46170</v>
      </c>
      <c r="E93" s="149">
        <v>46175</v>
      </c>
      <c r="F93" s="148" t="s">
        <v>40</v>
      </c>
      <c r="G93" s="148" t="s">
        <v>436</v>
      </c>
      <c r="H93" s="151">
        <v>0</v>
      </c>
      <c r="I93" s="169">
        <v>46190</v>
      </c>
      <c r="J93" s="169">
        <v>46196</v>
      </c>
      <c r="K93" s="168" t="s">
        <v>40</v>
      </c>
      <c r="L93" s="168" t="s">
        <v>422</v>
      </c>
      <c r="M93" s="179">
        <v>0</v>
      </c>
      <c r="N93" s="153">
        <v>46190</v>
      </c>
      <c r="O93" s="153">
        <v>46196</v>
      </c>
      <c r="P93" s="152" t="s">
        <v>40</v>
      </c>
      <c r="Q93" s="152" t="s">
        <v>422</v>
      </c>
      <c r="R93" s="155">
        <v>0</v>
      </c>
      <c r="S93" s="157">
        <v>46209</v>
      </c>
      <c r="T93" s="157">
        <v>46214</v>
      </c>
      <c r="U93" s="156" t="s">
        <v>40</v>
      </c>
      <c r="V93" s="156" t="s">
        <v>422</v>
      </c>
      <c r="W93" s="158">
        <v>0</v>
      </c>
      <c r="X93" s="160">
        <v>46215</v>
      </c>
      <c r="Y93" s="160">
        <v>46217</v>
      </c>
      <c r="Z93" s="159" t="s">
        <v>40</v>
      </c>
      <c r="AA93" s="159" t="s">
        <v>422</v>
      </c>
      <c r="AB93" s="161">
        <v>0</v>
      </c>
      <c r="AC93" s="163">
        <v>46225</v>
      </c>
      <c r="AD93" s="163">
        <v>46230</v>
      </c>
      <c r="AE93" s="162" t="s">
        <v>40</v>
      </c>
      <c r="AF93" s="162" t="s">
        <v>422</v>
      </c>
      <c r="AG93" s="164">
        <v>0</v>
      </c>
      <c r="AH93" s="165">
        <v>46231</v>
      </c>
      <c r="AI93" s="165">
        <v>46233</v>
      </c>
      <c r="AJ93" s="166" t="s">
        <v>165</v>
      </c>
      <c r="AK93" s="166" t="s">
        <v>422</v>
      </c>
      <c r="AL93" s="167">
        <v>0</v>
      </c>
      <c r="AM93" s="169">
        <v>46332</v>
      </c>
      <c r="AN93" s="169">
        <v>46338</v>
      </c>
      <c r="AO93" s="168" t="s">
        <v>40</v>
      </c>
      <c r="AP93" s="170">
        <v>0</v>
      </c>
      <c r="AQ93"/>
    </row>
    <row r="94" spans="1:43">
      <c r="A94" s="146" t="s">
        <v>423</v>
      </c>
      <c r="B94" s="147">
        <v>50730</v>
      </c>
      <c r="C94" s="147">
        <v>1</v>
      </c>
      <c r="D94" s="149">
        <v>46170</v>
      </c>
      <c r="E94" s="149">
        <v>46175</v>
      </c>
      <c r="F94" s="148" t="s">
        <v>40</v>
      </c>
      <c r="G94" s="148" t="s">
        <v>436</v>
      </c>
      <c r="H94" s="151">
        <v>0</v>
      </c>
      <c r="I94" s="169">
        <v>46190</v>
      </c>
      <c r="J94" s="169">
        <v>46196</v>
      </c>
      <c r="K94" s="168" t="s">
        <v>40</v>
      </c>
      <c r="L94" s="168" t="s">
        <v>422</v>
      </c>
      <c r="M94" s="179">
        <v>0</v>
      </c>
      <c r="N94" s="153">
        <v>46190</v>
      </c>
      <c r="O94" s="153">
        <v>46196</v>
      </c>
      <c r="P94" s="152" t="s">
        <v>40</v>
      </c>
      <c r="Q94" s="152" t="s">
        <v>422</v>
      </c>
      <c r="R94" s="155">
        <v>0</v>
      </c>
      <c r="S94" s="157">
        <v>46209</v>
      </c>
      <c r="T94" s="157">
        <v>46214</v>
      </c>
      <c r="U94" s="156" t="s">
        <v>40</v>
      </c>
      <c r="V94" s="156" t="s">
        <v>422</v>
      </c>
      <c r="W94" s="158">
        <v>0</v>
      </c>
      <c r="X94" s="160">
        <v>46215</v>
      </c>
      <c r="Y94" s="160">
        <v>46217</v>
      </c>
      <c r="Z94" s="159" t="s">
        <v>40</v>
      </c>
      <c r="AA94" s="159" t="s">
        <v>422</v>
      </c>
      <c r="AB94" s="161">
        <v>0</v>
      </c>
      <c r="AC94" s="163">
        <v>46225</v>
      </c>
      <c r="AD94" s="163">
        <v>46230</v>
      </c>
      <c r="AE94" s="162" t="s">
        <v>40</v>
      </c>
      <c r="AF94" s="162" t="s">
        <v>422</v>
      </c>
      <c r="AG94" s="164">
        <v>0</v>
      </c>
      <c r="AH94" s="165">
        <v>46231</v>
      </c>
      <c r="AI94" s="165">
        <v>46233</v>
      </c>
      <c r="AJ94" s="166" t="s">
        <v>165</v>
      </c>
      <c r="AK94" s="166" t="s">
        <v>422</v>
      </c>
      <c r="AL94" s="167">
        <v>0</v>
      </c>
      <c r="AM94" s="169">
        <v>46332</v>
      </c>
      <c r="AN94" s="169">
        <v>46338</v>
      </c>
      <c r="AO94" s="168" t="s">
        <v>40</v>
      </c>
      <c r="AP94" s="170">
        <v>0</v>
      </c>
      <c r="AQ94"/>
    </row>
    <row r="95" spans="1:43">
      <c r="A95" s="146" t="s">
        <v>423</v>
      </c>
      <c r="B95" s="147">
        <v>50731</v>
      </c>
      <c r="C95" s="147">
        <v>1</v>
      </c>
      <c r="D95" s="149">
        <v>46170</v>
      </c>
      <c r="E95" s="149">
        <v>46175</v>
      </c>
      <c r="F95" s="148" t="s">
        <v>40</v>
      </c>
      <c r="G95" s="148" t="s">
        <v>436</v>
      </c>
      <c r="H95" s="151">
        <v>0</v>
      </c>
      <c r="I95" s="169">
        <v>46197</v>
      </c>
      <c r="J95" s="169">
        <v>46201</v>
      </c>
      <c r="K95" s="168" t="s">
        <v>40</v>
      </c>
      <c r="L95" s="168" t="s">
        <v>422</v>
      </c>
      <c r="M95" s="179">
        <v>0</v>
      </c>
      <c r="N95" s="153">
        <v>46197</v>
      </c>
      <c r="O95" s="153">
        <v>46201</v>
      </c>
      <c r="P95" s="152" t="s">
        <v>40</v>
      </c>
      <c r="Q95" s="152" t="s">
        <v>422</v>
      </c>
      <c r="R95" s="155">
        <v>0</v>
      </c>
      <c r="S95" s="157">
        <v>46209</v>
      </c>
      <c r="T95" s="157">
        <v>46214</v>
      </c>
      <c r="U95" s="156" t="s">
        <v>40</v>
      </c>
      <c r="V95" s="156" t="s">
        <v>422</v>
      </c>
      <c r="W95" s="158">
        <v>0</v>
      </c>
      <c r="X95" s="160">
        <v>46215</v>
      </c>
      <c r="Y95" s="160">
        <v>46217</v>
      </c>
      <c r="Z95" s="159" t="s">
        <v>40</v>
      </c>
      <c r="AA95" s="159" t="s">
        <v>422</v>
      </c>
      <c r="AB95" s="161">
        <v>0</v>
      </c>
      <c r="AC95" s="163">
        <v>46225</v>
      </c>
      <c r="AD95" s="163">
        <v>46230</v>
      </c>
      <c r="AE95" s="162" t="s">
        <v>40</v>
      </c>
      <c r="AF95" s="162" t="s">
        <v>422</v>
      </c>
      <c r="AG95" s="164">
        <v>0</v>
      </c>
      <c r="AH95" s="165">
        <v>46231</v>
      </c>
      <c r="AI95" s="165">
        <v>46233</v>
      </c>
      <c r="AJ95" s="166" t="s">
        <v>165</v>
      </c>
      <c r="AK95" s="166" t="s">
        <v>422</v>
      </c>
      <c r="AL95" s="167">
        <v>0</v>
      </c>
      <c r="AM95" s="169">
        <v>46332</v>
      </c>
      <c r="AN95" s="169">
        <v>46338</v>
      </c>
      <c r="AO95" s="168" t="s">
        <v>40</v>
      </c>
      <c r="AP95" s="170">
        <v>0</v>
      </c>
      <c r="AQ95"/>
    </row>
    <row r="96" spans="1:43">
      <c r="A96" s="146" t="s">
        <v>423</v>
      </c>
      <c r="B96" s="147">
        <v>50732</v>
      </c>
      <c r="C96" s="147">
        <v>1</v>
      </c>
      <c r="D96" s="149">
        <v>46170</v>
      </c>
      <c r="E96" s="149">
        <v>46175</v>
      </c>
      <c r="F96" s="148" t="s">
        <v>40</v>
      </c>
      <c r="G96" s="148" t="s">
        <v>436</v>
      </c>
      <c r="H96" s="151">
        <v>0</v>
      </c>
      <c r="I96" s="169">
        <v>46197</v>
      </c>
      <c r="J96" s="169">
        <v>46201</v>
      </c>
      <c r="K96" s="168" t="s">
        <v>40</v>
      </c>
      <c r="L96" s="168" t="s">
        <v>422</v>
      </c>
      <c r="M96" s="179">
        <v>0</v>
      </c>
      <c r="N96" s="153">
        <v>46197</v>
      </c>
      <c r="O96" s="153">
        <v>46201</v>
      </c>
      <c r="P96" s="152" t="s">
        <v>40</v>
      </c>
      <c r="Q96" s="152" t="s">
        <v>422</v>
      </c>
      <c r="R96" s="155">
        <v>0</v>
      </c>
      <c r="S96" s="157">
        <v>46209</v>
      </c>
      <c r="T96" s="157">
        <v>46214</v>
      </c>
      <c r="U96" s="156" t="s">
        <v>40</v>
      </c>
      <c r="V96" s="156" t="s">
        <v>422</v>
      </c>
      <c r="W96" s="158">
        <v>0</v>
      </c>
      <c r="X96" s="160">
        <v>46215</v>
      </c>
      <c r="Y96" s="160">
        <v>46217</v>
      </c>
      <c r="Z96" s="159" t="s">
        <v>40</v>
      </c>
      <c r="AA96" s="159" t="s">
        <v>422</v>
      </c>
      <c r="AB96" s="161">
        <v>0</v>
      </c>
      <c r="AC96" s="163">
        <v>46225</v>
      </c>
      <c r="AD96" s="163">
        <v>46230</v>
      </c>
      <c r="AE96" s="162" t="s">
        <v>40</v>
      </c>
      <c r="AF96" s="162" t="s">
        <v>422</v>
      </c>
      <c r="AG96" s="164">
        <v>0</v>
      </c>
      <c r="AH96" s="165">
        <v>46231</v>
      </c>
      <c r="AI96" s="165">
        <v>46233</v>
      </c>
      <c r="AJ96" s="166" t="s">
        <v>165</v>
      </c>
      <c r="AK96" s="166" t="s">
        <v>422</v>
      </c>
      <c r="AL96" s="167">
        <v>0</v>
      </c>
      <c r="AM96" s="169">
        <v>46332</v>
      </c>
      <c r="AN96" s="169">
        <v>46338</v>
      </c>
      <c r="AO96" s="168" t="s">
        <v>40</v>
      </c>
      <c r="AP96" s="170">
        <v>0</v>
      </c>
      <c r="AQ96"/>
    </row>
    <row r="97" spans="1:43">
      <c r="A97" s="146" t="s">
        <v>423</v>
      </c>
      <c r="B97" s="147">
        <v>50733</v>
      </c>
      <c r="C97" s="147">
        <v>1</v>
      </c>
      <c r="D97" s="149">
        <v>46170</v>
      </c>
      <c r="E97" s="149">
        <v>46175</v>
      </c>
      <c r="F97" s="148" t="s">
        <v>40</v>
      </c>
      <c r="G97" s="148" t="s">
        <v>436</v>
      </c>
      <c r="H97" s="151">
        <v>0</v>
      </c>
      <c r="I97" s="169">
        <v>46197</v>
      </c>
      <c r="J97" s="169">
        <v>46201</v>
      </c>
      <c r="K97" s="168" t="s">
        <v>40</v>
      </c>
      <c r="L97" s="168" t="s">
        <v>422</v>
      </c>
      <c r="M97" s="179">
        <v>0</v>
      </c>
      <c r="N97" s="153">
        <v>46197</v>
      </c>
      <c r="O97" s="153">
        <v>46201</v>
      </c>
      <c r="P97" s="152" t="s">
        <v>40</v>
      </c>
      <c r="Q97" s="152" t="s">
        <v>422</v>
      </c>
      <c r="R97" s="155">
        <v>0</v>
      </c>
      <c r="S97" s="157">
        <v>46209</v>
      </c>
      <c r="T97" s="157">
        <v>46214</v>
      </c>
      <c r="U97" s="156" t="s">
        <v>40</v>
      </c>
      <c r="V97" s="156" t="s">
        <v>422</v>
      </c>
      <c r="W97" s="158">
        <v>0</v>
      </c>
      <c r="X97" s="160">
        <v>46215</v>
      </c>
      <c r="Y97" s="160">
        <v>46217</v>
      </c>
      <c r="Z97" s="159" t="s">
        <v>40</v>
      </c>
      <c r="AA97" s="159" t="s">
        <v>422</v>
      </c>
      <c r="AB97" s="161">
        <v>0</v>
      </c>
      <c r="AC97" s="163">
        <v>46225</v>
      </c>
      <c r="AD97" s="163">
        <v>46230</v>
      </c>
      <c r="AE97" s="162" t="s">
        <v>40</v>
      </c>
      <c r="AF97" s="162" t="s">
        <v>422</v>
      </c>
      <c r="AG97" s="164">
        <v>0</v>
      </c>
      <c r="AH97" s="165">
        <v>46231</v>
      </c>
      <c r="AI97" s="165">
        <v>46233</v>
      </c>
      <c r="AJ97" s="166" t="s">
        <v>165</v>
      </c>
      <c r="AK97" s="166" t="s">
        <v>422</v>
      </c>
      <c r="AL97" s="167">
        <v>0</v>
      </c>
      <c r="AM97" s="169">
        <v>46332</v>
      </c>
      <c r="AN97" s="169">
        <v>46338</v>
      </c>
      <c r="AO97" s="168" t="s">
        <v>40</v>
      </c>
      <c r="AP97" s="170">
        <v>0</v>
      </c>
      <c r="AQ97"/>
    </row>
    <row r="98" spans="1:43">
      <c r="A98" s="146" t="s">
        <v>423</v>
      </c>
      <c r="B98" s="147">
        <v>50734</v>
      </c>
      <c r="C98" s="147">
        <v>1</v>
      </c>
      <c r="D98" s="149">
        <v>46170</v>
      </c>
      <c r="E98" s="149">
        <v>46175</v>
      </c>
      <c r="F98" s="148" t="s">
        <v>40</v>
      </c>
      <c r="G98" s="148" t="s">
        <v>436</v>
      </c>
      <c r="H98" s="151">
        <v>0</v>
      </c>
      <c r="I98" s="169">
        <v>46197</v>
      </c>
      <c r="J98" s="169">
        <v>46201</v>
      </c>
      <c r="K98" s="168" t="s">
        <v>40</v>
      </c>
      <c r="L98" s="168" t="s">
        <v>422</v>
      </c>
      <c r="M98" s="179">
        <v>0</v>
      </c>
      <c r="N98" s="153">
        <v>46197</v>
      </c>
      <c r="O98" s="153">
        <v>46201</v>
      </c>
      <c r="P98" s="152" t="s">
        <v>40</v>
      </c>
      <c r="Q98" s="152" t="s">
        <v>422</v>
      </c>
      <c r="R98" s="155">
        <v>0</v>
      </c>
      <c r="S98" s="157">
        <v>46209</v>
      </c>
      <c r="T98" s="157">
        <v>46214</v>
      </c>
      <c r="U98" s="156" t="s">
        <v>40</v>
      </c>
      <c r="V98" s="156" t="s">
        <v>422</v>
      </c>
      <c r="W98" s="158">
        <v>0</v>
      </c>
      <c r="X98" s="160">
        <v>46215</v>
      </c>
      <c r="Y98" s="160">
        <v>46217</v>
      </c>
      <c r="Z98" s="159" t="s">
        <v>40</v>
      </c>
      <c r="AA98" s="159" t="s">
        <v>422</v>
      </c>
      <c r="AB98" s="161">
        <v>0</v>
      </c>
      <c r="AC98" s="163">
        <v>46225</v>
      </c>
      <c r="AD98" s="163">
        <v>46230</v>
      </c>
      <c r="AE98" s="162" t="s">
        <v>40</v>
      </c>
      <c r="AF98" s="162" t="s">
        <v>422</v>
      </c>
      <c r="AG98" s="164">
        <v>0</v>
      </c>
      <c r="AH98" s="165">
        <v>46231</v>
      </c>
      <c r="AI98" s="165">
        <v>46233</v>
      </c>
      <c r="AJ98" s="166" t="s">
        <v>165</v>
      </c>
      <c r="AK98" s="166" t="s">
        <v>422</v>
      </c>
      <c r="AL98" s="167">
        <v>0</v>
      </c>
      <c r="AM98" s="169">
        <v>46332</v>
      </c>
      <c r="AN98" s="169">
        <v>46338</v>
      </c>
      <c r="AO98" s="168" t="s">
        <v>40</v>
      </c>
      <c r="AP98" s="170">
        <v>0</v>
      </c>
      <c r="AQ98"/>
    </row>
    <row r="99" spans="1:43">
      <c r="A99" s="146" t="s">
        <v>423</v>
      </c>
      <c r="B99" s="147">
        <v>50735</v>
      </c>
      <c r="C99" s="147">
        <v>1</v>
      </c>
      <c r="D99" s="149">
        <v>46170</v>
      </c>
      <c r="E99" s="149">
        <v>46175</v>
      </c>
      <c r="F99" s="148" t="s">
        <v>40</v>
      </c>
      <c r="G99" s="148" t="s">
        <v>436</v>
      </c>
      <c r="H99" s="151">
        <v>0</v>
      </c>
      <c r="I99" s="169">
        <v>46197</v>
      </c>
      <c r="J99" s="169">
        <v>46201</v>
      </c>
      <c r="K99" s="168" t="s">
        <v>40</v>
      </c>
      <c r="L99" s="168" t="s">
        <v>422</v>
      </c>
      <c r="M99" s="179">
        <v>0</v>
      </c>
      <c r="N99" s="153">
        <v>46197</v>
      </c>
      <c r="O99" s="153">
        <v>46201</v>
      </c>
      <c r="P99" s="152" t="s">
        <v>40</v>
      </c>
      <c r="Q99" s="152" t="s">
        <v>422</v>
      </c>
      <c r="R99" s="155">
        <v>0</v>
      </c>
      <c r="S99" s="157">
        <v>46209</v>
      </c>
      <c r="T99" s="157">
        <v>46214</v>
      </c>
      <c r="U99" s="156" t="s">
        <v>40</v>
      </c>
      <c r="V99" s="156" t="s">
        <v>422</v>
      </c>
      <c r="W99" s="158">
        <v>0</v>
      </c>
      <c r="X99" s="160">
        <v>46215</v>
      </c>
      <c r="Y99" s="160">
        <v>46217</v>
      </c>
      <c r="Z99" s="159" t="s">
        <v>40</v>
      </c>
      <c r="AA99" s="159" t="s">
        <v>422</v>
      </c>
      <c r="AB99" s="161">
        <v>0</v>
      </c>
      <c r="AC99" s="163">
        <v>46225</v>
      </c>
      <c r="AD99" s="163">
        <v>46230</v>
      </c>
      <c r="AE99" s="162" t="s">
        <v>40</v>
      </c>
      <c r="AF99" s="162" t="s">
        <v>422</v>
      </c>
      <c r="AG99" s="164">
        <v>0</v>
      </c>
      <c r="AH99" s="165">
        <v>46231</v>
      </c>
      <c r="AI99" s="165">
        <v>46233</v>
      </c>
      <c r="AJ99" s="166" t="s">
        <v>165</v>
      </c>
      <c r="AK99" s="166" t="s">
        <v>422</v>
      </c>
      <c r="AL99" s="167">
        <v>0</v>
      </c>
      <c r="AM99" s="169">
        <v>46332</v>
      </c>
      <c r="AN99" s="169">
        <v>46338</v>
      </c>
      <c r="AO99" s="168" t="s">
        <v>40</v>
      </c>
      <c r="AP99" s="170">
        <v>0</v>
      </c>
      <c r="AQ99"/>
    </row>
    <row r="100" spans="1:43">
      <c r="A100" s="146" t="s">
        <v>423</v>
      </c>
      <c r="B100" s="147">
        <v>50736</v>
      </c>
      <c r="C100" s="147">
        <v>1</v>
      </c>
      <c r="D100" s="149">
        <v>46170</v>
      </c>
      <c r="E100" s="149">
        <v>46175</v>
      </c>
      <c r="F100" s="148" t="s">
        <v>40</v>
      </c>
      <c r="G100" s="148" t="s">
        <v>436</v>
      </c>
      <c r="H100" s="151">
        <v>0</v>
      </c>
      <c r="I100" s="169">
        <v>46197</v>
      </c>
      <c r="J100" s="169">
        <v>46201</v>
      </c>
      <c r="K100" s="168" t="s">
        <v>40</v>
      </c>
      <c r="L100" s="168" t="s">
        <v>422</v>
      </c>
      <c r="M100" s="179">
        <v>0</v>
      </c>
      <c r="N100" s="153">
        <v>46197</v>
      </c>
      <c r="O100" s="153">
        <v>46201</v>
      </c>
      <c r="P100" s="152" t="s">
        <v>40</v>
      </c>
      <c r="Q100" s="152" t="s">
        <v>422</v>
      </c>
      <c r="R100" s="155">
        <v>0</v>
      </c>
      <c r="S100" s="157">
        <v>46209</v>
      </c>
      <c r="T100" s="157">
        <v>46214</v>
      </c>
      <c r="U100" s="156" t="s">
        <v>40</v>
      </c>
      <c r="V100" s="156" t="s">
        <v>422</v>
      </c>
      <c r="W100" s="158">
        <v>0</v>
      </c>
      <c r="X100" s="160">
        <v>46215</v>
      </c>
      <c r="Y100" s="160">
        <v>46217</v>
      </c>
      <c r="Z100" s="159" t="s">
        <v>40</v>
      </c>
      <c r="AA100" s="159" t="s">
        <v>422</v>
      </c>
      <c r="AB100" s="161">
        <v>0</v>
      </c>
      <c r="AC100" s="163">
        <v>46225</v>
      </c>
      <c r="AD100" s="163">
        <v>46230</v>
      </c>
      <c r="AE100" s="162" t="s">
        <v>40</v>
      </c>
      <c r="AF100" s="162" t="s">
        <v>422</v>
      </c>
      <c r="AG100" s="164">
        <v>0</v>
      </c>
      <c r="AH100" s="165">
        <v>46231</v>
      </c>
      <c r="AI100" s="165">
        <v>46233</v>
      </c>
      <c r="AJ100" s="166" t="s">
        <v>165</v>
      </c>
      <c r="AK100" s="166" t="s">
        <v>422</v>
      </c>
      <c r="AL100" s="167">
        <v>0</v>
      </c>
      <c r="AM100" s="169">
        <v>46332</v>
      </c>
      <c r="AN100" s="169">
        <v>46338</v>
      </c>
      <c r="AO100" s="168" t="s">
        <v>40</v>
      </c>
      <c r="AP100" s="170">
        <v>0</v>
      </c>
      <c r="AQ100"/>
    </row>
    <row r="101" spans="1:43">
      <c r="A101" s="146" t="s">
        <v>423</v>
      </c>
      <c r="B101" s="147">
        <v>50737</v>
      </c>
      <c r="C101" s="147">
        <v>1</v>
      </c>
      <c r="D101" s="149">
        <v>46170</v>
      </c>
      <c r="E101" s="149">
        <v>46175</v>
      </c>
      <c r="F101" s="148" t="s">
        <v>40</v>
      </c>
      <c r="G101" s="148" t="s">
        <v>436</v>
      </c>
      <c r="H101" s="151">
        <v>0</v>
      </c>
      <c r="I101" s="169">
        <v>46197</v>
      </c>
      <c r="J101" s="169">
        <v>46201</v>
      </c>
      <c r="K101" s="168" t="s">
        <v>40</v>
      </c>
      <c r="L101" s="168" t="s">
        <v>422</v>
      </c>
      <c r="M101" s="179">
        <v>0</v>
      </c>
      <c r="N101" s="153">
        <v>46197</v>
      </c>
      <c r="O101" s="153">
        <v>46201</v>
      </c>
      <c r="P101" s="152" t="s">
        <v>40</v>
      </c>
      <c r="Q101" s="152" t="s">
        <v>422</v>
      </c>
      <c r="R101" s="155">
        <v>0</v>
      </c>
      <c r="S101" s="157">
        <v>46209</v>
      </c>
      <c r="T101" s="157">
        <v>46214</v>
      </c>
      <c r="U101" s="156" t="s">
        <v>40</v>
      </c>
      <c r="V101" s="156" t="s">
        <v>422</v>
      </c>
      <c r="W101" s="158">
        <v>0</v>
      </c>
      <c r="X101" s="160">
        <v>46215</v>
      </c>
      <c r="Y101" s="160">
        <v>46217</v>
      </c>
      <c r="Z101" s="159" t="s">
        <v>40</v>
      </c>
      <c r="AA101" s="159" t="s">
        <v>422</v>
      </c>
      <c r="AB101" s="161">
        <v>0</v>
      </c>
      <c r="AC101" s="163">
        <v>46225</v>
      </c>
      <c r="AD101" s="163">
        <v>46230</v>
      </c>
      <c r="AE101" s="162" t="s">
        <v>40</v>
      </c>
      <c r="AF101" s="162" t="s">
        <v>422</v>
      </c>
      <c r="AG101" s="164">
        <v>0</v>
      </c>
      <c r="AH101" s="165">
        <v>46231</v>
      </c>
      <c r="AI101" s="165">
        <v>46233</v>
      </c>
      <c r="AJ101" s="166" t="s">
        <v>165</v>
      </c>
      <c r="AK101" s="166" t="s">
        <v>422</v>
      </c>
      <c r="AL101" s="167">
        <v>0</v>
      </c>
      <c r="AM101" s="169">
        <v>46332</v>
      </c>
      <c r="AN101" s="169">
        <v>46338</v>
      </c>
      <c r="AO101" s="168" t="s">
        <v>40</v>
      </c>
      <c r="AP101" s="170">
        <v>0</v>
      </c>
      <c r="AQ101"/>
    </row>
    <row r="102" spans="1:43">
      <c r="A102" s="146" t="s">
        <v>423</v>
      </c>
      <c r="B102" s="147">
        <v>50738</v>
      </c>
      <c r="C102" s="147">
        <v>1</v>
      </c>
      <c r="D102" s="149">
        <v>46170</v>
      </c>
      <c r="E102" s="149">
        <v>46175</v>
      </c>
      <c r="F102" s="148" t="s">
        <v>40</v>
      </c>
      <c r="G102" s="148" t="s">
        <v>436</v>
      </c>
      <c r="H102" s="151">
        <v>0</v>
      </c>
      <c r="I102" s="169">
        <v>46197</v>
      </c>
      <c r="J102" s="169">
        <v>46201</v>
      </c>
      <c r="K102" s="168" t="s">
        <v>40</v>
      </c>
      <c r="L102" s="168" t="s">
        <v>422</v>
      </c>
      <c r="M102" s="179">
        <v>0</v>
      </c>
      <c r="N102" s="153">
        <v>46197</v>
      </c>
      <c r="O102" s="153">
        <v>46201</v>
      </c>
      <c r="P102" s="152" t="s">
        <v>40</v>
      </c>
      <c r="Q102" s="152" t="s">
        <v>422</v>
      </c>
      <c r="R102" s="155">
        <v>0</v>
      </c>
      <c r="S102" s="157">
        <v>46209</v>
      </c>
      <c r="T102" s="157">
        <v>46214</v>
      </c>
      <c r="U102" s="156" t="s">
        <v>40</v>
      </c>
      <c r="V102" s="156" t="s">
        <v>422</v>
      </c>
      <c r="W102" s="158">
        <v>0</v>
      </c>
      <c r="X102" s="160">
        <v>46215</v>
      </c>
      <c r="Y102" s="160">
        <v>46217</v>
      </c>
      <c r="Z102" s="159" t="s">
        <v>40</v>
      </c>
      <c r="AA102" s="159" t="s">
        <v>422</v>
      </c>
      <c r="AB102" s="161">
        <v>0</v>
      </c>
      <c r="AC102" s="163">
        <v>46225</v>
      </c>
      <c r="AD102" s="163">
        <v>46230</v>
      </c>
      <c r="AE102" s="162" t="s">
        <v>40</v>
      </c>
      <c r="AF102" s="162" t="s">
        <v>422</v>
      </c>
      <c r="AG102" s="164">
        <v>0</v>
      </c>
      <c r="AH102" s="165">
        <v>46231</v>
      </c>
      <c r="AI102" s="165">
        <v>46233</v>
      </c>
      <c r="AJ102" s="166" t="s">
        <v>165</v>
      </c>
      <c r="AK102" s="166" t="s">
        <v>422</v>
      </c>
      <c r="AL102" s="167">
        <v>0</v>
      </c>
      <c r="AM102" s="169">
        <v>46332</v>
      </c>
      <c r="AN102" s="169">
        <v>46338</v>
      </c>
      <c r="AO102" s="168" t="s">
        <v>40</v>
      </c>
      <c r="AP102" s="170">
        <v>0</v>
      </c>
      <c r="AQ102"/>
    </row>
    <row r="103" spans="1:43">
      <c r="A103" s="146" t="s">
        <v>423</v>
      </c>
      <c r="B103" s="147">
        <v>50739</v>
      </c>
      <c r="C103" s="147">
        <v>1</v>
      </c>
      <c r="D103" s="149">
        <v>46170</v>
      </c>
      <c r="E103" s="149">
        <v>46175</v>
      </c>
      <c r="F103" s="148" t="s">
        <v>40</v>
      </c>
      <c r="G103" s="148" t="s">
        <v>436</v>
      </c>
      <c r="H103" s="151">
        <v>0</v>
      </c>
      <c r="I103" s="169">
        <v>46197</v>
      </c>
      <c r="J103" s="169">
        <v>46201</v>
      </c>
      <c r="K103" s="168" t="s">
        <v>40</v>
      </c>
      <c r="L103" s="168" t="s">
        <v>422</v>
      </c>
      <c r="M103" s="179">
        <v>0</v>
      </c>
      <c r="N103" s="153">
        <v>46197</v>
      </c>
      <c r="O103" s="153">
        <v>46201</v>
      </c>
      <c r="P103" s="152" t="s">
        <v>40</v>
      </c>
      <c r="Q103" s="152" t="s">
        <v>422</v>
      </c>
      <c r="R103" s="155">
        <v>0</v>
      </c>
      <c r="S103" s="157">
        <v>46209</v>
      </c>
      <c r="T103" s="157">
        <v>46214</v>
      </c>
      <c r="U103" s="156" t="s">
        <v>40</v>
      </c>
      <c r="V103" s="156" t="s">
        <v>422</v>
      </c>
      <c r="W103" s="158">
        <v>0</v>
      </c>
      <c r="X103" s="160">
        <v>46215</v>
      </c>
      <c r="Y103" s="160">
        <v>46217</v>
      </c>
      <c r="Z103" s="159" t="s">
        <v>40</v>
      </c>
      <c r="AA103" s="159" t="s">
        <v>422</v>
      </c>
      <c r="AB103" s="161">
        <v>0</v>
      </c>
      <c r="AC103" s="163">
        <v>46225</v>
      </c>
      <c r="AD103" s="163">
        <v>46230</v>
      </c>
      <c r="AE103" s="162" t="s">
        <v>40</v>
      </c>
      <c r="AF103" s="162" t="s">
        <v>422</v>
      </c>
      <c r="AG103" s="164">
        <v>0</v>
      </c>
      <c r="AH103" s="165">
        <v>46231</v>
      </c>
      <c r="AI103" s="165">
        <v>46233</v>
      </c>
      <c r="AJ103" s="166" t="s">
        <v>165</v>
      </c>
      <c r="AK103" s="166" t="s">
        <v>422</v>
      </c>
      <c r="AL103" s="167">
        <v>0</v>
      </c>
      <c r="AM103" s="169">
        <v>46332</v>
      </c>
      <c r="AN103" s="169">
        <v>46338</v>
      </c>
      <c r="AO103" s="168" t="s">
        <v>40</v>
      </c>
      <c r="AP103" s="170">
        <v>0</v>
      </c>
      <c r="AQ103"/>
    </row>
    <row r="104" spans="1:43">
      <c r="A104" s="146" t="s">
        <v>423</v>
      </c>
      <c r="B104" s="147">
        <v>50740</v>
      </c>
      <c r="C104" s="147">
        <v>1</v>
      </c>
      <c r="D104" s="149">
        <v>46170</v>
      </c>
      <c r="E104" s="149">
        <v>46175</v>
      </c>
      <c r="F104" s="148" t="s">
        <v>40</v>
      </c>
      <c r="G104" s="148" t="s">
        <v>436</v>
      </c>
      <c r="H104" s="151">
        <v>0</v>
      </c>
      <c r="I104" s="169">
        <v>46197</v>
      </c>
      <c r="J104" s="169">
        <v>46201</v>
      </c>
      <c r="K104" s="168" t="s">
        <v>40</v>
      </c>
      <c r="L104" s="168" t="s">
        <v>422</v>
      </c>
      <c r="M104" s="179">
        <v>0</v>
      </c>
      <c r="N104" s="153">
        <v>46197</v>
      </c>
      <c r="O104" s="153">
        <v>46201</v>
      </c>
      <c r="P104" s="152" t="s">
        <v>40</v>
      </c>
      <c r="Q104" s="152" t="s">
        <v>422</v>
      </c>
      <c r="R104" s="155">
        <v>0</v>
      </c>
      <c r="S104" s="157">
        <v>46209</v>
      </c>
      <c r="T104" s="157">
        <v>46214</v>
      </c>
      <c r="U104" s="156" t="s">
        <v>40</v>
      </c>
      <c r="V104" s="156" t="s">
        <v>422</v>
      </c>
      <c r="W104" s="158">
        <v>0</v>
      </c>
      <c r="X104" s="160">
        <v>46215</v>
      </c>
      <c r="Y104" s="160">
        <v>46217</v>
      </c>
      <c r="Z104" s="159" t="s">
        <v>40</v>
      </c>
      <c r="AA104" s="159" t="s">
        <v>422</v>
      </c>
      <c r="AB104" s="161">
        <v>0</v>
      </c>
      <c r="AC104" s="163">
        <v>46225</v>
      </c>
      <c r="AD104" s="163">
        <v>46230</v>
      </c>
      <c r="AE104" s="162" t="s">
        <v>40</v>
      </c>
      <c r="AF104" s="162" t="s">
        <v>422</v>
      </c>
      <c r="AG104" s="164">
        <v>0</v>
      </c>
      <c r="AH104" s="165">
        <v>46231</v>
      </c>
      <c r="AI104" s="165">
        <v>46233</v>
      </c>
      <c r="AJ104" s="166" t="s">
        <v>165</v>
      </c>
      <c r="AK104" s="166" t="s">
        <v>422</v>
      </c>
      <c r="AL104" s="167">
        <v>0</v>
      </c>
      <c r="AM104" s="169">
        <v>46332</v>
      </c>
      <c r="AN104" s="169">
        <v>46338</v>
      </c>
      <c r="AO104" s="168" t="s">
        <v>40</v>
      </c>
      <c r="AP104" s="170">
        <v>0</v>
      </c>
      <c r="AQ104"/>
    </row>
    <row r="105" spans="1:43">
      <c r="A105" s="146" t="s">
        <v>423</v>
      </c>
      <c r="B105" s="147">
        <v>50741</v>
      </c>
      <c r="C105" s="147">
        <v>1</v>
      </c>
      <c r="D105" s="149">
        <v>46170</v>
      </c>
      <c r="E105" s="149">
        <v>46175</v>
      </c>
      <c r="F105" s="148" t="s">
        <v>40</v>
      </c>
      <c r="G105" s="148" t="s">
        <v>436</v>
      </c>
      <c r="H105" s="151">
        <v>0</v>
      </c>
      <c r="I105" s="169">
        <v>46197</v>
      </c>
      <c r="J105" s="169">
        <v>46201</v>
      </c>
      <c r="K105" s="168" t="s">
        <v>40</v>
      </c>
      <c r="L105" s="168" t="s">
        <v>422</v>
      </c>
      <c r="M105" s="179">
        <v>0</v>
      </c>
      <c r="N105" s="153">
        <v>46197</v>
      </c>
      <c r="O105" s="153">
        <v>46201</v>
      </c>
      <c r="P105" s="152" t="s">
        <v>40</v>
      </c>
      <c r="Q105" s="152" t="s">
        <v>422</v>
      </c>
      <c r="R105" s="155">
        <v>0</v>
      </c>
      <c r="S105" s="157">
        <v>46209</v>
      </c>
      <c r="T105" s="157">
        <v>46214</v>
      </c>
      <c r="U105" s="156" t="s">
        <v>40</v>
      </c>
      <c r="V105" s="156" t="s">
        <v>422</v>
      </c>
      <c r="W105" s="158">
        <v>0</v>
      </c>
      <c r="X105" s="160">
        <v>46215</v>
      </c>
      <c r="Y105" s="160">
        <v>46217</v>
      </c>
      <c r="Z105" s="159" t="s">
        <v>40</v>
      </c>
      <c r="AA105" s="159" t="s">
        <v>422</v>
      </c>
      <c r="AB105" s="161">
        <v>0</v>
      </c>
      <c r="AC105" s="163">
        <v>46225</v>
      </c>
      <c r="AD105" s="163">
        <v>46230</v>
      </c>
      <c r="AE105" s="162" t="s">
        <v>40</v>
      </c>
      <c r="AF105" s="162" t="s">
        <v>422</v>
      </c>
      <c r="AG105" s="164">
        <v>0</v>
      </c>
      <c r="AH105" s="165">
        <v>46231</v>
      </c>
      <c r="AI105" s="165">
        <v>46233</v>
      </c>
      <c r="AJ105" s="166" t="s">
        <v>165</v>
      </c>
      <c r="AK105" s="166" t="s">
        <v>422</v>
      </c>
      <c r="AL105" s="167">
        <v>0</v>
      </c>
      <c r="AM105" s="169">
        <v>46332</v>
      </c>
      <c r="AN105" s="169">
        <v>46338</v>
      </c>
      <c r="AO105" s="168" t="s">
        <v>40</v>
      </c>
      <c r="AP105" s="170">
        <v>0</v>
      </c>
      <c r="AQ105"/>
    </row>
    <row r="106" spans="1:43">
      <c r="A106" s="146" t="s">
        <v>423</v>
      </c>
      <c r="B106" s="147">
        <v>50742</v>
      </c>
      <c r="C106" s="147">
        <v>1</v>
      </c>
      <c r="D106" s="149">
        <v>46170</v>
      </c>
      <c r="E106" s="149">
        <v>46175</v>
      </c>
      <c r="F106" s="148" t="s">
        <v>40</v>
      </c>
      <c r="G106" s="148" t="s">
        <v>436</v>
      </c>
      <c r="H106" s="151">
        <v>0</v>
      </c>
      <c r="I106" s="169">
        <v>46197</v>
      </c>
      <c r="J106" s="169">
        <v>46201</v>
      </c>
      <c r="K106" s="168" t="s">
        <v>40</v>
      </c>
      <c r="L106" s="168" t="s">
        <v>422</v>
      </c>
      <c r="M106" s="179">
        <v>0</v>
      </c>
      <c r="N106" s="153">
        <v>46197</v>
      </c>
      <c r="O106" s="153">
        <v>46201</v>
      </c>
      <c r="P106" s="152" t="s">
        <v>40</v>
      </c>
      <c r="Q106" s="152" t="s">
        <v>422</v>
      </c>
      <c r="R106" s="155">
        <v>0</v>
      </c>
      <c r="S106" s="157">
        <v>46209</v>
      </c>
      <c r="T106" s="157">
        <v>46214</v>
      </c>
      <c r="U106" s="156" t="s">
        <v>40</v>
      </c>
      <c r="V106" s="156" t="s">
        <v>422</v>
      </c>
      <c r="W106" s="158">
        <v>0</v>
      </c>
      <c r="X106" s="160">
        <v>46215</v>
      </c>
      <c r="Y106" s="160">
        <v>46217</v>
      </c>
      <c r="Z106" s="159" t="s">
        <v>40</v>
      </c>
      <c r="AA106" s="159" t="s">
        <v>422</v>
      </c>
      <c r="AB106" s="161">
        <v>0</v>
      </c>
      <c r="AC106" s="163">
        <v>46225</v>
      </c>
      <c r="AD106" s="163">
        <v>46230</v>
      </c>
      <c r="AE106" s="162" t="s">
        <v>40</v>
      </c>
      <c r="AF106" s="162" t="s">
        <v>422</v>
      </c>
      <c r="AG106" s="164">
        <v>0</v>
      </c>
      <c r="AH106" s="165">
        <v>46231</v>
      </c>
      <c r="AI106" s="165">
        <v>46233</v>
      </c>
      <c r="AJ106" s="166" t="s">
        <v>165</v>
      </c>
      <c r="AK106" s="166" t="s">
        <v>422</v>
      </c>
      <c r="AL106" s="167">
        <v>0</v>
      </c>
      <c r="AM106" s="169">
        <v>46332</v>
      </c>
      <c r="AN106" s="169">
        <v>46338</v>
      </c>
      <c r="AO106" s="168" t="s">
        <v>40</v>
      </c>
      <c r="AP106" s="170">
        <v>0</v>
      </c>
      <c r="AQ106"/>
    </row>
    <row r="107" spans="1:43">
      <c r="A107" s="146" t="s">
        <v>423</v>
      </c>
      <c r="B107" s="147">
        <v>50743</v>
      </c>
      <c r="C107" s="147">
        <v>1</v>
      </c>
      <c r="D107" s="149">
        <v>46170</v>
      </c>
      <c r="E107" s="149">
        <v>46175</v>
      </c>
      <c r="F107" s="148" t="s">
        <v>40</v>
      </c>
      <c r="G107" s="148" t="s">
        <v>436</v>
      </c>
      <c r="H107" s="151">
        <v>0</v>
      </c>
      <c r="I107" s="169">
        <v>46197</v>
      </c>
      <c r="J107" s="169">
        <v>46201</v>
      </c>
      <c r="K107" s="168" t="s">
        <v>40</v>
      </c>
      <c r="L107" s="168" t="s">
        <v>422</v>
      </c>
      <c r="M107" s="179">
        <v>0</v>
      </c>
      <c r="N107" s="153">
        <v>46197</v>
      </c>
      <c r="O107" s="153">
        <v>46201</v>
      </c>
      <c r="P107" s="152" t="s">
        <v>40</v>
      </c>
      <c r="Q107" s="152" t="s">
        <v>422</v>
      </c>
      <c r="R107" s="155">
        <v>0</v>
      </c>
      <c r="S107" s="157">
        <v>46209</v>
      </c>
      <c r="T107" s="157">
        <v>46214</v>
      </c>
      <c r="U107" s="156" t="s">
        <v>40</v>
      </c>
      <c r="V107" s="156" t="s">
        <v>422</v>
      </c>
      <c r="W107" s="158">
        <v>0</v>
      </c>
      <c r="X107" s="160">
        <v>46215</v>
      </c>
      <c r="Y107" s="160">
        <v>46217</v>
      </c>
      <c r="Z107" s="159" t="s">
        <v>40</v>
      </c>
      <c r="AA107" s="159" t="s">
        <v>422</v>
      </c>
      <c r="AB107" s="161">
        <v>0</v>
      </c>
      <c r="AC107" s="163">
        <v>46225</v>
      </c>
      <c r="AD107" s="163">
        <v>46230</v>
      </c>
      <c r="AE107" s="162" t="s">
        <v>40</v>
      </c>
      <c r="AF107" s="162" t="s">
        <v>422</v>
      </c>
      <c r="AG107" s="164">
        <v>0</v>
      </c>
      <c r="AH107" s="165">
        <v>46231</v>
      </c>
      <c r="AI107" s="165">
        <v>46233</v>
      </c>
      <c r="AJ107" s="166" t="s">
        <v>165</v>
      </c>
      <c r="AK107" s="166" t="s">
        <v>422</v>
      </c>
      <c r="AL107" s="167">
        <v>0</v>
      </c>
      <c r="AM107" s="169">
        <v>46332</v>
      </c>
      <c r="AN107" s="169">
        <v>46338</v>
      </c>
      <c r="AO107" s="168" t="s">
        <v>40</v>
      </c>
      <c r="AP107" s="170">
        <v>0</v>
      </c>
      <c r="AQ107"/>
    </row>
    <row r="108" spans="1:43">
      <c r="A108" s="146" t="s">
        <v>423</v>
      </c>
      <c r="B108" s="147">
        <v>50744</v>
      </c>
      <c r="C108" s="147">
        <v>1</v>
      </c>
      <c r="D108" s="149">
        <v>46170</v>
      </c>
      <c r="E108" s="149">
        <v>46175</v>
      </c>
      <c r="F108" s="148" t="s">
        <v>40</v>
      </c>
      <c r="G108" s="148" t="s">
        <v>436</v>
      </c>
      <c r="H108" s="151">
        <v>0</v>
      </c>
      <c r="I108" s="169">
        <v>46197</v>
      </c>
      <c r="J108" s="169">
        <v>46201</v>
      </c>
      <c r="K108" s="168" t="s">
        <v>40</v>
      </c>
      <c r="L108" s="168" t="s">
        <v>422</v>
      </c>
      <c r="M108" s="179">
        <v>0</v>
      </c>
      <c r="N108" s="153">
        <v>46197</v>
      </c>
      <c r="O108" s="153">
        <v>46201</v>
      </c>
      <c r="P108" s="152" t="s">
        <v>40</v>
      </c>
      <c r="Q108" s="152" t="s">
        <v>422</v>
      </c>
      <c r="R108" s="155">
        <v>0</v>
      </c>
      <c r="S108" s="157">
        <v>46209</v>
      </c>
      <c r="T108" s="157">
        <v>46214</v>
      </c>
      <c r="U108" s="156" t="s">
        <v>40</v>
      </c>
      <c r="V108" s="156" t="s">
        <v>422</v>
      </c>
      <c r="W108" s="158">
        <v>0</v>
      </c>
      <c r="X108" s="160">
        <v>46215</v>
      </c>
      <c r="Y108" s="160">
        <v>46217</v>
      </c>
      <c r="Z108" s="159" t="s">
        <v>40</v>
      </c>
      <c r="AA108" s="159" t="s">
        <v>422</v>
      </c>
      <c r="AB108" s="161">
        <v>0</v>
      </c>
      <c r="AC108" s="163">
        <v>46225</v>
      </c>
      <c r="AD108" s="163">
        <v>46230</v>
      </c>
      <c r="AE108" s="162" t="s">
        <v>40</v>
      </c>
      <c r="AF108" s="162" t="s">
        <v>422</v>
      </c>
      <c r="AG108" s="164">
        <v>0</v>
      </c>
      <c r="AH108" s="165">
        <v>46231</v>
      </c>
      <c r="AI108" s="165">
        <v>46233</v>
      </c>
      <c r="AJ108" s="166" t="s">
        <v>165</v>
      </c>
      <c r="AK108" s="166" t="s">
        <v>422</v>
      </c>
      <c r="AL108" s="167">
        <v>0</v>
      </c>
      <c r="AM108" s="169">
        <v>46332</v>
      </c>
      <c r="AN108" s="169">
        <v>46338</v>
      </c>
      <c r="AO108" s="168" t="s">
        <v>40</v>
      </c>
      <c r="AP108" s="170">
        <v>0</v>
      </c>
      <c r="AQ108"/>
    </row>
    <row r="109" spans="1:43">
      <c r="A109" s="146" t="s">
        <v>423</v>
      </c>
      <c r="B109" s="147">
        <v>50745</v>
      </c>
      <c r="C109" s="147">
        <v>1</v>
      </c>
      <c r="D109" s="149">
        <v>46170</v>
      </c>
      <c r="E109" s="149">
        <v>46175</v>
      </c>
      <c r="F109" s="148" t="s">
        <v>40</v>
      </c>
      <c r="G109" s="148" t="s">
        <v>436</v>
      </c>
      <c r="H109" s="151">
        <v>0</v>
      </c>
      <c r="I109" s="169">
        <v>46197</v>
      </c>
      <c r="J109" s="169">
        <v>46201</v>
      </c>
      <c r="K109" s="168" t="s">
        <v>40</v>
      </c>
      <c r="L109" s="168" t="s">
        <v>422</v>
      </c>
      <c r="M109" s="179">
        <v>0</v>
      </c>
      <c r="N109" s="153">
        <v>46197</v>
      </c>
      <c r="O109" s="153">
        <v>46201</v>
      </c>
      <c r="P109" s="152" t="s">
        <v>40</v>
      </c>
      <c r="Q109" s="152" t="s">
        <v>422</v>
      </c>
      <c r="R109" s="155">
        <v>0</v>
      </c>
      <c r="S109" s="157">
        <v>46209</v>
      </c>
      <c r="T109" s="157">
        <v>46214</v>
      </c>
      <c r="U109" s="156" t="s">
        <v>40</v>
      </c>
      <c r="V109" s="156" t="s">
        <v>422</v>
      </c>
      <c r="W109" s="158">
        <v>0</v>
      </c>
      <c r="X109" s="160">
        <v>46215</v>
      </c>
      <c r="Y109" s="160">
        <v>46217</v>
      </c>
      <c r="Z109" s="159" t="s">
        <v>40</v>
      </c>
      <c r="AA109" s="159" t="s">
        <v>422</v>
      </c>
      <c r="AB109" s="161">
        <v>0</v>
      </c>
      <c r="AC109" s="163">
        <v>46225</v>
      </c>
      <c r="AD109" s="163">
        <v>46230</v>
      </c>
      <c r="AE109" s="162" t="s">
        <v>40</v>
      </c>
      <c r="AF109" s="162" t="s">
        <v>422</v>
      </c>
      <c r="AG109" s="164">
        <v>0</v>
      </c>
      <c r="AH109" s="165">
        <v>46231</v>
      </c>
      <c r="AI109" s="165">
        <v>46233</v>
      </c>
      <c r="AJ109" s="166" t="s">
        <v>165</v>
      </c>
      <c r="AK109" s="166" t="s">
        <v>422</v>
      </c>
      <c r="AL109" s="167">
        <v>0</v>
      </c>
      <c r="AM109" s="169">
        <v>46332</v>
      </c>
      <c r="AN109" s="169">
        <v>46338</v>
      </c>
      <c r="AO109" s="168" t="s">
        <v>40</v>
      </c>
      <c r="AP109" s="170">
        <v>0</v>
      </c>
      <c r="AQ109"/>
    </row>
    <row r="110" spans="1:43">
      <c r="A110" s="146" t="s">
        <v>423</v>
      </c>
      <c r="B110" s="147">
        <v>50746</v>
      </c>
      <c r="C110" s="147">
        <v>1</v>
      </c>
      <c r="D110" s="149">
        <v>46170</v>
      </c>
      <c r="E110" s="149">
        <v>46175</v>
      </c>
      <c r="F110" s="148" t="s">
        <v>40</v>
      </c>
      <c r="G110" s="148" t="s">
        <v>436</v>
      </c>
      <c r="H110" s="151">
        <v>0</v>
      </c>
      <c r="I110" s="169">
        <v>46197</v>
      </c>
      <c r="J110" s="169">
        <v>46201</v>
      </c>
      <c r="K110" s="168" t="s">
        <v>40</v>
      </c>
      <c r="L110" s="168" t="s">
        <v>422</v>
      </c>
      <c r="M110" s="179">
        <v>0</v>
      </c>
      <c r="N110" s="153">
        <v>46197</v>
      </c>
      <c r="O110" s="153">
        <v>46201</v>
      </c>
      <c r="P110" s="152" t="s">
        <v>40</v>
      </c>
      <c r="Q110" s="152" t="s">
        <v>422</v>
      </c>
      <c r="R110" s="155">
        <v>0</v>
      </c>
      <c r="S110" s="157">
        <v>46209</v>
      </c>
      <c r="T110" s="157">
        <v>46214</v>
      </c>
      <c r="U110" s="156" t="s">
        <v>40</v>
      </c>
      <c r="V110" s="156" t="s">
        <v>422</v>
      </c>
      <c r="W110" s="158">
        <v>0</v>
      </c>
      <c r="X110" s="160">
        <v>46215</v>
      </c>
      <c r="Y110" s="160">
        <v>46217</v>
      </c>
      <c r="Z110" s="159" t="s">
        <v>40</v>
      </c>
      <c r="AA110" s="159" t="s">
        <v>422</v>
      </c>
      <c r="AB110" s="161">
        <v>0</v>
      </c>
      <c r="AC110" s="163">
        <v>46225</v>
      </c>
      <c r="AD110" s="163">
        <v>46230</v>
      </c>
      <c r="AE110" s="162" t="s">
        <v>40</v>
      </c>
      <c r="AF110" s="162" t="s">
        <v>422</v>
      </c>
      <c r="AG110" s="164">
        <v>0</v>
      </c>
      <c r="AH110" s="165">
        <v>46231</v>
      </c>
      <c r="AI110" s="165">
        <v>46233</v>
      </c>
      <c r="AJ110" s="166" t="s">
        <v>165</v>
      </c>
      <c r="AK110" s="166" t="s">
        <v>422</v>
      </c>
      <c r="AL110" s="167">
        <v>0</v>
      </c>
      <c r="AM110" s="169">
        <v>46332</v>
      </c>
      <c r="AN110" s="169">
        <v>46338</v>
      </c>
      <c r="AO110" s="168" t="s">
        <v>40</v>
      </c>
      <c r="AP110" s="170">
        <v>0</v>
      </c>
      <c r="AQ110"/>
    </row>
    <row r="111" spans="1:43">
      <c r="A111" s="146" t="s">
        <v>423</v>
      </c>
      <c r="B111" s="147">
        <v>50747</v>
      </c>
      <c r="C111" s="147">
        <v>1</v>
      </c>
      <c r="D111" s="149">
        <v>46170</v>
      </c>
      <c r="E111" s="149">
        <v>46175</v>
      </c>
      <c r="F111" s="148" t="s">
        <v>40</v>
      </c>
      <c r="G111" s="148" t="s">
        <v>436</v>
      </c>
      <c r="H111" s="151">
        <v>0</v>
      </c>
      <c r="I111" s="169">
        <v>46197</v>
      </c>
      <c r="J111" s="169">
        <v>46201</v>
      </c>
      <c r="K111" s="168" t="s">
        <v>40</v>
      </c>
      <c r="L111" s="168" t="s">
        <v>422</v>
      </c>
      <c r="M111" s="179">
        <v>0</v>
      </c>
      <c r="N111" s="153">
        <v>46197</v>
      </c>
      <c r="O111" s="153">
        <v>46201</v>
      </c>
      <c r="P111" s="152" t="s">
        <v>40</v>
      </c>
      <c r="Q111" s="152" t="s">
        <v>422</v>
      </c>
      <c r="R111" s="155">
        <v>0</v>
      </c>
      <c r="S111" s="157">
        <v>46209</v>
      </c>
      <c r="T111" s="157">
        <v>46214</v>
      </c>
      <c r="U111" s="156" t="s">
        <v>40</v>
      </c>
      <c r="V111" s="156" t="s">
        <v>422</v>
      </c>
      <c r="W111" s="158">
        <v>0</v>
      </c>
      <c r="X111" s="160">
        <v>46215</v>
      </c>
      <c r="Y111" s="160">
        <v>46217</v>
      </c>
      <c r="Z111" s="159" t="s">
        <v>40</v>
      </c>
      <c r="AA111" s="159" t="s">
        <v>422</v>
      </c>
      <c r="AB111" s="161">
        <v>0</v>
      </c>
      <c r="AC111" s="163">
        <v>46225</v>
      </c>
      <c r="AD111" s="163">
        <v>46230</v>
      </c>
      <c r="AE111" s="162" t="s">
        <v>40</v>
      </c>
      <c r="AF111" s="162" t="s">
        <v>422</v>
      </c>
      <c r="AG111" s="164">
        <v>0</v>
      </c>
      <c r="AH111" s="165">
        <v>46231</v>
      </c>
      <c r="AI111" s="165">
        <v>46233</v>
      </c>
      <c r="AJ111" s="166" t="s">
        <v>165</v>
      </c>
      <c r="AK111" s="166" t="s">
        <v>422</v>
      </c>
      <c r="AL111" s="167">
        <v>0</v>
      </c>
      <c r="AM111" s="169">
        <v>46332</v>
      </c>
      <c r="AN111" s="169">
        <v>46338</v>
      </c>
      <c r="AO111" s="168" t="s">
        <v>40</v>
      </c>
      <c r="AP111" s="170">
        <v>0</v>
      </c>
      <c r="AQ111"/>
    </row>
    <row r="112" spans="1:43">
      <c r="A112" s="146" t="s">
        <v>423</v>
      </c>
      <c r="B112" s="147">
        <v>50748</v>
      </c>
      <c r="C112" s="147">
        <v>1</v>
      </c>
      <c r="D112" s="149">
        <v>46170</v>
      </c>
      <c r="E112" s="149">
        <v>46175</v>
      </c>
      <c r="F112" s="148" t="s">
        <v>40</v>
      </c>
      <c r="G112" s="148" t="s">
        <v>436</v>
      </c>
      <c r="H112" s="151">
        <v>0</v>
      </c>
      <c r="I112" s="169">
        <v>46197</v>
      </c>
      <c r="J112" s="169">
        <v>46201</v>
      </c>
      <c r="K112" s="168" t="s">
        <v>40</v>
      </c>
      <c r="L112" s="168" t="s">
        <v>422</v>
      </c>
      <c r="M112" s="179">
        <v>0</v>
      </c>
      <c r="N112" s="153">
        <v>46197</v>
      </c>
      <c r="O112" s="153">
        <v>46201</v>
      </c>
      <c r="P112" s="152" t="s">
        <v>40</v>
      </c>
      <c r="Q112" s="152" t="s">
        <v>422</v>
      </c>
      <c r="R112" s="155">
        <v>0</v>
      </c>
      <c r="S112" s="157">
        <v>46209</v>
      </c>
      <c r="T112" s="157">
        <v>46214</v>
      </c>
      <c r="U112" s="156" t="s">
        <v>40</v>
      </c>
      <c r="V112" s="156" t="s">
        <v>422</v>
      </c>
      <c r="W112" s="158">
        <v>0</v>
      </c>
      <c r="X112" s="160">
        <v>46215</v>
      </c>
      <c r="Y112" s="160">
        <v>46217</v>
      </c>
      <c r="Z112" s="159" t="s">
        <v>40</v>
      </c>
      <c r="AA112" s="159" t="s">
        <v>422</v>
      </c>
      <c r="AB112" s="161">
        <v>0</v>
      </c>
      <c r="AC112" s="163">
        <v>46225</v>
      </c>
      <c r="AD112" s="163">
        <v>46230</v>
      </c>
      <c r="AE112" s="162" t="s">
        <v>40</v>
      </c>
      <c r="AF112" s="162" t="s">
        <v>422</v>
      </c>
      <c r="AG112" s="164">
        <v>0</v>
      </c>
      <c r="AH112" s="165">
        <v>46231</v>
      </c>
      <c r="AI112" s="165">
        <v>46233</v>
      </c>
      <c r="AJ112" s="166" t="s">
        <v>165</v>
      </c>
      <c r="AK112" s="166" t="s">
        <v>422</v>
      </c>
      <c r="AL112" s="167">
        <v>0</v>
      </c>
      <c r="AM112" s="169">
        <v>46332</v>
      </c>
      <c r="AN112" s="169">
        <v>46338</v>
      </c>
      <c r="AO112" s="168" t="s">
        <v>40</v>
      </c>
      <c r="AP112" s="170">
        <v>0</v>
      </c>
      <c r="AQ112"/>
    </row>
    <row r="113" spans="1:43">
      <c r="A113" s="146" t="s">
        <v>423</v>
      </c>
      <c r="B113" s="147">
        <v>50749</v>
      </c>
      <c r="C113" s="147">
        <v>1</v>
      </c>
      <c r="D113" s="149">
        <v>46170</v>
      </c>
      <c r="E113" s="149">
        <v>46175</v>
      </c>
      <c r="F113" s="148" t="s">
        <v>40</v>
      </c>
      <c r="G113" s="148" t="s">
        <v>436</v>
      </c>
      <c r="H113" s="151">
        <v>0</v>
      </c>
      <c r="I113" s="169">
        <v>46197</v>
      </c>
      <c r="J113" s="169">
        <v>46201</v>
      </c>
      <c r="K113" s="168" t="s">
        <v>40</v>
      </c>
      <c r="L113" s="168" t="s">
        <v>422</v>
      </c>
      <c r="M113" s="179">
        <v>0</v>
      </c>
      <c r="N113" s="153">
        <v>46197</v>
      </c>
      <c r="O113" s="153">
        <v>46201</v>
      </c>
      <c r="P113" s="152" t="s">
        <v>40</v>
      </c>
      <c r="Q113" s="152" t="s">
        <v>422</v>
      </c>
      <c r="R113" s="155">
        <v>0</v>
      </c>
      <c r="S113" s="157">
        <v>46209</v>
      </c>
      <c r="T113" s="157">
        <v>46214</v>
      </c>
      <c r="U113" s="156" t="s">
        <v>40</v>
      </c>
      <c r="V113" s="156" t="s">
        <v>422</v>
      </c>
      <c r="W113" s="158">
        <v>0</v>
      </c>
      <c r="X113" s="160">
        <v>46215</v>
      </c>
      <c r="Y113" s="160">
        <v>46217</v>
      </c>
      <c r="Z113" s="159" t="s">
        <v>40</v>
      </c>
      <c r="AA113" s="159" t="s">
        <v>422</v>
      </c>
      <c r="AB113" s="161">
        <v>0</v>
      </c>
      <c r="AC113" s="163">
        <v>46225</v>
      </c>
      <c r="AD113" s="163">
        <v>46230</v>
      </c>
      <c r="AE113" s="162" t="s">
        <v>40</v>
      </c>
      <c r="AF113" s="162" t="s">
        <v>422</v>
      </c>
      <c r="AG113" s="164">
        <v>0</v>
      </c>
      <c r="AH113" s="165">
        <v>46231</v>
      </c>
      <c r="AI113" s="165">
        <v>46233</v>
      </c>
      <c r="AJ113" s="166" t="s">
        <v>165</v>
      </c>
      <c r="AK113" s="166" t="s">
        <v>422</v>
      </c>
      <c r="AL113" s="167">
        <v>0</v>
      </c>
      <c r="AM113" s="169">
        <v>46332</v>
      </c>
      <c r="AN113" s="169">
        <v>46338</v>
      </c>
      <c r="AO113" s="168" t="s">
        <v>40</v>
      </c>
      <c r="AP113" s="170">
        <v>0</v>
      </c>
      <c r="AQ113"/>
    </row>
    <row r="114" spans="1:43">
      <c r="A114" s="146" t="s">
        <v>423</v>
      </c>
      <c r="B114" s="147">
        <v>50750</v>
      </c>
      <c r="C114" s="147">
        <v>1</v>
      </c>
      <c r="D114" s="149">
        <v>46170</v>
      </c>
      <c r="E114" s="149">
        <v>46175</v>
      </c>
      <c r="F114" s="148" t="s">
        <v>40</v>
      </c>
      <c r="G114" s="148" t="s">
        <v>436</v>
      </c>
      <c r="H114" s="151">
        <v>0</v>
      </c>
      <c r="I114" s="169">
        <v>46197</v>
      </c>
      <c r="J114" s="169">
        <v>46201</v>
      </c>
      <c r="K114" s="168" t="s">
        <v>40</v>
      </c>
      <c r="L114" s="168" t="s">
        <v>422</v>
      </c>
      <c r="M114" s="179">
        <v>0</v>
      </c>
      <c r="N114" s="153">
        <v>46197</v>
      </c>
      <c r="O114" s="153">
        <v>46201</v>
      </c>
      <c r="P114" s="152" t="s">
        <v>40</v>
      </c>
      <c r="Q114" s="152" t="s">
        <v>422</v>
      </c>
      <c r="R114" s="155">
        <v>0</v>
      </c>
      <c r="S114" s="157">
        <v>46209</v>
      </c>
      <c r="T114" s="157">
        <v>46214</v>
      </c>
      <c r="U114" s="156" t="s">
        <v>40</v>
      </c>
      <c r="V114" s="156" t="s">
        <v>422</v>
      </c>
      <c r="W114" s="158">
        <v>0</v>
      </c>
      <c r="X114" s="160">
        <v>46215</v>
      </c>
      <c r="Y114" s="160">
        <v>46217</v>
      </c>
      <c r="Z114" s="159" t="s">
        <v>40</v>
      </c>
      <c r="AA114" s="159" t="s">
        <v>422</v>
      </c>
      <c r="AB114" s="161">
        <v>0</v>
      </c>
      <c r="AC114" s="163">
        <v>46225</v>
      </c>
      <c r="AD114" s="163">
        <v>46230</v>
      </c>
      <c r="AE114" s="162" t="s">
        <v>40</v>
      </c>
      <c r="AF114" s="162" t="s">
        <v>422</v>
      </c>
      <c r="AG114" s="164">
        <v>0</v>
      </c>
      <c r="AH114" s="165">
        <v>46231</v>
      </c>
      <c r="AI114" s="165">
        <v>46233</v>
      </c>
      <c r="AJ114" s="166" t="s">
        <v>165</v>
      </c>
      <c r="AK114" s="166" t="s">
        <v>422</v>
      </c>
      <c r="AL114" s="167">
        <v>0</v>
      </c>
      <c r="AM114" s="169">
        <v>46332</v>
      </c>
      <c r="AN114" s="169">
        <v>46338</v>
      </c>
      <c r="AO114" s="168" t="s">
        <v>40</v>
      </c>
      <c r="AP114" s="170">
        <v>0</v>
      </c>
      <c r="AQ114"/>
    </row>
    <row r="115" spans="1:43">
      <c r="A115" s="146" t="s">
        <v>423</v>
      </c>
      <c r="B115" s="147">
        <v>50751</v>
      </c>
      <c r="C115" s="147">
        <v>1</v>
      </c>
      <c r="D115" s="149">
        <v>46170</v>
      </c>
      <c r="E115" s="149">
        <v>46175</v>
      </c>
      <c r="F115" s="148" t="s">
        <v>40</v>
      </c>
      <c r="G115" s="148" t="s">
        <v>436</v>
      </c>
      <c r="H115" s="151">
        <v>0</v>
      </c>
      <c r="I115" s="169">
        <v>46197</v>
      </c>
      <c r="J115" s="169">
        <v>46201</v>
      </c>
      <c r="K115" s="168" t="s">
        <v>40</v>
      </c>
      <c r="L115" s="168" t="s">
        <v>422</v>
      </c>
      <c r="M115" s="179">
        <v>0</v>
      </c>
      <c r="N115" s="153">
        <v>46197</v>
      </c>
      <c r="O115" s="153">
        <v>46201</v>
      </c>
      <c r="P115" s="152" t="s">
        <v>40</v>
      </c>
      <c r="Q115" s="152" t="s">
        <v>422</v>
      </c>
      <c r="R115" s="155">
        <v>0</v>
      </c>
      <c r="S115" s="157">
        <v>46209</v>
      </c>
      <c r="T115" s="157">
        <v>46214</v>
      </c>
      <c r="U115" s="156" t="s">
        <v>40</v>
      </c>
      <c r="V115" s="156" t="s">
        <v>422</v>
      </c>
      <c r="W115" s="158">
        <v>0</v>
      </c>
      <c r="X115" s="160">
        <v>46215</v>
      </c>
      <c r="Y115" s="160">
        <v>46217</v>
      </c>
      <c r="Z115" s="159" t="s">
        <v>40</v>
      </c>
      <c r="AA115" s="159" t="s">
        <v>422</v>
      </c>
      <c r="AB115" s="161">
        <v>0</v>
      </c>
      <c r="AC115" s="163">
        <v>46225</v>
      </c>
      <c r="AD115" s="163">
        <v>46230</v>
      </c>
      <c r="AE115" s="162" t="s">
        <v>40</v>
      </c>
      <c r="AF115" s="162" t="s">
        <v>422</v>
      </c>
      <c r="AG115" s="164">
        <v>0</v>
      </c>
      <c r="AH115" s="165">
        <v>46231</v>
      </c>
      <c r="AI115" s="165">
        <v>46233</v>
      </c>
      <c r="AJ115" s="166" t="s">
        <v>165</v>
      </c>
      <c r="AK115" s="166" t="s">
        <v>422</v>
      </c>
      <c r="AL115" s="167">
        <v>0</v>
      </c>
      <c r="AM115" s="169">
        <v>46332</v>
      </c>
      <c r="AN115" s="169">
        <v>46338</v>
      </c>
      <c r="AO115" s="168" t="s">
        <v>40</v>
      </c>
      <c r="AP115" s="170">
        <v>0</v>
      </c>
      <c r="AQ115"/>
    </row>
    <row r="116" spans="1:43">
      <c r="A116" s="146" t="s">
        <v>423</v>
      </c>
      <c r="B116" s="147">
        <v>50752</v>
      </c>
      <c r="C116" s="147">
        <v>1</v>
      </c>
      <c r="D116" s="149">
        <v>46170</v>
      </c>
      <c r="E116" s="149">
        <v>46175</v>
      </c>
      <c r="F116" s="148" t="s">
        <v>40</v>
      </c>
      <c r="G116" s="148" t="s">
        <v>436</v>
      </c>
      <c r="H116" s="151">
        <v>0</v>
      </c>
      <c r="I116" s="169">
        <v>46197</v>
      </c>
      <c r="J116" s="169">
        <v>46201</v>
      </c>
      <c r="K116" s="168" t="s">
        <v>40</v>
      </c>
      <c r="L116" s="168" t="s">
        <v>422</v>
      </c>
      <c r="M116" s="179">
        <v>0</v>
      </c>
      <c r="N116" s="153">
        <v>46197</v>
      </c>
      <c r="O116" s="153">
        <v>46201</v>
      </c>
      <c r="P116" s="152" t="s">
        <v>40</v>
      </c>
      <c r="Q116" s="152" t="s">
        <v>422</v>
      </c>
      <c r="R116" s="155">
        <v>0</v>
      </c>
      <c r="S116" s="157">
        <v>46209</v>
      </c>
      <c r="T116" s="157">
        <v>46214</v>
      </c>
      <c r="U116" s="156" t="s">
        <v>40</v>
      </c>
      <c r="V116" s="156" t="s">
        <v>422</v>
      </c>
      <c r="W116" s="158">
        <v>0</v>
      </c>
      <c r="X116" s="160">
        <v>46215</v>
      </c>
      <c r="Y116" s="160">
        <v>46217</v>
      </c>
      <c r="Z116" s="159" t="s">
        <v>40</v>
      </c>
      <c r="AA116" s="159" t="s">
        <v>422</v>
      </c>
      <c r="AB116" s="161">
        <v>0</v>
      </c>
      <c r="AC116" s="163">
        <v>46225</v>
      </c>
      <c r="AD116" s="163">
        <v>46230</v>
      </c>
      <c r="AE116" s="162" t="s">
        <v>40</v>
      </c>
      <c r="AF116" s="162" t="s">
        <v>422</v>
      </c>
      <c r="AG116" s="164">
        <v>0</v>
      </c>
      <c r="AH116" s="165">
        <v>46231</v>
      </c>
      <c r="AI116" s="165">
        <v>46233</v>
      </c>
      <c r="AJ116" s="166" t="s">
        <v>165</v>
      </c>
      <c r="AK116" s="166" t="s">
        <v>422</v>
      </c>
      <c r="AL116" s="167">
        <v>0</v>
      </c>
      <c r="AM116" s="169">
        <v>46332</v>
      </c>
      <c r="AN116" s="169">
        <v>46338</v>
      </c>
      <c r="AO116" s="168" t="s">
        <v>40</v>
      </c>
      <c r="AP116" s="170">
        <v>0</v>
      </c>
      <c r="AQ116"/>
    </row>
    <row r="117" spans="1:43">
      <c r="A117" s="146" t="s">
        <v>423</v>
      </c>
      <c r="B117" s="147">
        <v>50753</v>
      </c>
      <c r="C117" s="147">
        <v>1</v>
      </c>
      <c r="D117" s="149">
        <v>46170</v>
      </c>
      <c r="E117" s="149">
        <v>46175</v>
      </c>
      <c r="F117" s="148" t="s">
        <v>40</v>
      </c>
      <c r="G117" s="148" t="s">
        <v>436</v>
      </c>
      <c r="H117" s="151">
        <v>0</v>
      </c>
      <c r="I117" s="169">
        <v>46197</v>
      </c>
      <c r="J117" s="169">
        <v>46201</v>
      </c>
      <c r="K117" s="168" t="s">
        <v>40</v>
      </c>
      <c r="L117" s="168" t="s">
        <v>422</v>
      </c>
      <c r="M117" s="179">
        <v>0</v>
      </c>
      <c r="N117" s="153">
        <v>46197</v>
      </c>
      <c r="O117" s="153">
        <v>46201</v>
      </c>
      <c r="P117" s="152" t="s">
        <v>40</v>
      </c>
      <c r="Q117" s="152" t="s">
        <v>422</v>
      </c>
      <c r="R117" s="155">
        <v>0</v>
      </c>
      <c r="S117" s="157">
        <v>46209</v>
      </c>
      <c r="T117" s="157">
        <v>46214</v>
      </c>
      <c r="U117" s="156" t="s">
        <v>40</v>
      </c>
      <c r="V117" s="156" t="s">
        <v>422</v>
      </c>
      <c r="W117" s="158">
        <v>0</v>
      </c>
      <c r="X117" s="160">
        <v>46215</v>
      </c>
      <c r="Y117" s="160">
        <v>46217</v>
      </c>
      <c r="Z117" s="159" t="s">
        <v>40</v>
      </c>
      <c r="AA117" s="159" t="s">
        <v>422</v>
      </c>
      <c r="AB117" s="161">
        <v>0</v>
      </c>
      <c r="AC117" s="163">
        <v>46225</v>
      </c>
      <c r="AD117" s="163">
        <v>46230</v>
      </c>
      <c r="AE117" s="162" t="s">
        <v>40</v>
      </c>
      <c r="AF117" s="162" t="s">
        <v>422</v>
      </c>
      <c r="AG117" s="164">
        <v>0</v>
      </c>
      <c r="AH117" s="165">
        <v>46231</v>
      </c>
      <c r="AI117" s="165">
        <v>46233</v>
      </c>
      <c r="AJ117" s="166" t="s">
        <v>165</v>
      </c>
      <c r="AK117" s="166" t="s">
        <v>422</v>
      </c>
      <c r="AL117" s="167">
        <v>0</v>
      </c>
      <c r="AM117" s="169">
        <v>46332</v>
      </c>
      <c r="AN117" s="169">
        <v>46338</v>
      </c>
      <c r="AO117" s="168" t="s">
        <v>40</v>
      </c>
      <c r="AP117" s="170">
        <v>0</v>
      </c>
      <c r="AQ117"/>
    </row>
    <row r="118" spans="1:43">
      <c r="A118" s="146" t="s">
        <v>423</v>
      </c>
      <c r="B118" s="147">
        <v>50754</v>
      </c>
      <c r="C118" s="147">
        <v>1</v>
      </c>
      <c r="D118" s="149">
        <v>46170</v>
      </c>
      <c r="E118" s="149">
        <v>46175</v>
      </c>
      <c r="F118" s="148" t="s">
        <v>40</v>
      </c>
      <c r="G118" s="148" t="s">
        <v>436</v>
      </c>
      <c r="H118" s="151">
        <v>0</v>
      </c>
      <c r="I118" s="169">
        <v>46197</v>
      </c>
      <c r="J118" s="169">
        <v>46201</v>
      </c>
      <c r="K118" s="168" t="s">
        <v>40</v>
      </c>
      <c r="L118" s="168" t="s">
        <v>422</v>
      </c>
      <c r="M118" s="179">
        <v>0</v>
      </c>
      <c r="N118" s="153">
        <v>46197</v>
      </c>
      <c r="O118" s="153">
        <v>46201</v>
      </c>
      <c r="P118" s="152" t="s">
        <v>40</v>
      </c>
      <c r="Q118" s="152" t="s">
        <v>422</v>
      </c>
      <c r="R118" s="155">
        <v>0</v>
      </c>
      <c r="S118" s="157">
        <v>46209</v>
      </c>
      <c r="T118" s="157">
        <v>46214</v>
      </c>
      <c r="U118" s="156" t="s">
        <v>40</v>
      </c>
      <c r="V118" s="156" t="s">
        <v>422</v>
      </c>
      <c r="W118" s="158">
        <v>0</v>
      </c>
      <c r="X118" s="160">
        <v>46215</v>
      </c>
      <c r="Y118" s="160">
        <v>46217</v>
      </c>
      <c r="Z118" s="159" t="s">
        <v>40</v>
      </c>
      <c r="AA118" s="159" t="s">
        <v>422</v>
      </c>
      <c r="AB118" s="161">
        <v>0</v>
      </c>
      <c r="AC118" s="163">
        <v>46225</v>
      </c>
      <c r="AD118" s="163">
        <v>46230</v>
      </c>
      <c r="AE118" s="162" t="s">
        <v>40</v>
      </c>
      <c r="AF118" s="162" t="s">
        <v>422</v>
      </c>
      <c r="AG118" s="164">
        <v>0</v>
      </c>
      <c r="AH118" s="165">
        <v>46231</v>
      </c>
      <c r="AI118" s="165">
        <v>46233</v>
      </c>
      <c r="AJ118" s="166" t="s">
        <v>165</v>
      </c>
      <c r="AK118" s="166" t="s">
        <v>422</v>
      </c>
      <c r="AL118" s="167">
        <v>0</v>
      </c>
      <c r="AM118" s="169">
        <v>46332</v>
      </c>
      <c r="AN118" s="169">
        <v>46338</v>
      </c>
      <c r="AO118" s="168" t="s">
        <v>40</v>
      </c>
      <c r="AP118" s="170">
        <v>0</v>
      </c>
      <c r="AQ118"/>
    </row>
    <row r="119" spans="1:43">
      <c r="A119" s="146" t="s">
        <v>423</v>
      </c>
      <c r="B119" s="147">
        <v>50755</v>
      </c>
      <c r="C119" s="147">
        <v>1</v>
      </c>
      <c r="D119" s="149">
        <v>46170</v>
      </c>
      <c r="E119" s="149">
        <v>46175</v>
      </c>
      <c r="F119" s="148" t="s">
        <v>40</v>
      </c>
      <c r="G119" s="148" t="s">
        <v>436</v>
      </c>
      <c r="H119" s="151">
        <v>0</v>
      </c>
      <c r="I119" s="169">
        <v>46197</v>
      </c>
      <c r="J119" s="169">
        <v>46201</v>
      </c>
      <c r="K119" s="168" t="s">
        <v>40</v>
      </c>
      <c r="L119" s="168" t="s">
        <v>422</v>
      </c>
      <c r="M119" s="179">
        <v>0</v>
      </c>
      <c r="N119" s="153">
        <v>46197</v>
      </c>
      <c r="O119" s="153">
        <v>46201</v>
      </c>
      <c r="P119" s="152" t="s">
        <v>40</v>
      </c>
      <c r="Q119" s="152" t="s">
        <v>422</v>
      </c>
      <c r="R119" s="155">
        <v>0</v>
      </c>
      <c r="S119" s="157">
        <v>46209</v>
      </c>
      <c r="T119" s="157">
        <v>46214</v>
      </c>
      <c r="U119" s="156" t="s">
        <v>40</v>
      </c>
      <c r="V119" s="156" t="s">
        <v>422</v>
      </c>
      <c r="W119" s="158">
        <v>0</v>
      </c>
      <c r="X119" s="160">
        <v>46215</v>
      </c>
      <c r="Y119" s="160">
        <v>46217</v>
      </c>
      <c r="Z119" s="159" t="s">
        <v>40</v>
      </c>
      <c r="AA119" s="159" t="s">
        <v>422</v>
      </c>
      <c r="AB119" s="161">
        <v>0</v>
      </c>
      <c r="AC119" s="163">
        <v>46225</v>
      </c>
      <c r="AD119" s="163">
        <v>46230</v>
      </c>
      <c r="AE119" s="162" t="s">
        <v>40</v>
      </c>
      <c r="AF119" s="162" t="s">
        <v>422</v>
      </c>
      <c r="AG119" s="164">
        <v>0</v>
      </c>
      <c r="AH119" s="165">
        <v>46231</v>
      </c>
      <c r="AI119" s="165">
        <v>46233</v>
      </c>
      <c r="AJ119" s="166" t="s">
        <v>165</v>
      </c>
      <c r="AK119" s="166" t="s">
        <v>422</v>
      </c>
      <c r="AL119" s="167">
        <v>0</v>
      </c>
      <c r="AM119" s="169">
        <v>46332</v>
      </c>
      <c r="AN119" s="169">
        <v>46338</v>
      </c>
      <c r="AO119" s="168" t="s">
        <v>40</v>
      </c>
      <c r="AP119" s="170">
        <v>0</v>
      </c>
      <c r="AQ119"/>
    </row>
    <row r="120" spans="1:43">
      <c r="A120" s="146" t="s">
        <v>423</v>
      </c>
      <c r="B120" s="147">
        <v>50756</v>
      </c>
      <c r="C120" s="147">
        <v>1</v>
      </c>
      <c r="D120" s="149">
        <v>46170</v>
      </c>
      <c r="E120" s="149">
        <v>46175</v>
      </c>
      <c r="F120" s="148" t="s">
        <v>40</v>
      </c>
      <c r="G120" s="148" t="s">
        <v>436</v>
      </c>
      <c r="H120" s="151">
        <v>0</v>
      </c>
      <c r="I120" s="169">
        <v>46197</v>
      </c>
      <c r="J120" s="169">
        <v>46201</v>
      </c>
      <c r="K120" s="168" t="s">
        <v>40</v>
      </c>
      <c r="L120" s="168" t="s">
        <v>422</v>
      </c>
      <c r="M120" s="179">
        <v>0</v>
      </c>
      <c r="N120" s="153">
        <v>46197</v>
      </c>
      <c r="O120" s="153">
        <v>46201</v>
      </c>
      <c r="P120" s="152" t="s">
        <v>40</v>
      </c>
      <c r="Q120" s="152" t="s">
        <v>422</v>
      </c>
      <c r="R120" s="155">
        <v>0</v>
      </c>
      <c r="S120" s="157">
        <v>46209</v>
      </c>
      <c r="T120" s="157">
        <v>46214</v>
      </c>
      <c r="U120" s="156" t="s">
        <v>40</v>
      </c>
      <c r="V120" s="156" t="s">
        <v>422</v>
      </c>
      <c r="W120" s="158">
        <v>0</v>
      </c>
      <c r="X120" s="160">
        <v>46215</v>
      </c>
      <c r="Y120" s="160">
        <v>46217</v>
      </c>
      <c r="Z120" s="159" t="s">
        <v>40</v>
      </c>
      <c r="AA120" s="159" t="s">
        <v>422</v>
      </c>
      <c r="AB120" s="161">
        <v>0</v>
      </c>
      <c r="AC120" s="163">
        <v>46225</v>
      </c>
      <c r="AD120" s="163">
        <v>46230</v>
      </c>
      <c r="AE120" s="162" t="s">
        <v>40</v>
      </c>
      <c r="AF120" s="162" t="s">
        <v>422</v>
      </c>
      <c r="AG120" s="164">
        <v>0</v>
      </c>
      <c r="AH120" s="165">
        <v>46231</v>
      </c>
      <c r="AI120" s="165">
        <v>46233</v>
      </c>
      <c r="AJ120" s="166" t="s">
        <v>165</v>
      </c>
      <c r="AK120" s="166" t="s">
        <v>422</v>
      </c>
      <c r="AL120" s="167">
        <v>0</v>
      </c>
      <c r="AM120" s="169">
        <v>46332</v>
      </c>
      <c r="AN120" s="169">
        <v>46338</v>
      </c>
      <c r="AO120" s="168" t="s">
        <v>40</v>
      </c>
      <c r="AP120" s="170">
        <v>0</v>
      </c>
      <c r="AQ120"/>
    </row>
    <row r="121" spans="1:43">
      <c r="A121" s="137" t="s">
        <v>10</v>
      </c>
      <c r="B121" s="138" t="s">
        <v>422</v>
      </c>
      <c r="C121" s="138">
        <v>116</v>
      </c>
      <c r="D121" s="150" t="s">
        <v>422</v>
      </c>
      <c r="E121" s="150" t="s">
        <v>422</v>
      </c>
      <c r="F121" s="150" t="s">
        <v>422</v>
      </c>
      <c r="G121" s="150" t="s">
        <v>422</v>
      </c>
      <c r="H121" s="151">
        <v>0.36</v>
      </c>
      <c r="I121" s="178" t="s">
        <v>422</v>
      </c>
      <c r="J121" s="178" t="s">
        <v>422</v>
      </c>
      <c r="K121" s="178" t="s">
        <v>422</v>
      </c>
      <c r="L121" s="178" t="s">
        <v>422</v>
      </c>
      <c r="M121" s="179">
        <v>0.28000000000000003</v>
      </c>
      <c r="N121" s="154" t="s">
        <v>422</v>
      </c>
      <c r="O121" s="154" t="s">
        <v>422</v>
      </c>
      <c r="P121" s="154" t="s">
        <v>422</v>
      </c>
      <c r="Q121" s="154" t="s">
        <v>422</v>
      </c>
      <c r="R121" s="155">
        <v>0.28000000000000003</v>
      </c>
      <c r="S121" s="171" t="s">
        <v>422</v>
      </c>
      <c r="T121" s="171" t="s">
        <v>422</v>
      </c>
      <c r="U121" s="171" t="s">
        <v>422</v>
      </c>
      <c r="V121" s="171" t="s">
        <v>422</v>
      </c>
      <c r="W121" s="172">
        <v>0.21</v>
      </c>
      <c r="X121" s="173" t="s">
        <v>422</v>
      </c>
      <c r="Y121" s="173" t="s">
        <v>422</v>
      </c>
      <c r="Z121" s="173" t="s">
        <v>422</v>
      </c>
      <c r="AA121" s="173" t="s">
        <v>422</v>
      </c>
      <c r="AB121" s="174">
        <v>0.17</v>
      </c>
      <c r="AC121" s="175" t="s">
        <v>422</v>
      </c>
      <c r="AD121" s="175" t="s">
        <v>422</v>
      </c>
      <c r="AE121" s="175" t="s">
        <v>422</v>
      </c>
      <c r="AF121" s="175" t="s">
        <v>422</v>
      </c>
      <c r="AG121" s="176">
        <v>0.33</v>
      </c>
      <c r="AH121" s="166" t="s">
        <v>422</v>
      </c>
      <c r="AI121" s="166" t="s">
        <v>422</v>
      </c>
      <c r="AJ121" s="166" t="s">
        <v>422</v>
      </c>
      <c r="AK121" s="166" t="s">
        <v>422</v>
      </c>
      <c r="AL121" s="177">
        <v>0</v>
      </c>
      <c r="AM121" s="178" t="s">
        <v>422</v>
      </c>
      <c r="AN121" s="178" t="s">
        <v>422</v>
      </c>
      <c r="AO121" s="178" t="s">
        <v>422</v>
      </c>
      <c r="AP121" s="179">
        <v>0</v>
      </c>
      <c r="AQ121"/>
    </row>
    <row r="122" spans="1:4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</row>
    <row r="123" spans="1:43" ht="18.600000000000001">
      <c r="A123" s="180" t="s">
        <v>228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</row>
    <row r="124" spans="1:43">
      <c r="A124" s="181" t="s">
        <v>172</v>
      </c>
      <c r="B124" s="182" t="s">
        <v>173</v>
      </c>
      <c r="C124" s="182" t="s">
        <v>174</v>
      </c>
      <c r="D124" s="182" t="s">
        <v>34</v>
      </c>
      <c r="E124" s="182" t="s">
        <v>175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</row>
    <row r="125" spans="1:43">
      <c r="A125" s="146" t="s">
        <v>176</v>
      </c>
      <c r="B125" s="183">
        <v>0.1</v>
      </c>
      <c r="C125" s="147">
        <f t="shared" ref="C125:C131" si="0">116*B125</f>
        <v>11.600000000000001</v>
      </c>
      <c r="D125" s="275">
        <f>SUM(H3:H120)*0.1</f>
        <v>5.7450000000000001</v>
      </c>
      <c r="E125" s="183">
        <f>D125/C125</f>
        <v>0.49525862068965509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</row>
    <row r="126" spans="1:43">
      <c r="A126" s="284" t="s">
        <v>177</v>
      </c>
      <c r="B126" s="183">
        <v>0.3</v>
      </c>
      <c r="C126" s="147">
        <f t="shared" si="0"/>
        <v>34.799999999999997</v>
      </c>
      <c r="D126" s="275">
        <f>SUM(M3:M120)*0.3</f>
        <v>11.58</v>
      </c>
      <c r="E126" s="183">
        <f t="shared" ref="E126:E132" si="1">D126/C126</f>
        <v>0.33275862068965523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</row>
    <row r="127" spans="1:43">
      <c r="A127" s="146" t="s">
        <v>178</v>
      </c>
      <c r="B127" s="183">
        <v>0.1</v>
      </c>
      <c r="C127" s="147">
        <f t="shared" si="0"/>
        <v>11.600000000000001</v>
      </c>
      <c r="D127" s="275">
        <f>SUM(R3:R120)*0.1</f>
        <v>3.41</v>
      </c>
      <c r="E127" s="183">
        <f t="shared" si="1"/>
        <v>0.29396551724137926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</row>
    <row r="128" spans="1:43">
      <c r="A128" s="146" t="s">
        <v>161</v>
      </c>
      <c r="B128" s="183">
        <v>0.2</v>
      </c>
      <c r="C128" s="147">
        <f t="shared" si="0"/>
        <v>23.200000000000003</v>
      </c>
      <c r="D128" s="275">
        <f>SUM(W3:W120)*0.2</f>
        <v>4.9400000000000004</v>
      </c>
      <c r="E128" s="183">
        <f t="shared" si="1"/>
        <v>0.2129310344827586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</row>
    <row r="129" spans="1:43">
      <c r="A129" s="146" t="s">
        <v>162</v>
      </c>
      <c r="B129" s="183">
        <v>0.05</v>
      </c>
      <c r="C129" s="147">
        <f t="shared" si="0"/>
        <v>5.8000000000000007</v>
      </c>
      <c r="D129" s="275">
        <f>SUM(AB3:AB120)*0.05</f>
        <v>1.07</v>
      </c>
      <c r="E129" s="183">
        <f t="shared" si="1"/>
        <v>0.18448275862068964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</row>
    <row r="130" spans="1:43">
      <c r="A130" s="146" t="s">
        <v>163</v>
      </c>
      <c r="B130" s="183">
        <v>0.2</v>
      </c>
      <c r="C130" s="147">
        <f t="shared" si="0"/>
        <v>23.200000000000003</v>
      </c>
      <c r="D130" s="275">
        <f>SUM(AG3:AG120)*0.05</f>
        <v>1.8425000000000002</v>
      </c>
      <c r="E130" s="183">
        <f t="shared" si="1"/>
        <v>7.9418103448275865E-2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</row>
    <row r="131" spans="1:43">
      <c r="A131" s="146" t="s">
        <v>164</v>
      </c>
      <c r="B131" s="183">
        <v>0.05</v>
      </c>
      <c r="C131" s="147">
        <f t="shared" si="0"/>
        <v>5.8000000000000007</v>
      </c>
      <c r="D131" s="275">
        <f>SUM(AL3:AL120)*0.05</f>
        <v>0</v>
      </c>
      <c r="E131" s="183">
        <f t="shared" si="1"/>
        <v>0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</row>
    <row r="132" spans="1:43">
      <c r="A132" s="137" t="s">
        <v>179</v>
      </c>
      <c r="B132" s="184">
        <v>1</v>
      </c>
      <c r="C132" s="138">
        <f>SUM(C125:C131)</f>
        <v>116</v>
      </c>
      <c r="D132" s="293">
        <f>SUM(D125:D131)</f>
        <v>28.587500000000002</v>
      </c>
      <c r="E132" s="184">
        <f t="shared" si="1"/>
        <v>0.2464439655172414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</row>
  </sheetData>
  <mergeCells count="8">
    <mergeCell ref="AM1:AP1"/>
    <mergeCell ref="D1:H1"/>
    <mergeCell ref="N1:R1"/>
    <mergeCell ref="S1:W1"/>
    <mergeCell ref="X1:AB1"/>
    <mergeCell ref="AC1:AG1"/>
    <mergeCell ref="AH1:AL1"/>
    <mergeCell ref="I1:M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E5A8-C5D9-41A2-BB0C-CEB542E8A6DA}">
  <dimension ref="A1:AQ229"/>
  <sheetViews>
    <sheetView zoomScale="90" zoomScaleNormal="90" workbookViewId="0">
      <pane xSplit="3" ySplit="2" topLeftCell="D35" activePane="bottomRight" state="frozen"/>
      <selection pane="bottomRight" activeCell="G37" sqref="G37"/>
      <selection pane="bottomLeft" activeCell="A3" sqref="A3"/>
      <selection pane="topRight" activeCell="D1" sqref="D1"/>
    </sheetView>
  </sheetViews>
  <sheetFormatPr defaultColWidth="8.7109375" defaultRowHeight="15"/>
  <cols>
    <col min="1" max="1" width="16.42578125" style="127" customWidth="1"/>
    <col min="2" max="2" width="16.42578125" style="127" bestFit="1" customWidth="1"/>
    <col min="3" max="3" width="13.85546875" style="127" bestFit="1" customWidth="1"/>
    <col min="4" max="6" width="15.5703125" style="127" customWidth="1"/>
    <col min="7" max="7" width="28.7109375" style="127" customWidth="1"/>
    <col min="8" max="16" width="15.5703125" style="127" customWidth="1"/>
    <col min="17" max="17" width="32.140625" style="127" customWidth="1"/>
    <col min="18" max="38" width="15.5703125" style="127" customWidth="1"/>
    <col min="39" max="42" width="15.5703125" style="127" hidden="1" customWidth="1"/>
    <col min="43" max="16384" width="8.7109375" style="127"/>
  </cols>
  <sheetData>
    <row r="1" spans="1:43" ht="18.75">
      <c r="A1" s="469" t="s">
        <v>1</v>
      </c>
      <c r="B1" s="297" t="s">
        <v>25</v>
      </c>
      <c r="C1" s="297" t="s">
        <v>26</v>
      </c>
      <c r="D1" s="481" t="s">
        <v>180</v>
      </c>
      <c r="E1" s="481"/>
      <c r="F1" s="481"/>
      <c r="G1" s="481"/>
      <c r="H1" s="482"/>
      <c r="I1" s="497" t="s">
        <v>181</v>
      </c>
      <c r="J1" s="498"/>
      <c r="K1" s="498"/>
      <c r="L1" s="498"/>
      <c r="M1" s="499"/>
      <c r="N1" s="483" t="s">
        <v>182</v>
      </c>
      <c r="O1" s="484"/>
      <c r="P1" s="484"/>
      <c r="Q1" s="484"/>
      <c r="R1" s="485"/>
      <c r="S1" s="486" t="s">
        <v>183</v>
      </c>
      <c r="T1" s="486"/>
      <c r="U1" s="486"/>
      <c r="V1" s="486"/>
      <c r="W1" s="487"/>
      <c r="X1" s="488" t="s">
        <v>184</v>
      </c>
      <c r="Y1" s="489"/>
      <c r="Z1" s="489"/>
      <c r="AA1" s="489"/>
      <c r="AB1" s="490"/>
      <c r="AC1" s="491" t="s">
        <v>421</v>
      </c>
      <c r="AD1" s="492"/>
      <c r="AE1" s="492"/>
      <c r="AF1" s="492"/>
      <c r="AG1" s="493"/>
      <c r="AH1" s="494" t="s">
        <v>229</v>
      </c>
      <c r="AI1" s="495"/>
      <c r="AJ1" s="495"/>
      <c r="AK1" s="495"/>
      <c r="AL1" s="496"/>
      <c r="AM1" s="479" t="s">
        <v>166</v>
      </c>
      <c r="AN1" s="479"/>
      <c r="AO1" s="479"/>
      <c r="AP1" s="480"/>
      <c r="AQ1" s="470"/>
    </row>
    <row r="2" spans="1:43" ht="15.75">
      <c r="A2" s="471" t="s">
        <v>422</v>
      </c>
      <c r="B2" s="298" t="s">
        <v>422</v>
      </c>
      <c r="C2" s="298" t="s">
        <v>422</v>
      </c>
      <c r="D2" s="307" t="s">
        <v>28</v>
      </c>
      <c r="E2" s="307" t="s">
        <v>29</v>
      </c>
      <c r="F2" s="307" t="s">
        <v>30</v>
      </c>
      <c r="G2" s="307" t="s">
        <v>187</v>
      </c>
      <c r="H2" s="307" t="s">
        <v>31</v>
      </c>
      <c r="I2" s="309" t="s">
        <v>28</v>
      </c>
      <c r="J2" s="309" t="s">
        <v>29</v>
      </c>
      <c r="K2" s="309" t="s">
        <v>30</v>
      </c>
      <c r="L2" s="309" t="s">
        <v>187</v>
      </c>
      <c r="M2" s="309" t="s">
        <v>31</v>
      </c>
      <c r="N2" s="313" t="s">
        <v>28</v>
      </c>
      <c r="O2" s="313" t="s">
        <v>29</v>
      </c>
      <c r="P2" s="313" t="s">
        <v>30</v>
      </c>
      <c r="Q2" s="313" t="s">
        <v>187</v>
      </c>
      <c r="R2" s="313" t="s">
        <v>31</v>
      </c>
      <c r="S2" s="317" t="s">
        <v>28</v>
      </c>
      <c r="T2" s="317" t="s">
        <v>29</v>
      </c>
      <c r="U2" s="317" t="s">
        <v>30</v>
      </c>
      <c r="V2" s="317" t="s">
        <v>187</v>
      </c>
      <c r="W2" s="317" t="s">
        <v>31</v>
      </c>
      <c r="X2" s="321" t="s">
        <v>28</v>
      </c>
      <c r="Y2" s="321" t="s">
        <v>29</v>
      </c>
      <c r="Z2" s="321" t="s">
        <v>30</v>
      </c>
      <c r="AA2" s="321" t="s">
        <v>187</v>
      </c>
      <c r="AB2" s="321" t="s">
        <v>31</v>
      </c>
      <c r="AC2" s="325" t="s">
        <v>28</v>
      </c>
      <c r="AD2" s="325" t="s">
        <v>29</v>
      </c>
      <c r="AE2" s="325" t="s">
        <v>30</v>
      </c>
      <c r="AF2" s="325" t="s">
        <v>187</v>
      </c>
      <c r="AG2" s="325" t="s">
        <v>31</v>
      </c>
      <c r="AH2" s="329" t="s">
        <v>28</v>
      </c>
      <c r="AI2" s="329" t="s">
        <v>29</v>
      </c>
      <c r="AJ2" s="329" t="s">
        <v>30</v>
      </c>
      <c r="AK2" s="329" t="s">
        <v>187</v>
      </c>
      <c r="AL2" s="329" t="s">
        <v>31</v>
      </c>
      <c r="AM2" s="309" t="s">
        <v>28</v>
      </c>
      <c r="AN2" s="309" t="s">
        <v>29</v>
      </c>
      <c r="AO2" s="309" t="s">
        <v>30</v>
      </c>
      <c r="AP2" s="309" t="s">
        <v>31</v>
      </c>
      <c r="AQ2" s="470"/>
    </row>
    <row r="3" spans="1:43">
      <c r="A3" s="306" t="s">
        <v>437</v>
      </c>
      <c r="B3" s="305" t="s">
        <v>438</v>
      </c>
      <c r="C3" s="305">
        <v>1</v>
      </c>
      <c r="D3" s="380">
        <v>46190</v>
      </c>
      <c r="E3" s="380">
        <v>46195</v>
      </c>
      <c r="F3" s="308" t="s">
        <v>40</v>
      </c>
      <c r="G3" s="460" t="s">
        <v>439</v>
      </c>
      <c r="H3" s="381">
        <v>0</v>
      </c>
      <c r="I3" s="311">
        <v>46196</v>
      </c>
      <c r="J3" s="311">
        <v>46202</v>
      </c>
      <c r="K3" s="310" t="s">
        <v>40</v>
      </c>
      <c r="L3" s="310" t="s">
        <v>422</v>
      </c>
      <c r="M3" s="312">
        <v>0</v>
      </c>
      <c r="N3" s="314">
        <v>46196</v>
      </c>
      <c r="O3" s="314">
        <v>46202</v>
      </c>
      <c r="P3" s="315" t="s">
        <v>40</v>
      </c>
      <c r="Q3" s="315" t="s">
        <v>422</v>
      </c>
      <c r="R3" s="316">
        <v>0</v>
      </c>
      <c r="S3" s="318">
        <v>46222</v>
      </c>
      <c r="T3" s="318">
        <v>46227</v>
      </c>
      <c r="U3" s="319" t="s">
        <v>40</v>
      </c>
      <c r="V3" s="319" t="s">
        <v>422</v>
      </c>
      <c r="W3" s="320">
        <v>0</v>
      </c>
      <c r="X3" s="322">
        <v>46235</v>
      </c>
      <c r="Y3" s="322">
        <v>46237</v>
      </c>
      <c r="Z3" s="323" t="s">
        <v>40</v>
      </c>
      <c r="AA3" s="323" t="s">
        <v>422</v>
      </c>
      <c r="AB3" s="324">
        <v>0</v>
      </c>
      <c r="AC3" s="326">
        <v>46238</v>
      </c>
      <c r="AD3" s="326">
        <v>46244</v>
      </c>
      <c r="AE3" s="327" t="s">
        <v>40</v>
      </c>
      <c r="AF3" s="327" t="s">
        <v>422</v>
      </c>
      <c r="AG3" s="328">
        <v>0</v>
      </c>
      <c r="AH3" s="330">
        <v>46231</v>
      </c>
      <c r="AI3" s="330">
        <v>46233</v>
      </c>
      <c r="AJ3" s="331" t="s">
        <v>165</v>
      </c>
      <c r="AK3" s="331" t="s">
        <v>422</v>
      </c>
      <c r="AL3" s="332">
        <v>0</v>
      </c>
      <c r="AM3" s="311">
        <v>46332</v>
      </c>
      <c r="AN3" s="311">
        <v>46338</v>
      </c>
      <c r="AO3" s="310" t="s">
        <v>40</v>
      </c>
      <c r="AP3" s="472">
        <v>0</v>
      </c>
      <c r="AQ3" s="301"/>
    </row>
    <row r="4" spans="1:43">
      <c r="A4" s="306"/>
      <c r="B4" s="305"/>
      <c r="C4" s="305"/>
      <c r="D4" s="380"/>
      <c r="E4" s="380"/>
      <c r="F4" s="308"/>
      <c r="G4" s="460">
        <v>41044300</v>
      </c>
      <c r="H4" s="381"/>
      <c r="I4" s="311"/>
      <c r="J4" s="311"/>
      <c r="K4" s="310"/>
      <c r="L4" s="310"/>
      <c r="M4" s="312"/>
      <c r="N4" s="314"/>
      <c r="O4" s="314"/>
      <c r="P4" s="315"/>
      <c r="Q4" s="315"/>
      <c r="R4" s="316"/>
      <c r="S4" s="318"/>
      <c r="T4" s="318"/>
      <c r="U4" s="319"/>
      <c r="V4" s="319"/>
      <c r="W4" s="320"/>
      <c r="X4" s="322"/>
      <c r="Y4" s="322"/>
      <c r="Z4" s="323"/>
      <c r="AA4" s="323"/>
      <c r="AB4" s="324"/>
      <c r="AC4" s="326"/>
      <c r="AD4" s="326"/>
      <c r="AE4" s="327"/>
      <c r="AF4" s="327"/>
      <c r="AG4" s="328"/>
      <c r="AH4" s="330"/>
      <c r="AI4" s="330"/>
      <c r="AJ4" s="331"/>
      <c r="AK4" s="331"/>
      <c r="AL4" s="332"/>
      <c r="AM4" s="311"/>
      <c r="AN4" s="311"/>
      <c r="AO4" s="310"/>
      <c r="AP4" s="472"/>
      <c r="AQ4" s="301"/>
    </row>
    <row r="5" spans="1:43">
      <c r="A5" s="306" t="s">
        <v>437</v>
      </c>
      <c r="B5" s="305" t="s">
        <v>440</v>
      </c>
      <c r="C5" s="305">
        <v>1</v>
      </c>
      <c r="D5" s="380">
        <v>46190</v>
      </c>
      <c r="E5" s="380">
        <v>46195</v>
      </c>
      <c r="F5" s="308" t="s">
        <v>34</v>
      </c>
      <c r="G5" s="308" t="s">
        <v>34</v>
      </c>
      <c r="H5" s="381">
        <v>1</v>
      </c>
      <c r="I5" s="311">
        <v>46196</v>
      </c>
      <c r="J5" s="311">
        <v>46202</v>
      </c>
      <c r="K5" s="310" t="s">
        <v>34</v>
      </c>
      <c r="L5" s="310" t="s">
        <v>34</v>
      </c>
      <c r="M5" s="312">
        <v>1</v>
      </c>
      <c r="N5" s="314">
        <v>46196</v>
      </c>
      <c r="O5" s="314">
        <v>46202</v>
      </c>
      <c r="P5" s="315" t="s">
        <v>232</v>
      </c>
      <c r="Q5" s="315" t="s">
        <v>232</v>
      </c>
      <c r="R5" s="316">
        <v>0.5</v>
      </c>
      <c r="S5" s="318">
        <v>46222</v>
      </c>
      <c r="T5" s="318">
        <v>46227</v>
      </c>
      <c r="U5" s="319" t="s">
        <v>40</v>
      </c>
      <c r="V5" s="319" t="s">
        <v>422</v>
      </c>
      <c r="W5" s="320">
        <v>0.2</v>
      </c>
      <c r="X5" s="322">
        <v>46235</v>
      </c>
      <c r="Y5" s="322">
        <v>46237</v>
      </c>
      <c r="Z5" s="323" t="s">
        <v>232</v>
      </c>
      <c r="AA5" s="323" t="s">
        <v>422</v>
      </c>
      <c r="AB5" s="324">
        <v>1</v>
      </c>
      <c r="AC5" s="326">
        <v>46238</v>
      </c>
      <c r="AD5" s="326">
        <v>46244</v>
      </c>
      <c r="AE5" s="327" t="s">
        <v>40</v>
      </c>
      <c r="AF5" s="327" t="s">
        <v>422</v>
      </c>
      <c r="AG5" s="328">
        <v>0</v>
      </c>
      <c r="AH5" s="330">
        <v>46231</v>
      </c>
      <c r="AI5" s="330">
        <v>46233</v>
      </c>
      <c r="AJ5" s="331" t="s">
        <v>165</v>
      </c>
      <c r="AK5" s="331" t="s">
        <v>422</v>
      </c>
      <c r="AL5" s="332">
        <v>0</v>
      </c>
      <c r="AM5" s="311">
        <v>46332</v>
      </c>
      <c r="AN5" s="311">
        <v>46338</v>
      </c>
      <c r="AO5" s="310" t="s">
        <v>40</v>
      </c>
      <c r="AP5" s="472">
        <v>0</v>
      </c>
      <c r="AQ5" s="301"/>
    </row>
    <row r="6" spans="1:43">
      <c r="A6" s="306" t="s">
        <v>437</v>
      </c>
      <c r="B6" s="305" t="s">
        <v>441</v>
      </c>
      <c r="C6" s="305">
        <v>1</v>
      </c>
      <c r="D6" s="380">
        <v>46190</v>
      </c>
      <c r="E6" s="380">
        <v>46195</v>
      </c>
      <c r="F6" s="308" t="s">
        <v>34</v>
      </c>
      <c r="G6" s="460">
        <v>41027200</v>
      </c>
      <c r="H6" s="381">
        <v>0.5</v>
      </c>
      <c r="I6" s="311">
        <v>46196</v>
      </c>
      <c r="J6" s="311">
        <v>46202</v>
      </c>
      <c r="K6" s="310" t="s">
        <v>34</v>
      </c>
      <c r="L6" s="310" t="s">
        <v>34</v>
      </c>
      <c r="M6" s="312">
        <v>1</v>
      </c>
      <c r="N6" s="314">
        <v>46196</v>
      </c>
      <c r="O6" s="314">
        <v>46202</v>
      </c>
      <c r="P6" s="315" t="s">
        <v>34</v>
      </c>
      <c r="Q6" s="315" t="s">
        <v>34</v>
      </c>
      <c r="R6" s="316">
        <v>1</v>
      </c>
      <c r="S6" s="318">
        <v>46222</v>
      </c>
      <c r="T6" s="318">
        <v>46227</v>
      </c>
      <c r="U6" s="319" t="s">
        <v>34</v>
      </c>
      <c r="V6" s="319" t="s">
        <v>422</v>
      </c>
      <c r="W6" s="320">
        <v>1</v>
      </c>
      <c r="X6" s="322">
        <v>46235</v>
      </c>
      <c r="Y6" s="322">
        <v>46237</v>
      </c>
      <c r="Z6" s="323" t="s">
        <v>40</v>
      </c>
      <c r="AA6" s="323" t="s">
        <v>422</v>
      </c>
      <c r="AB6" s="324">
        <v>0</v>
      </c>
      <c r="AC6" s="326">
        <v>46238</v>
      </c>
      <c r="AD6" s="326">
        <v>46244</v>
      </c>
      <c r="AE6" s="327" t="s">
        <v>40</v>
      </c>
      <c r="AF6" s="327" t="s">
        <v>422</v>
      </c>
      <c r="AG6" s="328">
        <v>0</v>
      </c>
      <c r="AH6" s="330">
        <v>46231</v>
      </c>
      <c r="AI6" s="330">
        <v>46233</v>
      </c>
      <c r="AJ6" s="331" t="s">
        <v>165</v>
      </c>
      <c r="AK6" s="331" t="s">
        <v>422</v>
      </c>
      <c r="AL6" s="332">
        <v>0</v>
      </c>
      <c r="AM6" s="311">
        <v>46332</v>
      </c>
      <c r="AN6" s="311">
        <v>46338</v>
      </c>
      <c r="AO6" s="310" t="s">
        <v>40</v>
      </c>
      <c r="AP6" s="472">
        <v>0</v>
      </c>
      <c r="AQ6" s="301"/>
    </row>
    <row r="7" spans="1:43">
      <c r="A7" s="306" t="s">
        <v>437</v>
      </c>
      <c r="B7" s="305" t="s">
        <v>442</v>
      </c>
      <c r="C7" s="305">
        <v>1</v>
      </c>
      <c r="D7" s="380">
        <v>46190</v>
      </c>
      <c r="E7" s="380">
        <v>46195</v>
      </c>
      <c r="F7" s="308" t="s">
        <v>34</v>
      </c>
      <c r="G7" s="308" t="s">
        <v>34</v>
      </c>
      <c r="H7" s="381">
        <v>1</v>
      </c>
      <c r="I7" s="311">
        <v>46196</v>
      </c>
      <c r="J7" s="311">
        <v>46202</v>
      </c>
      <c r="K7" s="310" t="s">
        <v>34</v>
      </c>
      <c r="L7" s="310" t="s">
        <v>34</v>
      </c>
      <c r="M7" s="312">
        <v>1</v>
      </c>
      <c r="N7" s="314">
        <v>46196</v>
      </c>
      <c r="O7" s="314">
        <v>46202</v>
      </c>
      <c r="P7" s="315" t="s">
        <v>34</v>
      </c>
      <c r="Q7" s="315" t="s">
        <v>34</v>
      </c>
      <c r="R7" s="316">
        <v>1</v>
      </c>
      <c r="S7" s="318">
        <v>46222</v>
      </c>
      <c r="T7" s="318">
        <v>46227</v>
      </c>
      <c r="U7" s="319" t="s">
        <v>34</v>
      </c>
      <c r="V7" s="319" t="s">
        <v>422</v>
      </c>
      <c r="W7" s="320">
        <v>1</v>
      </c>
      <c r="X7" s="322">
        <v>46235</v>
      </c>
      <c r="Y7" s="322">
        <v>46237</v>
      </c>
      <c r="Z7" s="323" t="s">
        <v>40</v>
      </c>
      <c r="AA7" s="323" t="s">
        <v>422</v>
      </c>
      <c r="AB7" s="324">
        <v>0</v>
      </c>
      <c r="AC7" s="326">
        <v>46238</v>
      </c>
      <c r="AD7" s="326">
        <v>46244</v>
      </c>
      <c r="AE7" s="327" t="s">
        <v>40</v>
      </c>
      <c r="AF7" s="327" t="s">
        <v>422</v>
      </c>
      <c r="AG7" s="328">
        <v>0</v>
      </c>
      <c r="AH7" s="330">
        <v>46231</v>
      </c>
      <c r="AI7" s="330">
        <v>46233</v>
      </c>
      <c r="AJ7" s="331" t="s">
        <v>165</v>
      </c>
      <c r="AK7" s="331" t="s">
        <v>422</v>
      </c>
      <c r="AL7" s="332">
        <v>0</v>
      </c>
      <c r="AM7" s="311">
        <v>46332</v>
      </c>
      <c r="AN7" s="311">
        <v>46338</v>
      </c>
      <c r="AO7" s="310" t="s">
        <v>40</v>
      </c>
      <c r="AP7" s="472">
        <v>0</v>
      </c>
      <c r="AQ7" s="301"/>
    </row>
    <row r="8" spans="1:43">
      <c r="A8" s="306" t="s">
        <v>437</v>
      </c>
      <c r="B8" s="305" t="s">
        <v>443</v>
      </c>
      <c r="C8" s="305">
        <v>1</v>
      </c>
      <c r="D8" s="380">
        <v>46190</v>
      </c>
      <c r="E8" s="380">
        <v>46195</v>
      </c>
      <c r="F8" s="308" t="s">
        <v>34</v>
      </c>
      <c r="G8" s="460">
        <v>41027200</v>
      </c>
      <c r="H8" s="381">
        <v>1</v>
      </c>
      <c r="I8" s="311">
        <v>46196</v>
      </c>
      <c r="J8" s="311">
        <v>46202</v>
      </c>
      <c r="K8" s="310" t="s">
        <v>34</v>
      </c>
      <c r="L8" s="310" t="s">
        <v>34</v>
      </c>
      <c r="M8" s="312">
        <v>1</v>
      </c>
      <c r="N8" s="314">
        <v>46196</v>
      </c>
      <c r="O8" s="314">
        <v>46202</v>
      </c>
      <c r="P8" s="315" t="s">
        <v>34</v>
      </c>
      <c r="Q8" s="315" t="s">
        <v>34</v>
      </c>
      <c r="R8" s="316">
        <v>1</v>
      </c>
      <c r="S8" s="318">
        <v>46222</v>
      </c>
      <c r="T8" s="318">
        <v>46227</v>
      </c>
      <c r="U8" s="319" t="s">
        <v>34</v>
      </c>
      <c r="V8" s="319" t="s">
        <v>422</v>
      </c>
      <c r="W8" s="320">
        <v>1</v>
      </c>
      <c r="X8" s="322">
        <v>46235</v>
      </c>
      <c r="Y8" s="322">
        <v>46237</v>
      </c>
      <c r="Z8" s="323" t="s">
        <v>40</v>
      </c>
      <c r="AA8" s="323" t="s">
        <v>422</v>
      </c>
      <c r="AB8" s="324">
        <v>0</v>
      </c>
      <c r="AC8" s="326">
        <v>46238</v>
      </c>
      <c r="AD8" s="326">
        <v>46244</v>
      </c>
      <c r="AE8" s="327" t="s">
        <v>40</v>
      </c>
      <c r="AF8" s="327" t="s">
        <v>422</v>
      </c>
      <c r="AG8" s="328">
        <v>0</v>
      </c>
      <c r="AH8" s="330">
        <v>46231</v>
      </c>
      <c r="AI8" s="330">
        <v>46233</v>
      </c>
      <c r="AJ8" s="331" t="s">
        <v>165</v>
      </c>
      <c r="AK8" s="331" t="s">
        <v>190</v>
      </c>
      <c r="AL8" s="332">
        <v>1</v>
      </c>
      <c r="AM8" s="311">
        <v>46332</v>
      </c>
      <c r="AN8" s="311">
        <v>46338</v>
      </c>
      <c r="AO8" s="310" t="s">
        <v>40</v>
      </c>
      <c r="AP8" s="472">
        <v>0</v>
      </c>
      <c r="AQ8" s="301"/>
    </row>
    <row r="9" spans="1:43">
      <c r="A9" s="306" t="s">
        <v>437</v>
      </c>
      <c r="B9" s="305" t="s">
        <v>444</v>
      </c>
      <c r="C9" s="305">
        <v>1</v>
      </c>
      <c r="D9" s="380">
        <v>46190</v>
      </c>
      <c r="E9" s="380">
        <v>46195</v>
      </c>
      <c r="F9" s="308" t="s">
        <v>34</v>
      </c>
      <c r="G9" s="460" t="s">
        <v>445</v>
      </c>
      <c r="H9" s="381">
        <v>0.9</v>
      </c>
      <c r="I9" s="311">
        <v>46196</v>
      </c>
      <c r="J9" s="311">
        <v>46202</v>
      </c>
      <c r="K9" s="310" t="s">
        <v>34</v>
      </c>
      <c r="L9" s="310" t="s">
        <v>34</v>
      </c>
      <c r="M9" s="312">
        <v>1</v>
      </c>
      <c r="N9" s="314">
        <v>46196</v>
      </c>
      <c r="O9" s="314">
        <v>46202</v>
      </c>
      <c r="P9" s="315" t="s">
        <v>40</v>
      </c>
      <c r="Q9" s="315" t="s">
        <v>446</v>
      </c>
      <c r="R9" s="316">
        <v>0</v>
      </c>
      <c r="S9" s="318">
        <v>46222</v>
      </c>
      <c r="T9" s="318">
        <v>46227</v>
      </c>
      <c r="U9" s="319" t="s">
        <v>40</v>
      </c>
      <c r="V9" s="319" t="s">
        <v>422</v>
      </c>
      <c r="W9" s="320">
        <v>0</v>
      </c>
      <c r="X9" s="322">
        <v>46235</v>
      </c>
      <c r="Y9" s="322">
        <v>46237</v>
      </c>
      <c r="Z9" s="323" t="s">
        <v>40</v>
      </c>
      <c r="AA9" s="323" t="s">
        <v>422</v>
      </c>
      <c r="AB9" s="324">
        <v>0</v>
      </c>
      <c r="AC9" s="326">
        <v>46238</v>
      </c>
      <c r="AD9" s="326">
        <v>46244</v>
      </c>
      <c r="AE9" s="327" t="s">
        <v>40</v>
      </c>
      <c r="AF9" s="327" t="s">
        <v>422</v>
      </c>
      <c r="AG9" s="328">
        <v>0</v>
      </c>
      <c r="AH9" s="330">
        <v>46231</v>
      </c>
      <c r="AI9" s="330">
        <v>46233</v>
      </c>
      <c r="AJ9" s="331" t="s">
        <v>165</v>
      </c>
      <c r="AK9" s="331" t="s">
        <v>422</v>
      </c>
      <c r="AL9" s="332">
        <v>0</v>
      </c>
      <c r="AM9" s="311">
        <v>46332</v>
      </c>
      <c r="AN9" s="311">
        <v>46338</v>
      </c>
      <c r="AO9" s="310" t="s">
        <v>40</v>
      </c>
      <c r="AP9" s="472">
        <v>0</v>
      </c>
      <c r="AQ9" s="301"/>
    </row>
    <row r="10" spans="1:43">
      <c r="A10" s="306" t="s">
        <v>437</v>
      </c>
      <c r="B10" s="305" t="s">
        <v>447</v>
      </c>
      <c r="C10" s="305">
        <v>1</v>
      </c>
      <c r="D10" s="380">
        <v>46190</v>
      </c>
      <c r="E10" s="380">
        <v>46195</v>
      </c>
      <c r="F10" s="308" t="s">
        <v>34</v>
      </c>
      <c r="G10" s="308" t="s">
        <v>34</v>
      </c>
      <c r="H10" s="381">
        <v>1</v>
      </c>
      <c r="I10" s="311">
        <v>46196</v>
      </c>
      <c r="J10" s="311">
        <v>46202</v>
      </c>
      <c r="K10" s="310" t="s">
        <v>34</v>
      </c>
      <c r="L10" s="310" t="s">
        <v>34</v>
      </c>
      <c r="M10" s="312">
        <v>1</v>
      </c>
      <c r="N10" s="314">
        <v>46196</v>
      </c>
      <c r="O10" s="314">
        <v>46202</v>
      </c>
      <c r="P10" s="315" t="s">
        <v>232</v>
      </c>
      <c r="Q10" s="315" t="s">
        <v>232</v>
      </c>
      <c r="R10" s="316">
        <v>0.5</v>
      </c>
      <c r="S10" s="318">
        <v>46222</v>
      </c>
      <c r="T10" s="318">
        <v>46227</v>
      </c>
      <c r="U10" s="319" t="s">
        <v>232</v>
      </c>
      <c r="V10" s="319" t="s">
        <v>448</v>
      </c>
      <c r="W10" s="320">
        <v>0.5</v>
      </c>
      <c r="X10" s="322">
        <v>46235</v>
      </c>
      <c r="Y10" s="322">
        <v>46237</v>
      </c>
      <c r="Z10" s="323" t="s">
        <v>232</v>
      </c>
      <c r="AA10" s="323" t="s">
        <v>422</v>
      </c>
      <c r="AB10" s="324">
        <v>0.5</v>
      </c>
      <c r="AC10" s="326">
        <v>46238</v>
      </c>
      <c r="AD10" s="326">
        <v>46244</v>
      </c>
      <c r="AE10" s="327" t="s">
        <v>40</v>
      </c>
      <c r="AF10" s="327" t="s">
        <v>422</v>
      </c>
      <c r="AG10" s="328">
        <v>0.9</v>
      </c>
      <c r="AH10" s="330">
        <v>46231</v>
      </c>
      <c r="AI10" s="330">
        <v>46233</v>
      </c>
      <c r="AJ10" s="331" t="s">
        <v>165</v>
      </c>
      <c r="AK10" s="331" t="s">
        <v>190</v>
      </c>
      <c r="AL10" s="332">
        <v>1</v>
      </c>
      <c r="AM10" s="311">
        <v>46332</v>
      </c>
      <c r="AN10" s="311">
        <v>46338</v>
      </c>
      <c r="AO10" s="310" t="s">
        <v>40</v>
      </c>
      <c r="AP10" s="472">
        <v>0</v>
      </c>
      <c r="AQ10" s="301"/>
    </row>
    <row r="11" spans="1:43">
      <c r="A11" s="306" t="s">
        <v>437</v>
      </c>
      <c r="B11" s="305" t="s">
        <v>449</v>
      </c>
      <c r="C11" s="305">
        <v>1</v>
      </c>
      <c r="D11" s="380">
        <v>46190</v>
      </c>
      <c r="E11" s="380">
        <v>46195</v>
      </c>
      <c r="F11" s="308" t="s">
        <v>34</v>
      </c>
      <c r="G11" s="308" t="s">
        <v>34</v>
      </c>
      <c r="H11" s="381">
        <v>1</v>
      </c>
      <c r="I11" s="311">
        <v>46196</v>
      </c>
      <c r="J11" s="311">
        <v>46202</v>
      </c>
      <c r="K11" s="310" t="s">
        <v>34</v>
      </c>
      <c r="L11" s="310" t="s">
        <v>34</v>
      </c>
      <c r="M11" s="312">
        <v>1</v>
      </c>
      <c r="N11" s="314">
        <v>46196</v>
      </c>
      <c r="O11" s="314">
        <v>46202</v>
      </c>
      <c r="P11" s="315" t="s">
        <v>232</v>
      </c>
      <c r="Q11" s="315" t="s">
        <v>232</v>
      </c>
      <c r="R11" s="316">
        <v>0.9</v>
      </c>
      <c r="S11" s="318">
        <v>46222</v>
      </c>
      <c r="T11" s="318">
        <v>46227</v>
      </c>
      <c r="U11" s="319" t="s">
        <v>40</v>
      </c>
      <c r="V11" s="319" t="s">
        <v>422</v>
      </c>
      <c r="W11" s="320">
        <v>0</v>
      </c>
      <c r="X11" s="322">
        <v>46235</v>
      </c>
      <c r="Y11" s="322">
        <v>46237</v>
      </c>
      <c r="Z11" s="323" t="s">
        <v>232</v>
      </c>
      <c r="AA11" s="323" t="s">
        <v>422</v>
      </c>
      <c r="AB11" s="324">
        <v>0.5</v>
      </c>
      <c r="AC11" s="326">
        <v>46238</v>
      </c>
      <c r="AD11" s="326">
        <v>46244</v>
      </c>
      <c r="AE11" s="327" t="s">
        <v>40</v>
      </c>
      <c r="AF11" s="327" t="s">
        <v>422</v>
      </c>
      <c r="AG11" s="328">
        <v>0.9</v>
      </c>
      <c r="AH11" s="330">
        <v>46231</v>
      </c>
      <c r="AI11" s="330">
        <v>46233</v>
      </c>
      <c r="AJ11" s="331" t="s">
        <v>165</v>
      </c>
      <c r="AK11" s="331" t="s">
        <v>422</v>
      </c>
      <c r="AL11" s="332">
        <v>0</v>
      </c>
      <c r="AM11" s="311">
        <v>46332</v>
      </c>
      <c r="AN11" s="311">
        <v>46338</v>
      </c>
      <c r="AO11" s="310" t="s">
        <v>40</v>
      </c>
      <c r="AP11" s="472">
        <v>0</v>
      </c>
      <c r="AQ11" s="301"/>
    </row>
    <row r="12" spans="1:43">
      <c r="A12" s="306" t="s">
        <v>437</v>
      </c>
      <c r="B12" s="305" t="s">
        <v>450</v>
      </c>
      <c r="C12" s="305">
        <v>1</v>
      </c>
      <c r="D12" s="380">
        <v>46190</v>
      </c>
      <c r="E12" s="380">
        <v>46195</v>
      </c>
      <c r="F12" s="308" t="s">
        <v>34</v>
      </c>
      <c r="G12" s="460">
        <v>49042700</v>
      </c>
      <c r="H12" s="381">
        <v>1</v>
      </c>
      <c r="I12" s="311">
        <v>46196</v>
      </c>
      <c r="J12" s="311">
        <v>46202</v>
      </c>
      <c r="K12" s="310" t="s">
        <v>34</v>
      </c>
      <c r="L12" s="310" t="s">
        <v>34</v>
      </c>
      <c r="M12" s="312">
        <v>1</v>
      </c>
      <c r="N12" s="314">
        <v>46196</v>
      </c>
      <c r="O12" s="314">
        <v>46202</v>
      </c>
      <c r="P12" s="315" t="s">
        <v>40</v>
      </c>
      <c r="Q12" s="315" t="s">
        <v>446</v>
      </c>
      <c r="R12" s="316">
        <v>0</v>
      </c>
      <c r="S12" s="318">
        <v>46222</v>
      </c>
      <c r="T12" s="318">
        <v>46227</v>
      </c>
      <c r="U12" s="319" t="s">
        <v>40</v>
      </c>
      <c r="V12" s="319" t="s">
        <v>422</v>
      </c>
      <c r="W12" s="320">
        <v>0</v>
      </c>
      <c r="X12" s="322">
        <v>46235</v>
      </c>
      <c r="Y12" s="322">
        <v>46237</v>
      </c>
      <c r="Z12" s="323" t="s">
        <v>40</v>
      </c>
      <c r="AA12" s="323" t="s">
        <v>422</v>
      </c>
      <c r="AB12" s="324">
        <v>0</v>
      </c>
      <c r="AC12" s="326">
        <v>46238</v>
      </c>
      <c r="AD12" s="326">
        <v>46244</v>
      </c>
      <c r="AE12" s="327" t="s">
        <v>40</v>
      </c>
      <c r="AF12" s="327" t="s">
        <v>422</v>
      </c>
      <c r="AG12" s="328">
        <v>0</v>
      </c>
      <c r="AH12" s="330">
        <v>46231</v>
      </c>
      <c r="AI12" s="330">
        <v>46233</v>
      </c>
      <c r="AJ12" s="331" t="s">
        <v>165</v>
      </c>
      <c r="AK12" s="331" t="s">
        <v>422</v>
      </c>
      <c r="AL12" s="332">
        <v>0</v>
      </c>
      <c r="AM12" s="311">
        <v>46332</v>
      </c>
      <c r="AN12" s="311">
        <v>46338</v>
      </c>
      <c r="AO12" s="310" t="s">
        <v>40</v>
      </c>
      <c r="AP12" s="472">
        <v>0</v>
      </c>
      <c r="AQ12" s="301"/>
    </row>
    <row r="13" spans="1:43">
      <c r="A13" s="306" t="s">
        <v>437</v>
      </c>
      <c r="B13" s="305" t="s">
        <v>451</v>
      </c>
      <c r="C13" s="305">
        <v>1</v>
      </c>
      <c r="D13" s="380">
        <v>46190</v>
      </c>
      <c r="E13" s="380">
        <v>46195</v>
      </c>
      <c r="F13" s="308" t="s">
        <v>40</v>
      </c>
      <c r="G13" s="460" t="s">
        <v>452</v>
      </c>
      <c r="H13" s="381">
        <v>0.5</v>
      </c>
      <c r="I13" s="311">
        <v>46196</v>
      </c>
      <c r="J13" s="311">
        <v>46202</v>
      </c>
      <c r="K13" s="310" t="s">
        <v>40</v>
      </c>
      <c r="L13" s="310" t="s">
        <v>422</v>
      </c>
      <c r="M13" s="312">
        <v>0</v>
      </c>
      <c r="N13" s="314">
        <v>46196</v>
      </c>
      <c r="O13" s="314">
        <v>46202</v>
      </c>
      <c r="P13" s="315" t="s">
        <v>40</v>
      </c>
      <c r="Q13" s="315" t="s">
        <v>422</v>
      </c>
      <c r="R13" s="316">
        <v>0</v>
      </c>
      <c r="S13" s="318">
        <v>46222</v>
      </c>
      <c r="T13" s="318">
        <v>46227</v>
      </c>
      <c r="U13" s="319" t="s">
        <v>40</v>
      </c>
      <c r="V13" s="319" t="s">
        <v>422</v>
      </c>
      <c r="W13" s="320">
        <v>0</v>
      </c>
      <c r="X13" s="322">
        <v>46235</v>
      </c>
      <c r="Y13" s="322">
        <v>46237</v>
      </c>
      <c r="Z13" s="323" t="s">
        <v>40</v>
      </c>
      <c r="AA13" s="323" t="s">
        <v>422</v>
      </c>
      <c r="AB13" s="324">
        <v>0</v>
      </c>
      <c r="AC13" s="326">
        <v>46238</v>
      </c>
      <c r="AD13" s="326">
        <v>46244</v>
      </c>
      <c r="AE13" s="327" t="s">
        <v>40</v>
      </c>
      <c r="AF13" s="327" t="s">
        <v>422</v>
      </c>
      <c r="AG13" s="328">
        <v>0</v>
      </c>
      <c r="AH13" s="330">
        <v>46231</v>
      </c>
      <c r="AI13" s="330">
        <v>46233</v>
      </c>
      <c r="AJ13" s="331" t="s">
        <v>165</v>
      </c>
      <c r="AK13" s="331" t="s">
        <v>422</v>
      </c>
      <c r="AL13" s="332">
        <v>0</v>
      </c>
      <c r="AM13" s="311">
        <v>46332</v>
      </c>
      <c r="AN13" s="311">
        <v>46338</v>
      </c>
      <c r="AO13" s="310" t="s">
        <v>40</v>
      </c>
      <c r="AP13" s="472">
        <v>0</v>
      </c>
      <c r="AQ13" s="301"/>
    </row>
    <row r="14" spans="1:43">
      <c r="A14" s="306" t="s">
        <v>437</v>
      </c>
      <c r="B14" s="305" t="s">
        <v>453</v>
      </c>
      <c r="C14" s="305">
        <v>1</v>
      </c>
      <c r="D14" s="380">
        <v>46190</v>
      </c>
      <c r="E14" s="380">
        <v>46195</v>
      </c>
      <c r="F14" s="308" t="s">
        <v>40</v>
      </c>
      <c r="G14" s="308" t="s">
        <v>422</v>
      </c>
      <c r="H14" s="381">
        <v>0</v>
      </c>
      <c r="I14" s="311">
        <v>46196</v>
      </c>
      <c r="J14" s="311">
        <v>46202</v>
      </c>
      <c r="K14" s="310" t="s">
        <v>40</v>
      </c>
      <c r="L14" s="310" t="s">
        <v>422</v>
      </c>
      <c r="M14" s="312">
        <v>0</v>
      </c>
      <c r="N14" s="314">
        <v>46196</v>
      </c>
      <c r="O14" s="314">
        <v>46202</v>
      </c>
      <c r="P14" s="315" t="s">
        <v>40</v>
      </c>
      <c r="Q14" s="315" t="s">
        <v>422</v>
      </c>
      <c r="R14" s="316">
        <v>0</v>
      </c>
      <c r="S14" s="318">
        <v>46222</v>
      </c>
      <c r="T14" s="318">
        <v>46227</v>
      </c>
      <c r="U14" s="319" t="s">
        <v>40</v>
      </c>
      <c r="V14" s="319" t="s">
        <v>422</v>
      </c>
      <c r="W14" s="320">
        <v>0</v>
      </c>
      <c r="X14" s="322">
        <v>46235</v>
      </c>
      <c r="Y14" s="322">
        <v>46237</v>
      </c>
      <c r="Z14" s="323" t="s">
        <v>40</v>
      </c>
      <c r="AA14" s="323" t="s">
        <v>422</v>
      </c>
      <c r="AB14" s="324">
        <v>0</v>
      </c>
      <c r="AC14" s="326">
        <v>46238</v>
      </c>
      <c r="AD14" s="326">
        <v>46244</v>
      </c>
      <c r="AE14" s="327" t="s">
        <v>40</v>
      </c>
      <c r="AF14" s="327" t="s">
        <v>422</v>
      </c>
      <c r="AG14" s="328">
        <v>0</v>
      </c>
      <c r="AH14" s="330">
        <v>46231</v>
      </c>
      <c r="AI14" s="330">
        <v>46233</v>
      </c>
      <c r="AJ14" s="331" t="s">
        <v>165</v>
      </c>
      <c r="AK14" s="331" t="s">
        <v>422</v>
      </c>
      <c r="AL14" s="332">
        <v>0</v>
      </c>
      <c r="AM14" s="311">
        <v>46332</v>
      </c>
      <c r="AN14" s="311">
        <v>46338</v>
      </c>
      <c r="AO14" s="310" t="s">
        <v>40</v>
      </c>
      <c r="AP14" s="472">
        <v>0</v>
      </c>
      <c r="AQ14" s="301"/>
    </row>
    <row r="15" spans="1:43">
      <c r="A15" s="306" t="s">
        <v>437</v>
      </c>
      <c r="B15" s="305" t="s">
        <v>454</v>
      </c>
      <c r="C15" s="305">
        <v>1</v>
      </c>
      <c r="D15" s="380">
        <v>46190</v>
      </c>
      <c r="E15" s="380">
        <v>46195</v>
      </c>
      <c r="F15" s="308" t="s">
        <v>40</v>
      </c>
      <c r="G15" s="308" t="s">
        <v>422</v>
      </c>
      <c r="H15" s="381">
        <v>0</v>
      </c>
      <c r="I15" s="311">
        <v>46196</v>
      </c>
      <c r="J15" s="311">
        <v>46202</v>
      </c>
      <c r="K15" s="310" t="s">
        <v>40</v>
      </c>
      <c r="L15" s="310" t="s">
        <v>422</v>
      </c>
      <c r="M15" s="312">
        <v>0</v>
      </c>
      <c r="N15" s="314">
        <v>46196</v>
      </c>
      <c r="O15" s="314">
        <v>46202</v>
      </c>
      <c r="P15" s="315" t="s">
        <v>40</v>
      </c>
      <c r="Q15" s="315" t="s">
        <v>422</v>
      </c>
      <c r="R15" s="316">
        <v>0</v>
      </c>
      <c r="S15" s="318">
        <v>46222</v>
      </c>
      <c r="T15" s="318">
        <v>46227</v>
      </c>
      <c r="U15" s="319" t="s">
        <v>40</v>
      </c>
      <c r="V15" s="319" t="s">
        <v>422</v>
      </c>
      <c r="W15" s="320">
        <v>0</v>
      </c>
      <c r="X15" s="322">
        <v>46235</v>
      </c>
      <c r="Y15" s="322">
        <v>46237</v>
      </c>
      <c r="Z15" s="323" t="s">
        <v>40</v>
      </c>
      <c r="AA15" s="323" t="s">
        <v>422</v>
      </c>
      <c r="AB15" s="324">
        <v>0</v>
      </c>
      <c r="AC15" s="326">
        <v>46238</v>
      </c>
      <c r="AD15" s="326">
        <v>46244</v>
      </c>
      <c r="AE15" s="327" t="s">
        <v>40</v>
      </c>
      <c r="AF15" s="327" t="s">
        <v>422</v>
      </c>
      <c r="AG15" s="328">
        <v>0</v>
      </c>
      <c r="AH15" s="330">
        <v>46231</v>
      </c>
      <c r="AI15" s="330">
        <v>46233</v>
      </c>
      <c r="AJ15" s="331" t="s">
        <v>165</v>
      </c>
      <c r="AK15" s="331" t="s">
        <v>422</v>
      </c>
      <c r="AL15" s="332">
        <v>0</v>
      </c>
      <c r="AM15" s="311">
        <v>46332</v>
      </c>
      <c r="AN15" s="311">
        <v>46338</v>
      </c>
      <c r="AO15" s="310" t="s">
        <v>40</v>
      </c>
      <c r="AP15" s="472">
        <v>0</v>
      </c>
      <c r="AQ15" s="301"/>
    </row>
    <row r="16" spans="1:43">
      <c r="A16" s="306" t="s">
        <v>437</v>
      </c>
      <c r="B16" s="305" t="s">
        <v>455</v>
      </c>
      <c r="C16" s="305">
        <v>1</v>
      </c>
      <c r="D16" s="380">
        <v>46190</v>
      </c>
      <c r="E16" s="380">
        <v>46195</v>
      </c>
      <c r="F16" s="308" t="s">
        <v>40</v>
      </c>
      <c r="G16" s="308" t="s">
        <v>422</v>
      </c>
      <c r="H16" s="381">
        <v>0</v>
      </c>
      <c r="I16" s="311">
        <v>46196</v>
      </c>
      <c r="J16" s="311">
        <v>46202</v>
      </c>
      <c r="K16" s="310" t="s">
        <v>40</v>
      </c>
      <c r="L16" s="310" t="s">
        <v>422</v>
      </c>
      <c r="M16" s="312">
        <v>0</v>
      </c>
      <c r="N16" s="314">
        <v>46196</v>
      </c>
      <c r="O16" s="314">
        <v>46202</v>
      </c>
      <c r="P16" s="315" t="s">
        <v>40</v>
      </c>
      <c r="Q16" s="315" t="s">
        <v>422</v>
      </c>
      <c r="R16" s="316">
        <v>0</v>
      </c>
      <c r="S16" s="318">
        <v>46222</v>
      </c>
      <c r="T16" s="318">
        <v>46227</v>
      </c>
      <c r="U16" s="319" t="s">
        <v>40</v>
      </c>
      <c r="V16" s="319" t="s">
        <v>422</v>
      </c>
      <c r="W16" s="320">
        <v>0</v>
      </c>
      <c r="X16" s="322">
        <v>46235</v>
      </c>
      <c r="Y16" s="322">
        <v>46237</v>
      </c>
      <c r="Z16" s="323" t="s">
        <v>40</v>
      </c>
      <c r="AA16" s="323" t="s">
        <v>422</v>
      </c>
      <c r="AB16" s="324">
        <v>0</v>
      </c>
      <c r="AC16" s="326">
        <v>46238</v>
      </c>
      <c r="AD16" s="326">
        <v>46244</v>
      </c>
      <c r="AE16" s="327" t="s">
        <v>40</v>
      </c>
      <c r="AF16" s="327" t="s">
        <v>422</v>
      </c>
      <c r="AG16" s="328">
        <v>0</v>
      </c>
      <c r="AH16" s="330">
        <v>46231</v>
      </c>
      <c r="AI16" s="330">
        <v>46233</v>
      </c>
      <c r="AJ16" s="331" t="s">
        <v>165</v>
      </c>
      <c r="AK16" s="331" t="s">
        <v>422</v>
      </c>
      <c r="AL16" s="332">
        <v>0</v>
      </c>
      <c r="AM16" s="311">
        <v>46332</v>
      </c>
      <c r="AN16" s="311">
        <v>46338</v>
      </c>
      <c r="AO16" s="310" t="s">
        <v>40</v>
      </c>
      <c r="AP16" s="472">
        <v>0</v>
      </c>
      <c r="AQ16" s="301"/>
    </row>
    <row r="17" spans="1:43">
      <c r="A17" s="306" t="s">
        <v>437</v>
      </c>
      <c r="B17" s="305" t="s">
        <v>456</v>
      </c>
      <c r="C17" s="305">
        <v>1</v>
      </c>
      <c r="D17" s="380">
        <v>46190</v>
      </c>
      <c r="E17" s="380">
        <v>46195</v>
      </c>
      <c r="F17" s="308" t="s">
        <v>40</v>
      </c>
      <c r="G17" s="308" t="s">
        <v>422</v>
      </c>
      <c r="H17" s="381">
        <v>0</v>
      </c>
      <c r="I17" s="311">
        <v>46196</v>
      </c>
      <c r="J17" s="311">
        <v>46202</v>
      </c>
      <c r="K17" s="310" t="s">
        <v>40</v>
      </c>
      <c r="L17" s="310" t="s">
        <v>422</v>
      </c>
      <c r="M17" s="312">
        <v>0</v>
      </c>
      <c r="N17" s="314">
        <v>46196</v>
      </c>
      <c r="O17" s="314">
        <v>46202</v>
      </c>
      <c r="P17" s="315" t="s">
        <v>40</v>
      </c>
      <c r="Q17" s="315" t="s">
        <v>422</v>
      </c>
      <c r="R17" s="316">
        <v>0</v>
      </c>
      <c r="S17" s="318">
        <v>46222</v>
      </c>
      <c r="T17" s="318">
        <v>46227</v>
      </c>
      <c r="U17" s="319" t="s">
        <v>40</v>
      </c>
      <c r="V17" s="319" t="s">
        <v>422</v>
      </c>
      <c r="W17" s="320">
        <v>0</v>
      </c>
      <c r="X17" s="322">
        <v>46235</v>
      </c>
      <c r="Y17" s="322">
        <v>46237</v>
      </c>
      <c r="Z17" s="323" t="s">
        <v>40</v>
      </c>
      <c r="AA17" s="323" t="s">
        <v>422</v>
      </c>
      <c r="AB17" s="324">
        <v>0</v>
      </c>
      <c r="AC17" s="326">
        <v>46238</v>
      </c>
      <c r="AD17" s="326">
        <v>46244</v>
      </c>
      <c r="AE17" s="327" t="s">
        <v>40</v>
      </c>
      <c r="AF17" s="327" t="s">
        <v>422</v>
      </c>
      <c r="AG17" s="328">
        <v>0</v>
      </c>
      <c r="AH17" s="330">
        <v>46231</v>
      </c>
      <c r="AI17" s="330">
        <v>46233</v>
      </c>
      <c r="AJ17" s="331" t="s">
        <v>165</v>
      </c>
      <c r="AK17" s="331" t="s">
        <v>422</v>
      </c>
      <c r="AL17" s="332">
        <v>0</v>
      </c>
      <c r="AM17" s="311">
        <v>46332</v>
      </c>
      <c r="AN17" s="311">
        <v>46338</v>
      </c>
      <c r="AO17" s="310" t="s">
        <v>40</v>
      </c>
      <c r="AP17" s="472">
        <v>0</v>
      </c>
      <c r="AQ17" s="301"/>
    </row>
    <row r="18" spans="1:43">
      <c r="A18" s="306" t="s">
        <v>437</v>
      </c>
      <c r="B18" s="305" t="s">
        <v>457</v>
      </c>
      <c r="C18" s="305">
        <v>1</v>
      </c>
      <c r="D18" s="380">
        <v>46190</v>
      </c>
      <c r="E18" s="380">
        <v>46195</v>
      </c>
      <c r="F18" s="308" t="s">
        <v>34</v>
      </c>
      <c r="G18" s="460" t="s">
        <v>458</v>
      </c>
      <c r="H18" s="381">
        <v>0.9</v>
      </c>
      <c r="I18" s="311">
        <v>46196</v>
      </c>
      <c r="J18" s="311">
        <v>46202</v>
      </c>
      <c r="K18" s="310" t="s">
        <v>34</v>
      </c>
      <c r="L18" s="310" t="s">
        <v>34</v>
      </c>
      <c r="M18" s="312">
        <v>0.8</v>
      </c>
      <c r="N18" s="314">
        <v>46196</v>
      </c>
      <c r="O18" s="314">
        <v>46202</v>
      </c>
      <c r="P18" s="315" t="s">
        <v>232</v>
      </c>
      <c r="Q18" s="315" t="s">
        <v>232</v>
      </c>
      <c r="R18" s="316">
        <v>0.5</v>
      </c>
      <c r="S18" s="318">
        <v>46222</v>
      </c>
      <c r="T18" s="318">
        <v>46227</v>
      </c>
      <c r="U18" s="319" t="s">
        <v>40</v>
      </c>
      <c r="V18" s="319" t="s">
        <v>422</v>
      </c>
      <c r="W18" s="320">
        <v>0</v>
      </c>
      <c r="X18" s="322">
        <v>46235</v>
      </c>
      <c r="Y18" s="322">
        <v>46237</v>
      </c>
      <c r="Z18" s="323" t="s">
        <v>232</v>
      </c>
      <c r="AA18" s="323" t="s">
        <v>422</v>
      </c>
      <c r="AB18" s="324">
        <v>1</v>
      </c>
      <c r="AC18" s="326">
        <v>46238</v>
      </c>
      <c r="AD18" s="326">
        <v>46244</v>
      </c>
      <c r="AE18" s="327" t="s">
        <v>40</v>
      </c>
      <c r="AF18" s="327" t="s">
        <v>422</v>
      </c>
      <c r="AG18" s="328">
        <v>0</v>
      </c>
      <c r="AH18" s="330">
        <v>46231</v>
      </c>
      <c r="AI18" s="330">
        <v>46233</v>
      </c>
      <c r="AJ18" s="331" t="s">
        <v>165</v>
      </c>
      <c r="AK18" s="331" t="s">
        <v>422</v>
      </c>
      <c r="AL18" s="332">
        <v>0</v>
      </c>
      <c r="AM18" s="311">
        <v>46332</v>
      </c>
      <c r="AN18" s="311">
        <v>46338</v>
      </c>
      <c r="AO18" s="310" t="s">
        <v>40</v>
      </c>
      <c r="AP18" s="472">
        <v>0</v>
      </c>
      <c r="AQ18" s="301"/>
    </row>
    <row r="19" spans="1:43">
      <c r="A19" s="306"/>
      <c r="B19" s="305"/>
      <c r="C19" s="305"/>
      <c r="D19" s="380"/>
      <c r="E19" s="380"/>
      <c r="F19" s="308"/>
      <c r="G19" s="460" t="s">
        <v>459</v>
      </c>
      <c r="H19" s="381"/>
      <c r="I19" s="311"/>
      <c r="J19" s="311"/>
      <c r="K19" s="310"/>
      <c r="L19" s="310"/>
      <c r="M19" s="312"/>
      <c r="N19" s="314"/>
      <c r="O19" s="314"/>
      <c r="P19" s="315"/>
      <c r="Q19" s="315"/>
      <c r="R19" s="316"/>
      <c r="S19" s="318"/>
      <c r="T19" s="318"/>
      <c r="U19" s="319"/>
      <c r="V19" s="319"/>
      <c r="W19" s="320"/>
      <c r="X19" s="322"/>
      <c r="Y19" s="322"/>
      <c r="Z19" s="323"/>
      <c r="AA19" s="323"/>
      <c r="AB19" s="324"/>
      <c r="AC19" s="326"/>
      <c r="AD19" s="326"/>
      <c r="AE19" s="327"/>
      <c r="AF19" s="327"/>
      <c r="AG19" s="328"/>
      <c r="AH19" s="330"/>
      <c r="AI19" s="330"/>
      <c r="AJ19" s="331"/>
      <c r="AK19" s="331"/>
      <c r="AL19" s="332"/>
      <c r="AM19" s="311"/>
      <c r="AN19" s="311"/>
      <c r="AO19" s="310"/>
      <c r="AP19" s="472"/>
      <c r="AQ19" s="301"/>
    </row>
    <row r="20" spans="1:43">
      <c r="A20" s="306" t="s">
        <v>437</v>
      </c>
      <c r="B20" s="305" t="s">
        <v>460</v>
      </c>
      <c r="C20" s="305">
        <v>1</v>
      </c>
      <c r="D20" s="380">
        <v>46190</v>
      </c>
      <c r="E20" s="380">
        <v>46195</v>
      </c>
      <c r="F20" s="308" t="s">
        <v>34</v>
      </c>
      <c r="G20" s="460">
        <v>41044300</v>
      </c>
      <c r="H20" s="381">
        <v>1</v>
      </c>
      <c r="I20" s="311">
        <v>46196</v>
      </c>
      <c r="J20" s="311">
        <v>46202</v>
      </c>
      <c r="K20" s="310" t="s">
        <v>34</v>
      </c>
      <c r="L20" s="310" t="s">
        <v>34</v>
      </c>
      <c r="M20" s="312">
        <v>1</v>
      </c>
      <c r="N20" s="314">
        <v>46196</v>
      </c>
      <c r="O20" s="314">
        <v>46202</v>
      </c>
      <c r="P20" s="315" t="s">
        <v>40</v>
      </c>
      <c r="Q20" s="315" t="s">
        <v>446</v>
      </c>
      <c r="R20" s="316">
        <v>0</v>
      </c>
      <c r="S20" s="318">
        <v>46222</v>
      </c>
      <c r="T20" s="318">
        <v>46227</v>
      </c>
      <c r="U20" s="319" t="s">
        <v>40</v>
      </c>
      <c r="V20" s="319" t="s">
        <v>422</v>
      </c>
      <c r="W20" s="320">
        <v>0</v>
      </c>
      <c r="X20" s="322">
        <v>46235</v>
      </c>
      <c r="Y20" s="322">
        <v>46237</v>
      </c>
      <c r="Z20" s="323" t="s">
        <v>40</v>
      </c>
      <c r="AA20" s="323" t="s">
        <v>422</v>
      </c>
      <c r="AB20" s="324">
        <v>0</v>
      </c>
      <c r="AC20" s="326">
        <v>46238</v>
      </c>
      <c r="AD20" s="326">
        <v>46244</v>
      </c>
      <c r="AE20" s="327" t="s">
        <v>40</v>
      </c>
      <c r="AF20" s="327" t="s">
        <v>422</v>
      </c>
      <c r="AG20" s="328">
        <v>0</v>
      </c>
      <c r="AH20" s="330">
        <v>46231</v>
      </c>
      <c r="AI20" s="330">
        <v>46233</v>
      </c>
      <c r="AJ20" s="331" t="s">
        <v>165</v>
      </c>
      <c r="AK20" s="331" t="s">
        <v>422</v>
      </c>
      <c r="AL20" s="332">
        <v>0</v>
      </c>
      <c r="AM20" s="311">
        <v>46332</v>
      </c>
      <c r="AN20" s="311">
        <v>46338</v>
      </c>
      <c r="AO20" s="310" t="s">
        <v>40</v>
      </c>
      <c r="AP20" s="472">
        <v>0</v>
      </c>
      <c r="AQ20" s="301"/>
    </row>
    <row r="21" spans="1:43">
      <c r="A21" s="306" t="s">
        <v>437</v>
      </c>
      <c r="B21" s="305" t="s">
        <v>461</v>
      </c>
      <c r="C21" s="305">
        <v>1</v>
      </c>
      <c r="D21" s="380">
        <v>46190</v>
      </c>
      <c r="E21" s="380">
        <v>46195</v>
      </c>
      <c r="F21" s="308" t="s">
        <v>34</v>
      </c>
      <c r="G21" s="308" t="s">
        <v>34</v>
      </c>
      <c r="H21" s="381">
        <v>1</v>
      </c>
      <c r="I21" s="311">
        <v>46196</v>
      </c>
      <c r="J21" s="311">
        <v>46202</v>
      </c>
      <c r="K21" s="310" t="s">
        <v>34</v>
      </c>
      <c r="L21" s="310" t="s">
        <v>34</v>
      </c>
      <c r="M21" s="312">
        <v>1</v>
      </c>
      <c r="N21" s="314">
        <v>46196</v>
      </c>
      <c r="O21" s="314">
        <v>46202</v>
      </c>
      <c r="P21" s="315" t="s">
        <v>232</v>
      </c>
      <c r="Q21" s="315" t="s">
        <v>232</v>
      </c>
      <c r="R21" s="316">
        <v>0.5</v>
      </c>
      <c r="S21" s="318">
        <v>46222</v>
      </c>
      <c r="T21" s="318">
        <v>46227</v>
      </c>
      <c r="U21" s="319" t="s">
        <v>40</v>
      </c>
      <c r="V21" s="319" t="s">
        <v>422</v>
      </c>
      <c r="W21" s="320">
        <v>0</v>
      </c>
      <c r="X21" s="322">
        <v>46235</v>
      </c>
      <c r="Y21" s="322">
        <v>46237</v>
      </c>
      <c r="Z21" s="323" t="s">
        <v>40</v>
      </c>
      <c r="AA21" s="323" t="s">
        <v>422</v>
      </c>
      <c r="AB21" s="324">
        <v>0</v>
      </c>
      <c r="AC21" s="326">
        <v>46238</v>
      </c>
      <c r="AD21" s="326">
        <v>46244</v>
      </c>
      <c r="AE21" s="327" t="s">
        <v>40</v>
      </c>
      <c r="AF21" s="327" t="s">
        <v>422</v>
      </c>
      <c r="AG21" s="328">
        <v>0</v>
      </c>
      <c r="AH21" s="330">
        <v>46231</v>
      </c>
      <c r="AI21" s="330">
        <v>46233</v>
      </c>
      <c r="AJ21" s="331" t="s">
        <v>165</v>
      </c>
      <c r="AK21" s="331" t="s">
        <v>422</v>
      </c>
      <c r="AL21" s="332">
        <v>0</v>
      </c>
      <c r="AM21" s="311">
        <v>46332</v>
      </c>
      <c r="AN21" s="311">
        <v>46338</v>
      </c>
      <c r="AO21" s="310" t="s">
        <v>40</v>
      </c>
      <c r="AP21" s="472">
        <v>0</v>
      </c>
      <c r="AQ21" s="301"/>
    </row>
    <row r="22" spans="1:43">
      <c r="A22" s="306" t="s">
        <v>437</v>
      </c>
      <c r="B22" s="305" t="s">
        <v>462</v>
      </c>
      <c r="C22" s="305">
        <v>1</v>
      </c>
      <c r="D22" s="380">
        <v>46190</v>
      </c>
      <c r="E22" s="380">
        <v>46195</v>
      </c>
      <c r="F22" s="308" t="s">
        <v>34</v>
      </c>
      <c r="G22" s="308" t="s">
        <v>34</v>
      </c>
      <c r="H22" s="381">
        <v>1</v>
      </c>
      <c r="I22" s="311">
        <v>46196</v>
      </c>
      <c r="J22" s="311">
        <v>46202</v>
      </c>
      <c r="K22" s="310" t="s">
        <v>34</v>
      </c>
      <c r="L22" s="310" t="s">
        <v>34</v>
      </c>
      <c r="M22" s="312">
        <v>1</v>
      </c>
      <c r="N22" s="314">
        <v>46196</v>
      </c>
      <c r="O22" s="314">
        <v>46202</v>
      </c>
      <c r="P22" s="315" t="s">
        <v>40</v>
      </c>
      <c r="Q22" s="315" t="s">
        <v>446</v>
      </c>
      <c r="R22" s="316">
        <v>0</v>
      </c>
      <c r="S22" s="318">
        <v>46222</v>
      </c>
      <c r="T22" s="318">
        <v>46227</v>
      </c>
      <c r="U22" s="319" t="s">
        <v>40</v>
      </c>
      <c r="V22" s="319" t="s">
        <v>422</v>
      </c>
      <c r="W22" s="320">
        <v>0</v>
      </c>
      <c r="X22" s="322">
        <v>46235</v>
      </c>
      <c r="Y22" s="322">
        <v>46237</v>
      </c>
      <c r="Z22" s="323" t="s">
        <v>40</v>
      </c>
      <c r="AA22" s="323" t="s">
        <v>422</v>
      </c>
      <c r="AB22" s="324">
        <v>0</v>
      </c>
      <c r="AC22" s="326">
        <v>46238</v>
      </c>
      <c r="AD22" s="326">
        <v>46244</v>
      </c>
      <c r="AE22" s="327" t="s">
        <v>40</v>
      </c>
      <c r="AF22" s="327" t="s">
        <v>422</v>
      </c>
      <c r="AG22" s="328">
        <v>0</v>
      </c>
      <c r="AH22" s="330">
        <v>46231</v>
      </c>
      <c r="AI22" s="330">
        <v>46233</v>
      </c>
      <c r="AJ22" s="331" t="s">
        <v>165</v>
      </c>
      <c r="AK22" s="331" t="s">
        <v>422</v>
      </c>
      <c r="AL22" s="332">
        <v>0</v>
      </c>
      <c r="AM22" s="311">
        <v>46332</v>
      </c>
      <c r="AN22" s="311">
        <v>46338</v>
      </c>
      <c r="AO22" s="310" t="s">
        <v>40</v>
      </c>
      <c r="AP22" s="472">
        <v>0</v>
      </c>
      <c r="AQ22" s="301"/>
    </row>
    <row r="23" spans="1:43">
      <c r="A23" s="306" t="s">
        <v>437</v>
      </c>
      <c r="B23" s="305" t="s">
        <v>463</v>
      </c>
      <c r="C23" s="305">
        <v>1</v>
      </c>
      <c r="D23" s="380">
        <v>46190</v>
      </c>
      <c r="E23" s="380">
        <v>46195</v>
      </c>
      <c r="F23" s="308" t="s">
        <v>34</v>
      </c>
      <c r="G23" s="308" t="s">
        <v>34</v>
      </c>
      <c r="H23" s="381">
        <v>1</v>
      </c>
      <c r="I23" s="311">
        <v>46196</v>
      </c>
      <c r="J23" s="311">
        <v>46202</v>
      </c>
      <c r="K23" s="310" t="s">
        <v>34</v>
      </c>
      <c r="L23" s="310" t="s">
        <v>34</v>
      </c>
      <c r="M23" s="312">
        <v>1</v>
      </c>
      <c r="N23" s="314">
        <v>46196</v>
      </c>
      <c r="O23" s="314">
        <v>46202</v>
      </c>
      <c r="P23" s="315" t="s">
        <v>232</v>
      </c>
      <c r="Q23" s="315" t="s">
        <v>232</v>
      </c>
      <c r="R23" s="316">
        <v>0.5</v>
      </c>
      <c r="S23" s="318">
        <v>46222</v>
      </c>
      <c r="T23" s="318">
        <v>46227</v>
      </c>
      <c r="U23" s="319" t="s">
        <v>40</v>
      </c>
      <c r="V23" s="319" t="s">
        <v>422</v>
      </c>
      <c r="W23" s="320">
        <v>0</v>
      </c>
      <c r="X23" s="322">
        <v>46235</v>
      </c>
      <c r="Y23" s="322">
        <v>46237</v>
      </c>
      <c r="Z23" s="323" t="s">
        <v>40</v>
      </c>
      <c r="AA23" s="323" t="s">
        <v>422</v>
      </c>
      <c r="AB23" s="324">
        <v>0</v>
      </c>
      <c r="AC23" s="326">
        <v>46238</v>
      </c>
      <c r="AD23" s="326">
        <v>46244</v>
      </c>
      <c r="AE23" s="327" t="s">
        <v>40</v>
      </c>
      <c r="AF23" s="327" t="s">
        <v>422</v>
      </c>
      <c r="AG23" s="328">
        <v>0</v>
      </c>
      <c r="AH23" s="330">
        <v>46231</v>
      </c>
      <c r="AI23" s="330">
        <v>46233</v>
      </c>
      <c r="AJ23" s="331" t="s">
        <v>165</v>
      </c>
      <c r="AK23" s="331" t="s">
        <v>422</v>
      </c>
      <c r="AL23" s="332">
        <v>0</v>
      </c>
      <c r="AM23" s="311">
        <v>46332</v>
      </c>
      <c r="AN23" s="311">
        <v>46338</v>
      </c>
      <c r="AO23" s="310" t="s">
        <v>40</v>
      </c>
      <c r="AP23" s="472">
        <v>0</v>
      </c>
      <c r="AQ23" s="301"/>
    </row>
    <row r="24" spans="1:43">
      <c r="A24" s="306" t="s">
        <v>437</v>
      </c>
      <c r="B24" s="305" t="s">
        <v>464</v>
      </c>
      <c r="C24" s="305">
        <v>1</v>
      </c>
      <c r="D24" s="380">
        <v>46190</v>
      </c>
      <c r="E24" s="380">
        <v>46195</v>
      </c>
      <c r="F24" s="308" t="s">
        <v>34</v>
      </c>
      <c r="G24" s="308" t="s">
        <v>34</v>
      </c>
      <c r="H24" s="381">
        <v>1</v>
      </c>
      <c r="I24" s="311">
        <v>46196</v>
      </c>
      <c r="J24" s="311">
        <v>46202</v>
      </c>
      <c r="K24" s="310" t="s">
        <v>34</v>
      </c>
      <c r="L24" s="310" t="s">
        <v>34</v>
      </c>
      <c r="M24" s="312">
        <v>1</v>
      </c>
      <c r="N24" s="314">
        <v>46196</v>
      </c>
      <c r="O24" s="314">
        <v>46202</v>
      </c>
      <c r="P24" s="315" t="s">
        <v>232</v>
      </c>
      <c r="Q24" s="315" t="s">
        <v>232</v>
      </c>
      <c r="R24" s="316">
        <v>0.5</v>
      </c>
      <c r="S24" s="318">
        <v>46222</v>
      </c>
      <c r="T24" s="318">
        <v>46227</v>
      </c>
      <c r="U24" s="319" t="s">
        <v>40</v>
      </c>
      <c r="V24" s="319" t="s">
        <v>422</v>
      </c>
      <c r="W24" s="320">
        <v>0</v>
      </c>
      <c r="X24" s="322">
        <v>46235</v>
      </c>
      <c r="Y24" s="322">
        <v>46237</v>
      </c>
      <c r="Z24" s="323" t="s">
        <v>40</v>
      </c>
      <c r="AA24" s="323" t="s">
        <v>422</v>
      </c>
      <c r="AB24" s="324">
        <v>0</v>
      </c>
      <c r="AC24" s="326">
        <v>46238</v>
      </c>
      <c r="AD24" s="326">
        <v>46244</v>
      </c>
      <c r="AE24" s="327" t="s">
        <v>40</v>
      </c>
      <c r="AF24" s="327" t="s">
        <v>422</v>
      </c>
      <c r="AG24" s="328">
        <v>0.9</v>
      </c>
      <c r="AH24" s="330">
        <v>46231</v>
      </c>
      <c r="AI24" s="330">
        <v>46233</v>
      </c>
      <c r="AJ24" s="331" t="s">
        <v>165</v>
      </c>
      <c r="AK24" s="331" t="s">
        <v>422</v>
      </c>
      <c r="AL24" s="332">
        <v>0</v>
      </c>
      <c r="AM24" s="311">
        <v>46332</v>
      </c>
      <c r="AN24" s="311">
        <v>46338</v>
      </c>
      <c r="AO24" s="310" t="s">
        <v>40</v>
      </c>
      <c r="AP24" s="472">
        <v>0</v>
      </c>
      <c r="AQ24" s="301"/>
    </row>
    <row r="25" spans="1:43">
      <c r="A25" s="306" t="s">
        <v>437</v>
      </c>
      <c r="B25" s="305" t="s">
        <v>465</v>
      </c>
      <c r="C25" s="305">
        <v>1</v>
      </c>
      <c r="D25" s="380">
        <v>46190</v>
      </c>
      <c r="E25" s="380">
        <v>46195</v>
      </c>
      <c r="F25" s="308" t="s">
        <v>34</v>
      </c>
      <c r="G25" s="308" t="s">
        <v>34</v>
      </c>
      <c r="H25" s="381">
        <v>1</v>
      </c>
      <c r="I25" s="311">
        <v>46196</v>
      </c>
      <c r="J25" s="311">
        <v>46202</v>
      </c>
      <c r="K25" s="310" t="s">
        <v>34</v>
      </c>
      <c r="L25" s="310" t="s">
        <v>34</v>
      </c>
      <c r="M25" s="312">
        <v>1</v>
      </c>
      <c r="N25" s="314">
        <v>46196</v>
      </c>
      <c r="O25" s="314">
        <v>46202</v>
      </c>
      <c r="P25" s="315" t="s">
        <v>232</v>
      </c>
      <c r="Q25" s="315" t="s">
        <v>232</v>
      </c>
      <c r="R25" s="316">
        <v>0.9</v>
      </c>
      <c r="S25" s="318">
        <v>46222</v>
      </c>
      <c r="T25" s="318">
        <v>46227</v>
      </c>
      <c r="U25" s="319" t="s">
        <v>40</v>
      </c>
      <c r="V25" s="319" t="s">
        <v>422</v>
      </c>
      <c r="W25" s="320">
        <v>0</v>
      </c>
      <c r="X25" s="322">
        <v>46235</v>
      </c>
      <c r="Y25" s="322">
        <v>46237</v>
      </c>
      <c r="Z25" s="323" t="s">
        <v>40</v>
      </c>
      <c r="AA25" s="323" t="s">
        <v>422</v>
      </c>
      <c r="AB25" s="324">
        <v>0</v>
      </c>
      <c r="AC25" s="326">
        <v>46238</v>
      </c>
      <c r="AD25" s="326">
        <v>46244</v>
      </c>
      <c r="AE25" s="327" t="s">
        <v>40</v>
      </c>
      <c r="AF25" s="327" t="s">
        <v>422</v>
      </c>
      <c r="AG25" s="328">
        <v>0.9</v>
      </c>
      <c r="AH25" s="330">
        <v>46231</v>
      </c>
      <c r="AI25" s="330">
        <v>46233</v>
      </c>
      <c r="AJ25" s="331" t="s">
        <v>165</v>
      </c>
      <c r="AK25" s="331" t="s">
        <v>422</v>
      </c>
      <c r="AL25" s="332">
        <v>0</v>
      </c>
      <c r="AM25" s="311">
        <v>46332</v>
      </c>
      <c r="AN25" s="311">
        <v>46338</v>
      </c>
      <c r="AO25" s="310" t="s">
        <v>40</v>
      </c>
      <c r="AP25" s="472">
        <v>0</v>
      </c>
      <c r="AQ25" s="301"/>
    </row>
    <row r="26" spans="1:43">
      <c r="A26" s="306" t="s">
        <v>437</v>
      </c>
      <c r="B26" s="305" t="s">
        <v>466</v>
      </c>
      <c r="C26" s="305">
        <v>1</v>
      </c>
      <c r="D26" s="380">
        <v>46190</v>
      </c>
      <c r="E26" s="380">
        <v>46195</v>
      </c>
      <c r="F26" s="308" t="s">
        <v>34</v>
      </c>
      <c r="G26" s="308" t="s">
        <v>34</v>
      </c>
      <c r="H26" s="381">
        <v>1</v>
      </c>
      <c r="I26" s="311">
        <v>46196</v>
      </c>
      <c r="J26" s="311">
        <v>46202</v>
      </c>
      <c r="K26" s="310" t="s">
        <v>34</v>
      </c>
      <c r="L26" s="310" t="s">
        <v>34</v>
      </c>
      <c r="M26" s="312">
        <v>1</v>
      </c>
      <c r="N26" s="314">
        <v>46196</v>
      </c>
      <c r="O26" s="314">
        <v>46202</v>
      </c>
      <c r="P26" s="315" t="s">
        <v>40</v>
      </c>
      <c r="Q26" s="315" t="s">
        <v>446</v>
      </c>
      <c r="R26" s="316">
        <v>0</v>
      </c>
      <c r="S26" s="318">
        <v>46222</v>
      </c>
      <c r="T26" s="318">
        <v>46227</v>
      </c>
      <c r="U26" s="319" t="s">
        <v>40</v>
      </c>
      <c r="V26" s="319" t="s">
        <v>422</v>
      </c>
      <c r="W26" s="320">
        <v>0</v>
      </c>
      <c r="X26" s="322">
        <v>46235</v>
      </c>
      <c r="Y26" s="322">
        <v>46237</v>
      </c>
      <c r="Z26" s="323" t="s">
        <v>40</v>
      </c>
      <c r="AA26" s="323" t="s">
        <v>422</v>
      </c>
      <c r="AB26" s="324">
        <v>0</v>
      </c>
      <c r="AC26" s="326">
        <v>46238</v>
      </c>
      <c r="AD26" s="326">
        <v>46244</v>
      </c>
      <c r="AE26" s="327" t="s">
        <v>40</v>
      </c>
      <c r="AF26" s="327" t="s">
        <v>422</v>
      </c>
      <c r="AG26" s="328">
        <v>0</v>
      </c>
      <c r="AH26" s="330">
        <v>46231</v>
      </c>
      <c r="AI26" s="330">
        <v>46233</v>
      </c>
      <c r="AJ26" s="331" t="s">
        <v>165</v>
      </c>
      <c r="AK26" s="331" t="s">
        <v>422</v>
      </c>
      <c r="AL26" s="332">
        <v>0</v>
      </c>
      <c r="AM26" s="311">
        <v>46332</v>
      </c>
      <c r="AN26" s="311">
        <v>46338</v>
      </c>
      <c r="AO26" s="310" t="s">
        <v>40</v>
      </c>
      <c r="AP26" s="472">
        <v>0</v>
      </c>
      <c r="AQ26" s="301"/>
    </row>
    <row r="27" spans="1:43">
      <c r="A27" s="306" t="s">
        <v>437</v>
      </c>
      <c r="B27" s="305" t="s">
        <v>467</v>
      </c>
      <c r="C27" s="305">
        <v>1</v>
      </c>
      <c r="D27" s="380">
        <v>46190</v>
      </c>
      <c r="E27" s="380">
        <v>46195</v>
      </c>
      <c r="F27" s="308" t="s">
        <v>34</v>
      </c>
      <c r="G27" s="460" t="s">
        <v>468</v>
      </c>
      <c r="H27" s="381">
        <v>0.5</v>
      </c>
      <c r="I27" s="311">
        <v>46196</v>
      </c>
      <c r="J27" s="311">
        <v>46202</v>
      </c>
      <c r="K27" s="310" t="s">
        <v>34</v>
      </c>
      <c r="L27" s="310" t="s">
        <v>34</v>
      </c>
      <c r="M27" s="312">
        <v>1</v>
      </c>
      <c r="N27" s="314">
        <v>46196</v>
      </c>
      <c r="O27" s="314">
        <v>46202</v>
      </c>
      <c r="P27" s="315" t="s">
        <v>40</v>
      </c>
      <c r="Q27" s="315" t="s">
        <v>446</v>
      </c>
      <c r="R27" s="316">
        <v>0</v>
      </c>
      <c r="S27" s="318">
        <v>46222</v>
      </c>
      <c r="T27" s="318">
        <v>46227</v>
      </c>
      <c r="U27" s="319" t="s">
        <v>40</v>
      </c>
      <c r="V27" s="319" t="s">
        <v>422</v>
      </c>
      <c r="W27" s="320">
        <v>0</v>
      </c>
      <c r="X27" s="322">
        <v>46235</v>
      </c>
      <c r="Y27" s="322">
        <v>46237</v>
      </c>
      <c r="Z27" s="323" t="s">
        <v>40</v>
      </c>
      <c r="AA27" s="323" t="s">
        <v>422</v>
      </c>
      <c r="AB27" s="324">
        <v>0</v>
      </c>
      <c r="AC27" s="326">
        <v>46238</v>
      </c>
      <c r="AD27" s="326">
        <v>46244</v>
      </c>
      <c r="AE27" s="327" t="s">
        <v>40</v>
      </c>
      <c r="AF27" s="327" t="s">
        <v>422</v>
      </c>
      <c r="AG27" s="328">
        <v>0</v>
      </c>
      <c r="AH27" s="330">
        <v>46231</v>
      </c>
      <c r="AI27" s="330">
        <v>46233</v>
      </c>
      <c r="AJ27" s="331" t="s">
        <v>165</v>
      </c>
      <c r="AK27" s="331" t="s">
        <v>422</v>
      </c>
      <c r="AL27" s="332">
        <v>0</v>
      </c>
      <c r="AM27" s="311">
        <v>46332</v>
      </c>
      <c r="AN27" s="311">
        <v>46338</v>
      </c>
      <c r="AO27" s="310" t="s">
        <v>40</v>
      </c>
      <c r="AP27" s="472">
        <v>0</v>
      </c>
      <c r="AQ27" s="301"/>
    </row>
    <row r="28" spans="1:43">
      <c r="A28" s="306"/>
      <c r="B28" s="305"/>
      <c r="C28" s="305"/>
      <c r="D28" s="380"/>
      <c r="E28" s="380"/>
      <c r="F28" s="308"/>
      <c r="G28" s="460" t="s">
        <v>469</v>
      </c>
      <c r="H28" s="381"/>
      <c r="I28" s="311"/>
      <c r="J28" s="311"/>
      <c r="K28" s="310"/>
      <c r="L28" s="310"/>
      <c r="M28" s="312"/>
      <c r="N28" s="314"/>
      <c r="O28" s="314"/>
      <c r="P28" s="315"/>
      <c r="Q28" s="315"/>
      <c r="R28" s="316"/>
      <c r="S28" s="318"/>
      <c r="T28" s="318"/>
      <c r="U28" s="319"/>
      <c r="V28" s="319"/>
      <c r="W28" s="320"/>
      <c r="X28" s="322"/>
      <c r="Y28" s="322"/>
      <c r="Z28" s="323"/>
      <c r="AA28" s="323"/>
      <c r="AB28" s="324"/>
      <c r="AC28" s="326"/>
      <c r="AD28" s="326"/>
      <c r="AE28" s="327"/>
      <c r="AF28" s="327"/>
      <c r="AG28" s="328"/>
      <c r="AH28" s="330"/>
      <c r="AI28" s="330"/>
      <c r="AJ28" s="331"/>
      <c r="AK28" s="331"/>
      <c r="AL28" s="332"/>
      <c r="AM28" s="311"/>
      <c r="AN28" s="311"/>
      <c r="AO28" s="310"/>
      <c r="AP28" s="472"/>
      <c r="AQ28" s="301"/>
    </row>
    <row r="29" spans="1:43">
      <c r="A29" s="306"/>
      <c r="B29" s="305"/>
      <c r="C29" s="305"/>
      <c r="D29" s="380"/>
      <c r="E29" s="380"/>
      <c r="F29" s="308"/>
      <c r="G29" s="460"/>
      <c r="H29" s="381"/>
      <c r="I29" s="311"/>
      <c r="J29" s="311"/>
      <c r="K29" s="310"/>
      <c r="L29" s="310"/>
      <c r="M29" s="312"/>
      <c r="N29" s="314"/>
      <c r="O29" s="314"/>
      <c r="P29" s="315"/>
      <c r="Q29" s="315"/>
      <c r="R29" s="316"/>
      <c r="S29" s="318"/>
      <c r="T29" s="318"/>
      <c r="U29" s="319"/>
      <c r="V29" s="319"/>
      <c r="W29" s="320"/>
      <c r="X29" s="322"/>
      <c r="Y29" s="322"/>
      <c r="Z29" s="323"/>
      <c r="AA29" s="323"/>
      <c r="AB29" s="324"/>
      <c r="AC29" s="326"/>
      <c r="AD29" s="326"/>
      <c r="AE29" s="327"/>
      <c r="AF29" s="327"/>
      <c r="AG29" s="328"/>
      <c r="AH29" s="330"/>
      <c r="AI29" s="330"/>
      <c r="AJ29" s="331"/>
      <c r="AK29" s="331"/>
      <c r="AL29" s="332"/>
      <c r="AM29" s="311"/>
      <c r="AN29" s="311"/>
      <c r="AO29" s="310"/>
      <c r="AP29" s="472"/>
      <c r="AQ29" s="301"/>
    </row>
    <row r="30" spans="1:43">
      <c r="A30" s="306"/>
      <c r="B30" s="305"/>
      <c r="C30" s="305"/>
      <c r="D30" s="380"/>
      <c r="E30" s="380"/>
      <c r="F30" s="308"/>
      <c r="G30" s="460" t="s">
        <v>470</v>
      </c>
      <c r="H30" s="381"/>
      <c r="I30" s="311"/>
      <c r="J30" s="311"/>
      <c r="K30" s="310"/>
      <c r="L30" s="310"/>
      <c r="M30" s="312"/>
      <c r="N30" s="314"/>
      <c r="O30" s="314"/>
      <c r="P30" s="315"/>
      <c r="Q30" s="315"/>
      <c r="R30" s="316"/>
      <c r="S30" s="318"/>
      <c r="T30" s="318"/>
      <c r="U30" s="319"/>
      <c r="V30" s="319"/>
      <c r="W30" s="320"/>
      <c r="X30" s="322"/>
      <c r="Y30" s="322"/>
      <c r="Z30" s="323"/>
      <c r="AA30" s="323"/>
      <c r="AB30" s="324"/>
      <c r="AC30" s="326"/>
      <c r="AD30" s="326"/>
      <c r="AE30" s="327"/>
      <c r="AF30" s="327"/>
      <c r="AG30" s="328"/>
      <c r="AH30" s="330"/>
      <c r="AI30" s="330"/>
      <c r="AJ30" s="331"/>
      <c r="AK30" s="331"/>
      <c r="AL30" s="332"/>
      <c r="AM30" s="311"/>
      <c r="AN30" s="311"/>
      <c r="AO30" s="310"/>
      <c r="AP30" s="472"/>
      <c r="AQ30" s="301"/>
    </row>
    <row r="31" spans="1:43">
      <c r="A31" s="306" t="s">
        <v>437</v>
      </c>
      <c r="B31" s="305" t="s">
        <v>471</v>
      </c>
      <c r="C31" s="305">
        <v>1</v>
      </c>
      <c r="D31" s="380">
        <v>46190</v>
      </c>
      <c r="E31" s="380">
        <v>46195</v>
      </c>
      <c r="F31" s="308" t="s">
        <v>34</v>
      </c>
      <c r="G31" s="308" t="s">
        <v>34</v>
      </c>
      <c r="H31" s="381">
        <v>1</v>
      </c>
      <c r="I31" s="311">
        <v>46196</v>
      </c>
      <c r="J31" s="311">
        <v>46202</v>
      </c>
      <c r="K31" s="310" t="s">
        <v>34</v>
      </c>
      <c r="L31" s="310" t="s">
        <v>34</v>
      </c>
      <c r="M31" s="312">
        <v>1</v>
      </c>
      <c r="N31" s="314">
        <v>46196</v>
      </c>
      <c r="O31" s="314">
        <v>46202</v>
      </c>
      <c r="P31" s="315" t="s">
        <v>40</v>
      </c>
      <c r="Q31" s="315" t="s">
        <v>446</v>
      </c>
      <c r="R31" s="316">
        <v>0</v>
      </c>
      <c r="S31" s="318">
        <v>46222</v>
      </c>
      <c r="T31" s="318">
        <v>46227</v>
      </c>
      <c r="U31" s="319" t="s">
        <v>40</v>
      </c>
      <c r="V31" s="319" t="s">
        <v>422</v>
      </c>
      <c r="W31" s="320">
        <v>0</v>
      </c>
      <c r="X31" s="322">
        <v>46235</v>
      </c>
      <c r="Y31" s="322">
        <v>46237</v>
      </c>
      <c r="Z31" s="323" t="s">
        <v>40</v>
      </c>
      <c r="AA31" s="323" t="s">
        <v>422</v>
      </c>
      <c r="AB31" s="324">
        <v>0</v>
      </c>
      <c r="AC31" s="326">
        <v>46238</v>
      </c>
      <c r="AD31" s="326">
        <v>46244</v>
      </c>
      <c r="AE31" s="327" t="s">
        <v>40</v>
      </c>
      <c r="AF31" s="327" t="s">
        <v>422</v>
      </c>
      <c r="AG31" s="328">
        <v>0</v>
      </c>
      <c r="AH31" s="330">
        <v>46231</v>
      </c>
      <c r="AI31" s="330">
        <v>46233</v>
      </c>
      <c r="AJ31" s="331" t="s">
        <v>165</v>
      </c>
      <c r="AK31" s="331" t="s">
        <v>422</v>
      </c>
      <c r="AL31" s="332">
        <v>0</v>
      </c>
      <c r="AM31" s="311">
        <v>46332</v>
      </c>
      <c r="AN31" s="311">
        <v>46338</v>
      </c>
      <c r="AO31" s="310" t="s">
        <v>40</v>
      </c>
      <c r="AP31" s="472">
        <v>0</v>
      </c>
      <c r="AQ31" s="301"/>
    </row>
    <row r="32" spans="1:43">
      <c r="A32" s="306" t="s">
        <v>437</v>
      </c>
      <c r="B32" s="305" t="s">
        <v>472</v>
      </c>
      <c r="C32" s="305">
        <v>1</v>
      </c>
      <c r="D32" s="380">
        <v>46190</v>
      </c>
      <c r="E32" s="380">
        <v>46195</v>
      </c>
      <c r="F32" s="308" t="s">
        <v>40</v>
      </c>
      <c r="G32" s="308" t="s">
        <v>422</v>
      </c>
      <c r="H32" s="381">
        <v>0</v>
      </c>
      <c r="I32" s="311">
        <v>46196</v>
      </c>
      <c r="J32" s="311">
        <v>46202</v>
      </c>
      <c r="K32" s="310" t="s">
        <v>40</v>
      </c>
      <c r="L32" s="310" t="s">
        <v>422</v>
      </c>
      <c r="M32" s="312">
        <v>0</v>
      </c>
      <c r="N32" s="314">
        <v>46196</v>
      </c>
      <c r="O32" s="314">
        <v>46202</v>
      </c>
      <c r="P32" s="315" t="s">
        <v>40</v>
      </c>
      <c r="Q32" s="315" t="s">
        <v>422</v>
      </c>
      <c r="R32" s="316">
        <v>0</v>
      </c>
      <c r="S32" s="318">
        <v>46222</v>
      </c>
      <c r="T32" s="318">
        <v>46227</v>
      </c>
      <c r="U32" s="319" t="s">
        <v>40</v>
      </c>
      <c r="V32" s="319" t="s">
        <v>422</v>
      </c>
      <c r="W32" s="320">
        <v>0</v>
      </c>
      <c r="X32" s="322">
        <v>46235</v>
      </c>
      <c r="Y32" s="322">
        <v>46237</v>
      </c>
      <c r="Z32" s="323" t="s">
        <v>40</v>
      </c>
      <c r="AA32" s="323" t="s">
        <v>422</v>
      </c>
      <c r="AB32" s="324">
        <v>0</v>
      </c>
      <c r="AC32" s="326">
        <v>46238</v>
      </c>
      <c r="AD32" s="326">
        <v>46244</v>
      </c>
      <c r="AE32" s="327" t="s">
        <v>40</v>
      </c>
      <c r="AF32" s="327" t="s">
        <v>422</v>
      </c>
      <c r="AG32" s="328">
        <v>0</v>
      </c>
      <c r="AH32" s="330">
        <v>46231</v>
      </c>
      <c r="AI32" s="330">
        <v>46233</v>
      </c>
      <c r="AJ32" s="331" t="s">
        <v>165</v>
      </c>
      <c r="AK32" s="331" t="s">
        <v>422</v>
      </c>
      <c r="AL32" s="332">
        <v>0</v>
      </c>
      <c r="AM32" s="311">
        <v>46332</v>
      </c>
      <c r="AN32" s="311">
        <v>46338</v>
      </c>
      <c r="AO32" s="310" t="s">
        <v>40</v>
      </c>
      <c r="AP32" s="472">
        <v>0</v>
      </c>
      <c r="AQ32" s="301"/>
    </row>
    <row r="33" spans="1:43">
      <c r="A33" s="306" t="s">
        <v>437</v>
      </c>
      <c r="B33" s="305" t="s">
        <v>473</v>
      </c>
      <c r="C33" s="305">
        <v>1</v>
      </c>
      <c r="D33" s="380">
        <v>46190</v>
      </c>
      <c r="E33" s="380">
        <v>46195</v>
      </c>
      <c r="F33" s="308" t="s">
        <v>40</v>
      </c>
      <c r="G33" s="308" t="s">
        <v>422</v>
      </c>
      <c r="H33" s="381">
        <v>0</v>
      </c>
      <c r="I33" s="311">
        <v>46196</v>
      </c>
      <c r="J33" s="311">
        <v>46202</v>
      </c>
      <c r="K33" s="310" t="s">
        <v>40</v>
      </c>
      <c r="L33" s="310" t="s">
        <v>422</v>
      </c>
      <c r="M33" s="312">
        <v>0</v>
      </c>
      <c r="N33" s="314">
        <v>46196</v>
      </c>
      <c r="O33" s="314">
        <v>46202</v>
      </c>
      <c r="P33" s="315" t="s">
        <v>40</v>
      </c>
      <c r="Q33" s="315" t="s">
        <v>422</v>
      </c>
      <c r="R33" s="316">
        <v>0</v>
      </c>
      <c r="S33" s="318">
        <v>46222</v>
      </c>
      <c r="T33" s="318">
        <v>46227</v>
      </c>
      <c r="U33" s="319" t="s">
        <v>40</v>
      </c>
      <c r="V33" s="319" t="s">
        <v>422</v>
      </c>
      <c r="W33" s="320">
        <v>0</v>
      </c>
      <c r="X33" s="322">
        <v>46235</v>
      </c>
      <c r="Y33" s="322">
        <v>46237</v>
      </c>
      <c r="Z33" s="323" t="s">
        <v>40</v>
      </c>
      <c r="AA33" s="323" t="s">
        <v>422</v>
      </c>
      <c r="AB33" s="324">
        <v>0</v>
      </c>
      <c r="AC33" s="326">
        <v>46238</v>
      </c>
      <c r="AD33" s="326">
        <v>46244</v>
      </c>
      <c r="AE33" s="327" t="s">
        <v>40</v>
      </c>
      <c r="AF33" s="327" t="s">
        <v>422</v>
      </c>
      <c r="AG33" s="328">
        <v>0</v>
      </c>
      <c r="AH33" s="330">
        <v>46231</v>
      </c>
      <c r="AI33" s="330">
        <v>46233</v>
      </c>
      <c r="AJ33" s="331" t="s">
        <v>165</v>
      </c>
      <c r="AK33" s="331" t="s">
        <v>422</v>
      </c>
      <c r="AL33" s="332">
        <v>0</v>
      </c>
      <c r="AM33" s="311">
        <v>46332</v>
      </c>
      <c r="AN33" s="311">
        <v>46338</v>
      </c>
      <c r="AO33" s="310" t="s">
        <v>40</v>
      </c>
      <c r="AP33" s="472">
        <v>0</v>
      </c>
      <c r="AQ33" s="301"/>
    </row>
    <row r="34" spans="1:43">
      <c r="A34" s="306" t="s">
        <v>437</v>
      </c>
      <c r="B34" s="305" t="s">
        <v>474</v>
      </c>
      <c r="C34" s="305">
        <v>1</v>
      </c>
      <c r="D34" s="380">
        <v>46190</v>
      </c>
      <c r="E34" s="380">
        <v>46195</v>
      </c>
      <c r="F34" s="308" t="s">
        <v>40</v>
      </c>
      <c r="G34" s="461">
        <v>41044300</v>
      </c>
      <c r="H34" s="381">
        <v>0</v>
      </c>
      <c r="I34" s="311">
        <v>46196</v>
      </c>
      <c r="J34" s="311">
        <v>46202</v>
      </c>
      <c r="K34" s="310" t="s">
        <v>40</v>
      </c>
      <c r="L34" s="310" t="s">
        <v>422</v>
      </c>
      <c r="M34" s="312">
        <v>0</v>
      </c>
      <c r="N34" s="314">
        <v>46196</v>
      </c>
      <c r="O34" s="314">
        <v>46202</v>
      </c>
      <c r="P34" s="315" t="s">
        <v>40</v>
      </c>
      <c r="Q34" s="315" t="s">
        <v>422</v>
      </c>
      <c r="R34" s="316">
        <v>0</v>
      </c>
      <c r="S34" s="318">
        <v>46222</v>
      </c>
      <c r="T34" s="318">
        <v>46227</v>
      </c>
      <c r="U34" s="319" t="s">
        <v>40</v>
      </c>
      <c r="V34" s="319" t="s">
        <v>422</v>
      </c>
      <c r="W34" s="320">
        <v>0</v>
      </c>
      <c r="X34" s="322">
        <v>46235</v>
      </c>
      <c r="Y34" s="322">
        <v>46237</v>
      </c>
      <c r="Z34" s="323" t="s">
        <v>40</v>
      </c>
      <c r="AA34" s="323" t="s">
        <v>422</v>
      </c>
      <c r="AB34" s="324">
        <v>0</v>
      </c>
      <c r="AC34" s="326">
        <v>46238</v>
      </c>
      <c r="AD34" s="326">
        <v>46244</v>
      </c>
      <c r="AE34" s="327" t="s">
        <v>40</v>
      </c>
      <c r="AF34" s="327" t="s">
        <v>422</v>
      </c>
      <c r="AG34" s="328">
        <v>0</v>
      </c>
      <c r="AH34" s="330">
        <v>46231</v>
      </c>
      <c r="AI34" s="330">
        <v>46233</v>
      </c>
      <c r="AJ34" s="331" t="s">
        <v>165</v>
      </c>
      <c r="AK34" s="331" t="s">
        <v>422</v>
      </c>
      <c r="AL34" s="332">
        <v>0</v>
      </c>
      <c r="AM34" s="311">
        <v>46332</v>
      </c>
      <c r="AN34" s="311">
        <v>46338</v>
      </c>
      <c r="AO34" s="310" t="s">
        <v>40</v>
      </c>
      <c r="AP34" s="472">
        <v>0</v>
      </c>
      <c r="AQ34" s="301"/>
    </row>
    <row r="35" spans="1:43">
      <c r="A35" s="306" t="s">
        <v>437</v>
      </c>
      <c r="B35" s="305" t="s">
        <v>475</v>
      </c>
      <c r="C35" s="305">
        <v>1</v>
      </c>
      <c r="D35" s="380">
        <v>46190</v>
      </c>
      <c r="E35" s="380">
        <v>46195</v>
      </c>
      <c r="F35" s="308" t="s">
        <v>34</v>
      </c>
      <c r="G35" s="308" t="s">
        <v>34</v>
      </c>
      <c r="H35" s="381">
        <v>1</v>
      </c>
      <c r="I35" s="311">
        <v>46196</v>
      </c>
      <c r="J35" s="311">
        <v>46202</v>
      </c>
      <c r="K35" s="310" t="s">
        <v>34</v>
      </c>
      <c r="L35" s="310" t="s">
        <v>34</v>
      </c>
      <c r="M35" s="312">
        <v>0.9</v>
      </c>
      <c r="N35" s="314">
        <v>46196</v>
      </c>
      <c r="O35" s="314">
        <v>46202</v>
      </c>
      <c r="P35" s="315" t="s">
        <v>232</v>
      </c>
      <c r="Q35" s="315" t="s">
        <v>232</v>
      </c>
      <c r="R35" s="316">
        <v>0.8</v>
      </c>
      <c r="S35" s="318">
        <v>46222</v>
      </c>
      <c r="T35" s="318">
        <v>46227</v>
      </c>
      <c r="U35" s="319" t="s">
        <v>40</v>
      </c>
      <c r="V35" s="319" t="s">
        <v>422</v>
      </c>
      <c r="W35" s="320">
        <v>0</v>
      </c>
      <c r="X35" s="322">
        <v>46235</v>
      </c>
      <c r="Y35" s="322">
        <v>46237</v>
      </c>
      <c r="Z35" s="323" t="s">
        <v>232</v>
      </c>
      <c r="AA35" s="323" t="s">
        <v>422</v>
      </c>
      <c r="AB35" s="324">
        <v>0.8</v>
      </c>
      <c r="AC35" s="326">
        <v>46238</v>
      </c>
      <c r="AD35" s="326">
        <v>46244</v>
      </c>
      <c r="AE35" s="327" t="s">
        <v>40</v>
      </c>
      <c r="AF35" s="327" t="s">
        <v>422</v>
      </c>
      <c r="AG35" s="328">
        <v>0</v>
      </c>
      <c r="AH35" s="330">
        <v>46231</v>
      </c>
      <c r="AI35" s="330">
        <v>46233</v>
      </c>
      <c r="AJ35" s="331" t="s">
        <v>165</v>
      </c>
      <c r="AK35" s="331" t="s">
        <v>422</v>
      </c>
      <c r="AL35" s="332">
        <v>0</v>
      </c>
      <c r="AM35" s="311">
        <v>46332</v>
      </c>
      <c r="AN35" s="311">
        <v>46338</v>
      </c>
      <c r="AO35" s="310" t="s">
        <v>40</v>
      </c>
      <c r="AP35" s="472">
        <v>0</v>
      </c>
      <c r="AQ35" s="301"/>
    </row>
    <row r="36" spans="1:43">
      <c r="A36" s="306" t="s">
        <v>437</v>
      </c>
      <c r="B36" s="305" t="s">
        <v>476</v>
      </c>
      <c r="C36" s="305">
        <v>1</v>
      </c>
      <c r="D36" s="380">
        <v>46190</v>
      </c>
      <c r="E36" s="380">
        <v>46195</v>
      </c>
      <c r="F36" s="308" t="s">
        <v>34</v>
      </c>
      <c r="G36" s="460" t="s">
        <v>34</v>
      </c>
      <c r="H36" s="381">
        <v>1</v>
      </c>
      <c r="I36" s="311">
        <v>46196</v>
      </c>
      <c r="J36" s="311">
        <v>46202</v>
      </c>
      <c r="K36" s="310" t="s">
        <v>34</v>
      </c>
      <c r="L36" s="310" t="s">
        <v>34</v>
      </c>
      <c r="M36" s="312">
        <v>1</v>
      </c>
      <c r="N36" s="314">
        <v>46196</v>
      </c>
      <c r="O36" s="314">
        <v>46202</v>
      </c>
      <c r="P36" s="315" t="s">
        <v>40</v>
      </c>
      <c r="Q36" s="315" t="s">
        <v>446</v>
      </c>
      <c r="R36" s="316">
        <v>1</v>
      </c>
      <c r="S36" s="318">
        <v>46222</v>
      </c>
      <c r="T36" s="318">
        <v>46227</v>
      </c>
      <c r="U36" s="319" t="s">
        <v>34</v>
      </c>
      <c r="V36" s="319" t="s">
        <v>422</v>
      </c>
      <c r="W36" s="320">
        <v>1</v>
      </c>
      <c r="X36" s="322">
        <v>46235</v>
      </c>
      <c r="Y36" s="322">
        <v>46237</v>
      </c>
      <c r="Z36" s="323" t="s">
        <v>40</v>
      </c>
      <c r="AA36" s="323" t="s">
        <v>422</v>
      </c>
      <c r="AB36" s="324">
        <v>0</v>
      </c>
      <c r="AC36" s="326">
        <v>46238</v>
      </c>
      <c r="AD36" s="326">
        <v>46244</v>
      </c>
      <c r="AE36" s="327" t="s">
        <v>40</v>
      </c>
      <c r="AF36" s="327" t="s">
        <v>422</v>
      </c>
      <c r="AG36" s="328">
        <v>0</v>
      </c>
      <c r="AH36" s="330">
        <v>46231</v>
      </c>
      <c r="AI36" s="330">
        <v>46233</v>
      </c>
      <c r="AJ36" s="331" t="s">
        <v>165</v>
      </c>
      <c r="AK36" s="331" t="s">
        <v>422</v>
      </c>
      <c r="AL36" s="332">
        <v>0</v>
      </c>
      <c r="AM36" s="311">
        <v>46332</v>
      </c>
      <c r="AN36" s="311">
        <v>46338</v>
      </c>
      <c r="AO36" s="310" t="s">
        <v>40</v>
      </c>
      <c r="AP36" s="472">
        <v>0</v>
      </c>
      <c r="AQ36" s="301"/>
    </row>
    <row r="37" spans="1:43">
      <c r="A37" s="306"/>
      <c r="B37" s="305"/>
      <c r="C37" s="305"/>
      <c r="D37" s="380"/>
      <c r="E37" s="380"/>
      <c r="F37" s="308"/>
      <c r="G37" s="460">
        <v>41044300</v>
      </c>
      <c r="H37" s="381"/>
      <c r="I37" s="311"/>
      <c r="J37" s="311"/>
      <c r="K37" s="310"/>
      <c r="L37" s="310"/>
      <c r="M37" s="312"/>
      <c r="N37" s="314"/>
      <c r="O37" s="314"/>
      <c r="P37" s="315"/>
      <c r="Q37" s="315"/>
      <c r="R37" s="316"/>
      <c r="S37" s="318"/>
      <c r="T37" s="318"/>
      <c r="U37" s="319"/>
      <c r="V37" s="319"/>
      <c r="W37" s="320"/>
      <c r="X37" s="322"/>
      <c r="Y37" s="322"/>
      <c r="Z37" s="323"/>
      <c r="AA37" s="323"/>
      <c r="AB37" s="324"/>
      <c r="AC37" s="326"/>
      <c r="AD37" s="326"/>
      <c r="AE37" s="327"/>
      <c r="AF37" s="327"/>
      <c r="AG37" s="328"/>
      <c r="AH37" s="330"/>
      <c r="AI37" s="330"/>
      <c r="AJ37" s="331"/>
      <c r="AK37" s="331"/>
      <c r="AL37" s="332"/>
      <c r="AM37" s="311"/>
      <c r="AN37" s="311"/>
      <c r="AO37" s="310"/>
      <c r="AP37" s="472"/>
      <c r="AQ37" s="301"/>
    </row>
    <row r="38" spans="1:43">
      <c r="A38" s="306" t="s">
        <v>437</v>
      </c>
      <c r="B38" s="305" t="s">
        <v>477</v>
      </c>
      <c r="C38" s="305">
        <v>1</v>
      </c>
      <c r="D38" s="380">
        <v>46190</v>
      </c>
      <c r="E38" s="380">
        <v>46195</v>
      </c>
      <c r="F38" s="308" t="s">
        <v>34</v>
      </c>
      <c r="G38" s="308" t="s">
        <v>34</v>
      </c>
      <c r="H38" s="381">
        <v>1</v>
      </c>
      <c r="I38" s="311">
        <v>46196</v>
      </c>
      <c r="J38" s="311">
        <v>46202</v>
      </c>
      <c r="K38" s="310" t="s">
        <v>34</v>
      </c>
      <c r="L38" s="310" t="s">
        <v>34</v>
      </c>
      <c r="M38" s="312">
        <v>1</v>
      </c>
      <c r="N38" s="314">
        <v>46196</v>
      </c>
      <c r="O38" s="314">
        <v>46202</v>
      </c>
      <c r="P38" s="315" t="s">
        <v>232</v>
      </c>
      <c r="Q38" s="315" t="s">
        <v>232</v>
      </c>
      <c r="R38" s="316">
        <v>0.5</v>
      </c>
      <c r="S38" s="318">
        <v>46222</v>
      </c>
      <c r="T38" s="318">
        <v>46227</v>
      </c>
      <c r="U38" s="319" t="s">
        <v>34</v>
      </c>
      <c r="V38" s="319" t="s">
        <v>478</v>
      </c>
      <c r="W38" s="320">
        <v>1</v>
      </c>
      <c r="X38" s="322">
        <v>46235</v>
      </c>
      <c r="Y38" s="322">
        <v>46237</v>
      </c>
      <c r="Z38" s="323" t="s">
        <v>40</v>
      </c>
      <c r="AA38" s="323" t="s">
        <v>479</v>
      </c>
      <c r="AB38" s="324">
        <v>0</v>
      </c>
      <c r="AC38" s="326">
        <v>46238</v>
      </c>
      <c r="AD38" s="326">
        <v>46244</v>
      </c>
      <c r="AE38" s="327" t="s">
        <v>40</v>
      </c>
      <c r="AF38" s="327" t="s">
        <v>480</v>
      </c>
      <c r="AG38" s="328">
        <v>0</v>
      </c>
      <c r="AH38" s="330">
        <v>46231</v>
      </c>
      <c r="AI38" s="330">
        <v>46233</v>
      </c>
      <c r="AJ38" s="331" t="s">
        <v>165</v>
      </c>
      <c r="AK38" s="331" t="s">
        <v>422</v>
      </c>
      <c r="AL38" s="332">
        <v>0</v>
      </c>
      <c r="AM38" s="311">
        <v>46332</v>
      </c>
      <c r="AN38" s="311">
        <v>46338</v>
      </c>
      <c r="AO38" s="310" t="s">
        <v>40</v>
      </c>
      <c r="AP38" s="472">
        <v>0</v>
      </c>
      <c r="AQ38" s="301"/>
    </row>
    <row r="39" spans="1:43">
      <c r="A39" s="306" t="s">
        <v>437</v>
      </c>
      <c r="B39" s="305" t="s">
        <v>481</v>
      </c>
      <c r="C39" s="305">
        <v>1</v>
      </c>
      <c r="D39" s="380">
        <v>46190</v>
      </c>
      <c r="E39" s="380">
        <v>46195</v>
      </c>
      <c r="F39" s="308" t="s">
        <v>34</v>
      </c>
      <c r="G39" s="460">
        <v>41027200</v>
      </c>
      <c r="H39" s="381">
        <v>1</v>
      </c>
      <c r="I39" s="311">
        <v>46196</v>
      </c>
      <c r="J39" s="311">
        <v>46202</v>
      </c>
      <c r="K39" s="310" t="s">
        <v>34</v>
      </c>
      <c r="L39" s="310" t="s">
        <v>34</v>
      </c>
      <c r="M39" s="312">
        <v>1</v>
      </c>
      <c r="N39" s="314">
        <v>46196</v>
      </c>
      <c r="O39" s="314">
        <v>46202</v>
      </c>
      <c r="P39" s="315" t="s">
        <v>40</v>
      </c>
      <c r="Q39" s="315" t="s">
        <v>34</v>
      </c>
      <c r="R39" s="316">
        <v>1</v>
      </c>
      <c r="S39" s="318">
        <v>46222</v>
      </c>
      <c r="T39" s="318">
        <v>46227</v>
      </c>
      <c r="U39" s="319" t="s">
        <v>34</v>
      </c>
      <c r="V39" s="319" t="s">
        <v>34</v>
      </c>
      <c r="W39" s="320">
        <v>1</v>
      </c>
      <c r="X39" s="322">
        <v>46235</v>
      </c>
      <c r="Y39" s="322">
        <v>46237</v>
      </c>
      <c r="Z39" s="323" t="s">
        <v>40</v>
      </c>
      <c r="AA39" s="323" t="s">
        <v>422</v>
      </c>
      <c r="AB39" s="324">
        <v>0</v>
      </c>
      <c r="AC39" s="326">
        <v>46238</v>
      </c>
      <c r="AD39" s="326">
        <v>46244</v>
      </c>
      <c r="AE39" s="327" t="s">
        <v>40</v>
      </c>
      <c r="AF39" s="327" t="s">
        <v>422</v>
      </c>
      <c r="AG39" s="328">
        <v>0</v>
      </c>
      <c r="AH39" s="330">
        <v>46231</v>
      </c>
      <c r="AI39" s="330">
        <v>46233</v>
      </c>
      <c r="AJ39" s="331" t="s">
        <v>165</v>
      </c>
      <c r="AK39" s="331" t="s">
        <v>422</v>
      </c>
      <c r="AL39" s="332">
        <v>0</v>
      </c>
      <c r="AM39" s="311">
        <v>46332</v>
      </c>
      <c r="AN39" s="311">
        <v>46338</v>
      </c>
      <c r="AO39" s="310" t="s">
        <v>40</v>
      </c>
      <c r="AP39" s="472">
        <v>0</v>
      </c>
      <c r="AQ39" s="301"/>
    </row>
    <row r="40" spans="1:43">
      <c r="A40" s="306" t="s">
        <v>437</v>
      </c>
      <c r="B40" s="305" t="s">
        <v>482</v>
      </c>
      <c r="C40" s="305">
        <v>1</v>
      </c>
      <c r="D40" s="380">
        <v>46190</v>
      </c>
      <c r="E40" s="380">
        <v>46195</v>
      </c>
      <c r="F40" s="308" t="s">
        <v>34</v>
      </c>
      <c r="G40" s="308" t="s">
        <v>34</v>
      </c>
      <c r="H40" s="381">
        <v>1</v>
      </c>
      <c r="I40" s="311">
        <v>46196</v>
      </c>
      <c r="J40" s="311">
        <v>46202</v>
      </c>
      <c r="K40" s="310" t="s">
        <v>34</v>
      </c>
      <c r="L40" s="310" t="s">
        <v>34</v>
      </c>
      <c r="M40" s="312">
        <v>1</v>
      </c>
      <c r="N40" s="314">
        <v>46196</v>
      </c>
      <c r="O40" s="314">
        <v>46202</v>
      </c>
      <c r="P40" s="315" t="s">
        <v>232</v>
      </c>
      <c r="Q40" s="315" t="s">
        <v>232</v>
      </c>
      <c r="R40" s="316">
        <v>0.5</v>
      </c>
      <c r="S40" s="318">
        <v>46222</v>
      </c>
      <c r="T40" s="318">
        <v>46227</v>
      </c>
      <c r="U40" s="319" t="s">
        <v>34</v>
      </c>
      <c r="V40" s="319" t="s">
        <v>478</v>
      </c>
      <c r="W40" s="320">
        <v>1</v>
      </c>
      <c r="X40" s="322">
        <v>46235</v>
      </c>
      <c r="Y40" s="322">
        <v>46237</v>
      </c>
      <c r="Z40" s="323" t="s">
        <v>40</v>
      </c>
      <c r="AA40" s="323" t="s">
        <v>479</v>
      </c>
      <c r="AB40" s="324">
        <v>0</v>
      </c>
      <c r="AC40" s="326">
        <v>46238</v>
      </c>
      <c r="AD40" s="326">
        <v>46244</v>
      </c>
      <c r="AE40" s="327" t="s">
        <v>40</v>
      </c>
      <c r="AF40" s="327" t="s">
        <v>480</v>
      </c>
      <c r="AG40" s="328">
        <v>0</v>
      </c>
      <c r="AH40" s="330">
        <v>46231</v>
      </c>
      <c r="AI40" s="330">
        <v>46233</v>
      </c>
      <c r="AJ40" s="331" t="s">
        <v>165</v>
      </c>
      <c r="AK40" s="331" t="s">
        <v>422</v>
      </c>
      <c r="AL40" s="332">
        <v>0</v>
      </c>
      <c r="AM40" s="311">
        <v>46332</v>
      </c>
      <c r="AN40" s="311">
        <v>46338</v>
      </c>
      <c r="AO40" s="310" t="s">
        <v>40</v>
      </c>
      <c r="AP40" s="472">
        <v>0</v>
      </c>
      <c r="AQ40" s="301"/>
    </row>
    <row r="41" spans="1:43">
      <c r="A41" s="306" t="s">
        <v>437</v>
      </c>
      <c r="B41" s="305" t="s">
        <v>483</v>
      </c>
      <c r="C41" s="305">
        <v>1</v>
      </c>
      <c r="D41" s="380">
        <v>46190</v>
      </c>
      <c r="E41" s="380">
        <v>46195</v>
      </c>
      <c r="F41" s="308" t="s">
        <v>34</v>
      </c>
      <c r="G41" s="308" t="s">
        <v>34</v>
      </c>
      <c r="H41" s="381">
        <v>1</v>
      </c>
      <c r="I41" s="311">
        <v>46196</v>
      </c>
      <c r="J41" s="311">
        <v>46202</v>
      </c>
      <c r="K41" s="310" t="s">
        <v>34</v>
      </c>
      <c r="L41" s="310" t="s">
        <v>34</v>
      </c>
      <c r="M41" s="312">
        <v>1</v>
      </c>
      <c r="N41" s="314">
        <v>46196</v>
      </c>
      <c r="O41" s="314">
        <v>46202</v>
      </c>
      <c r="P41" s="315" t="s">
        <v>232</v>
      </c>
      <c r="Q41" s="315" t="s">
        <v>232</v>
      </c>
      <c r="R41" s="316">
        <v>0.8</v>
      </c>
      <c r="S41" s="318">
        <v>46222</v>
      </c>
      <c r="T41" s="318">
        <v>46227</v>
      </c>
      <c r="U41" s="319" t="s">
        <v>232</v>
      </c>
      <c r="V41" s="319" t="s">
        <v>448</v>
      </c>
      <c r="W41" s="320">
        <v>0.8</v>
      </c>
      <c r="X41" s="322">
        <v>46235</v>
      </c>
      <c r="Y41" s="322">
        <v>46237</v>
      </c>
      <c r="Z41" s="323" t="s">
        <v>40</v>
      </c>
      <c r="AA41" s="323" t="s">
        <v>422</v>
      </c>
      <c r="AB41" s="324">
        <v>0</v>
      </c>
      <c r="AC41" s="326">
        <v>46238</v>
      </c>
      <c r="AD41" s="326">
        <v>46244</v>
      </c>
      <c r="AE41" s="327" t="s">
        <v>40</v>
      </c>
      <c r="AF41" s="327" t="s">
        <v>422</v>
      </c>
      <c r="AG41" s="328">
        <v>0.9</v>
      </c>
      <c r="AH41" s="330">
        <v>46231</v>
      </c>
      <c r="AI41" s="330">
        <v>46233</v>
      </c>
      <c r="AJ41" s="331" t="s">
        <v>165</v>
      </c>
      <c r="AK41" s="331" t="s">
        <v>422</v>
      </c>
      <c r="AL41" s="332">
        <v>0</v>
      </c>
      <c r="AM41" s="311">
        <v>46332</v>
      </c>
      <c r="AN41" s="311">
        <v>46338</v>
      </c>
      <c r="AO41" s="310" t="s">
        <v>40</v>
      </c>
      <c r="AP41" s="472">
        <v>0</v>
      </c>
      <c r="AQ41" s="301"/>
    </row>
    <row r="42" spans="1:43">
      <c r="A42" s="301" t="s">
        <v>437</v>
      </c>
      <c r="B42" s="306" t="s">
        <v>484</v>
      </c>
      <c r="C42" s="305">
        <v>1</v>
      </c>
      <c r="D42" s="380">
        <v>46190</v>
      </c>
      <c r="E42" s="380">
        <v>46195</v>
      </c>
      <c r="F42" s="308" t="s">
        <v>34</v>
      </c>
      <c r="G42" s="308" t="s">
        <v>34</v>
      </c>
      <c r="H42" s="381">
        <v>1</v>
      </c>
      <c r="I42" s="311">
        <v>46196</v>
      </c>
      <c r="J42" s="311">
        <v>46202</v>
      </c>
      <c r="K42" s="310" t="s">
        <v>34</v>
      </c>
      <c r="L42" s="310" t="s">
        <v>34</v>
      </c>
      <c r="M42" s="312">
        <v>1</v>
      </c>
      <c r="N42" s="314">
        <v>46196</v>
      </c>
      <c r="O42" s="314">
        <v>46202</v>
      </c>
      <c r="P42" s="315" t="s">
        <v>232</v>
      </c>
      <c r="Q42" s="315" t="s">
        <v>232</v>
      </c>
      <c r="R42" s="316">
        <v>0.8</v>
      </c>
      <c r="S42" s="318">
        <v>46222</v>
      </c>
      <c r="T42" s="318">
        <v>46227</v>
      </c>
      <c r="U42" s="319" t="s">
        <v>40</v>
      </c>
      <c r="V42" s="319" t="s">
        <v>479</v>
      </c>
      <c r="W42" s="320">
        <v>0</v>
      </c>
      <c r="X42" s="322">
        <v>46235</v>
      </c>
      <c r="Y42" s="322">
        <v>46237</v>
      </c>
      <c r="Z42" s="323" t="s">
        <v>232</v>
      </c>
      <c r="AA42" s="323" t="s">
        <v>422</v>
      </c>
      <c r="AB42" s="324">
        <v>0.8</v>
      </c>
      <c r="AC42" s="326">
        <v>46238</v>
      </c>
      <c r="AD42" s="326">
        <v>46244</v>
      </c>
      <c r="AE42" s="327" t="s">
        <v>40</v>
      </c>
      <c r="AF42" s="327" t="s">
        <v>422</v>
      </c>
      <c r="AG42" s="328">
        <v>0.9</v>
      </c>
      <c r="AH42" s="330">
        <v>46231</v>
      </c>
      <c r="AI42" s="330">
        <v>46233</v>
      </c>
      <c r="AJ42" s="331" t="s">
        <v>165</v>
      </c>
      <c r="AK42" s="331" t="s">
        <v>422</v>
      </c>
      <c r="AL42" s="332">
        <v>0</v>
      </c>
      <c r="AM42" s="311">
        <v>46332</v>
      </c>
      <c r="AN42" s="311">
        <v>46338</v>
      </c>
      <c r="AO42" s="310" t="s">
        <v>40</v>
      </c>
      <c r="AP42" s="472">
        <v>0</v>
      </c>
      <c r="AQ42" s="301"/>
    </row>
    <row r="43" spans="1:43">
      <c r="A43" s="299" t="s">
        <v>437</v>
      </c>
      <c r="B43" s="305" t="s">
        <v>485</v>
      </c>
      <c r="C43" s="305">
        <v>1</v>
      </c>
      <c r="D43" s="380">
        <v>46190</v>
      </c>
      <c r="E43" s="380">
        <v>46195</v>
      </c>
      <c r="F43" s="308" t="s">
        <v>34</v>
      </c>
      <c r="G43" s="308" t="s">
        <v>34</v>
      </c>
      <c r="H43" s="381">
        <v>1</v>
      </c>
      <c r="I43" s="311">
        <v>46196</v>
      </c>
      <c r="J43" s="311">
        <v>46202</v>
      </c>
      <c r="K43" s="310" t="s">
        <v>34</v>
      </c>
      <c r="L43" s="310" t="s">
        <v>34</v>
      </c>
      <c r="M43" s="312">
        <v>1</v>
      </c>
      <c r="N43" s="314">
        <v>46196</v>
      </c>
      <c r="O43" s="314">
        <v>46202</v>
      </c>
      <c r="P43" s="315" t="s">
        <v>40</v>
      </c>
      <c r="Q43" s="315" t="s">
        <v>446</v>
      </c>
      <c r="R43" s="316">
        <v>0</v>
      </c>
      <c r="S43" s="318">
        <v>46222</v>
      </c>
      <c r="T43" s="318">
        <v>46227</v>
      </c>
      <c r="U43" s="319" t="s">
        <v>40</v>
      </c>
      <c r="V43" s="319" t="s">
        <v>479</v>
      </c>
      <c r="W43" s="320">
        <v>0</v>
      </c>
      <c r="X43" s="322">
        <v>46235</v>
      </c>
      <c r="Y43" s="322">
        <v>46237</v>
      </c>
      <c r="Z43" s="323" t="s">
        <v>40</v>
      </c>
      <c r="AA43" s="323" t="s">
        <v>422</v>
      </c>
      <c r="AB43" s="324">
        <v>0</v>
      </c>
      <c r="AC43" s="326">
        <v>46238</v>
      </c>
      <c r="AD43" s="326">
        <v>46244</v>
      </c>
      <c r="AE43" s="327" t="s">
        <v>40</v>
      </c>
      <c r="AF43" s="327" t="s">
        <v>422</v>
      </c>
      <c r="AG43" s="328">
        <v>0</v>
      </c>
      <c r="AH43" s="330">
        <v>46231</v>
      </c>
      <c r="AI43" s="330">
        <v>46233</v>
      </c>
      <c r="AJ43" s="331" t="s">
        <v>165</v>
      </c>
      <c r="AK43" s="331" t="s">
        <v>422</v>
      </c>
      <c r="AL43" s="332">
        <v>0</v>
      </c>
      <c r="AM43" s="311">
        <v>46332</v>
      </c>
      <c r="AN43" s="311">
        <v>46338</v>
      </c>
      <c r="AO43" s="310" t="s">
        <v>40</v>
      </c>
      <c r="AP43" s="472">
        <v>0</v>
      </c>
      <c r="AQ43" s="301"/>
    </row>
    <row r="44" spans="1:43">
      <c r="A44" s="306" t="s">
        <v>437</v>
      </c>
      <c r="B44" s="305" t="s">
        <v>486</v>
      </c>
      <c r="C44" s="305">
        <v>1</v>
      </c>
      <c r="D44" s="380">
        <v>46190</v>
      </c>
      <c r="E44" s="380">
        <v>46195</v>
      </c>
      <c r="F44" s="308" t="s">
        <v>34</v>
      </c>
      <c r="G44" s="460" t="s">
        <v>468</v>
      </c>
      <c r="H44" s="381">
        <v>0.5</v>
      </c>
      <c r="I44" s="311">
        <v>46196</v>
      </c>
      <c r="J44" s="311">
        <v>46202</v>
      </c>
      <c r="K44" s="310" t="s">
        <v>34</v>
      </c>
      <c r="L44" s="310" t="s">
        <v>34</v>
      </c>
      <c r="M44" s="312">
        <v>1</v>
      </c>
      <c r="N44" s="314">
        <v>46196</v>
      </c>
      <c r="O44" s="314">
        <v>46202</v>
      </c>
      <c r="P44" s="315" t="s">
        <v>40</v>
      </c>
      <c r="Q44" s="315" t="s">
        <v>446</v>
      </c>
      <c r="R44" s="316">
        <v>0</v>
      </c>
      <c r="S44" s="318">
        <v>46222</v>
      </c>
      <c r="T44" s="318">
        <v>46227</v>
      </c>
      <c r="U44" s="319" t="s">
        <v>40</v>
      </c>
      <c r="V44" s="319" t="s">
        <v>479</v>
      </c>
      <c r="W44" s="320">
        <v>0</v>
      </c>
      <c r="X44" s="322">
        <v>46235</v>
      </c>
      <c r="Y44" s="322">
        <v>46237</v>
      </c>
      <c r="Z44" s="323" t="s">
        <v>40</v>
      </c>
      <c r="AA44" s="323" t="s">
        <v>422</v>
      </c>
      <c r="AB44" s="324">
        <v>0</v>
      </c>
      <c r="AC44" s="326">
        <v>46238</v>
      </c>
      <c r="AD44" s="326">
        <v>46244</v>
      </c>
      <c r="AE44" s="327" t="s">
        <v>40</v>
      </c>
      <c r="AF44" s="327" t="s">
        <v>422</v>
      </c>
      <c r="AG44" s="328">
        <v>0</v>
      </c>
      <c r="AH44" s="330">
        <v>46231</v>
      </c>
      <c r="AI44" s="330">
        <v>46233</v>
      </c>
      <c r="AJ44" s="331" t="s">
        <v>165</v>
      </c>
      <c r="AK44" s="331" t="s">
        <v>422</v>
      </c>
      <c r="AL44" s="332">
        <v>0</v>
      </c>
      <c r="AM44" s="311">
        <v>46332</v>
      </c>
      <c r="AN44" s="311">
        <v>46338</v>
      </c>
      <c r="AO44" s="310" t="s">
        <v>40</v>
      </c>
      <c r="AP44" s="472">
        <v>0</v>
      </c>
      <c r="AQ44" s="301"/>
    </row>
    <row r="45" spans="1:43">
      <c r="A45" s="306"/>
      <c r="B45" s="305"/>
      <c r="C45" s="305"/>
      <c r="D45" s="380"/>
      <c r="E45" s="380"/>
      <c r="F45" s="308"/>
      <c r="G45" s="460" t="s">
        <v>469</v>
      </c>
      <c r="H45" s="381"/>
      <c r="I45" s="311"/>
      <c r="J45" s="311"/>
      <c r="K45" s="310"/>
      <c r="L45" s="310"/>
      <c r="M45" s="312"/>
      <c r="N45" s="314"/>
      <c r="O45" s="314"/>
      <c r="P45" s="315"/>
      <c r="Q45" s="315"/>
      <c r="R45" s="316"/>
      <c r="S45" s="318"/>
      <c r="T45" s="318"/>
      <c r="U45" s="319"/>
      <c r="V45" s="319"/>
      <c r="W45" s="320"/>
      <c r="X45" s="322"/>
      <c r="Y45" s="322"/>
      <c r="Z45" s="323"/>
      <c r="AA45" s="323"/>
      <c r="AB45" s="324"/>
      <c r="AC45" s="326"/>
      <c r="AD45" s="326"/>
      <c r="AE45" s="327"/>
      <c r="AF45" s="327"/>
      <c r="AG45" s="328"/>
      <c r="AH45" s="330"/>
      <c r="AI45" s="330"/>
      <c r="AJ45" s="331"/>
      <c r="AK45" s="331"/>
      <c r="AL45" s="332"/>
      <c r="AM45" s="311"/>
      <c r="AN45" s="311"/>
      <c r="AO45" s="310"/>
      <c r="AP45" s="472"/>
      <c r="AQ45" s="301"/>
    </row>
    <row r="46" spans="1:43">
      <c r="A46" s="306"/>
      <c r="B46" s="305"/>
      <c r="C46" s="305"/>
      <c r="D46" s="380"/>
      <c r="E46" s="380"/>
      <c r="F46" s="308"/>
      <c r="G46" s="460" t="s">
        <v>470</v>
      </c>
      <c r="H46" s="381"/>
      <c r="I46" s="311"/>
      <c r="J46" s="311"/>
      <c r="K46" s="310"/>
      <c r="L46" s="310"/>
      <c r="M46" s="312"/>
      <c r="N46" s="314"/>
      <c r="O46" s="314"/>
      <c r="P46" s="315"/>
      <c r="Q46" s="315"/>
      <c r="R46" s="316"/>
      <c r="S46" s="318"/>
      <c r="T46" s="318"/>
      <c r="U46" s="319"/>
      <c r="V46" s="319"/>
      <c r="W46" s="320"/>
      <c r="X46" s="322"/>
      <c r="Y46" s="322"/>
      <c r="Z46" s="323"/>
      <c r="AA46" s="323"/>
      <c r="AB46" s="324"/>
      <c r="AC46" s="326"/>
      <c r="AD46" s="326"/>
      <c r="AE46" s="327"/>
      <c r="AF46" s="327"/>
      <c r="AG46" s="328"/>
      <c r="AH46" s="330"/>
      <c r="AI46" s="330"/>
      <c r="AJ46" s="331"/>
      <c r="AK46" s="331"/>
      <c r="AL46" s="332"/>
      <c r="AM46" s="311"/>
      <c r="AN46" s="311"/>
      <c r="AO46" s="310"/>
      <c r="AP46" s="472"/>
      <c r="AQ46" s="301"/>
    </row>
    <row r="47" spans="1:43">
      <c r="A47" s="306" t="s">
        <v>437</v>
      </c>
      <c r="B47" s="305" t="s">
        <v>487</v>
      </c>
      <c r="C47" s="305">
        <v>1</v>
      </c>
      <c r="D47" s="380">
        <v>46190</v>
      </c>
      <c r="E47" s="380">
        <v>46195</v>
      </c>
      <c r="F47" s="308" t="s">
        <v>40</v>
      </c>
      <c r="G47" s="460"/>
      <c r="H47" s="381">
        <v>0</v>
      </c>
      <c r="I47" s="311">
        <v>46196</v>
      </c>
      <c r="J47" s="311">
        <v>46202</v>
      </c>
      <c r="K47" s="310" t="s">
        <v>40</v>
      </c>
      <c r="L47" s="310" t="s">
        <v>422</v>
      </c>
      <c r="M47" s="312">
        <v>0</v>
      </c>
      <c r="N47" s="314">
        <v>46196</v>
      </c>
      <c r="O47" s="314">
        <v>46202</v>
      </c>
      <c r="P47" s="315" t="s">
        <v>40</v>
      </c>
      <c r="Q47" s="315" t="s">
        <v>422</v>
      </c>
      <c r="R47" s="316">
        <v>0</v>
      </c>
      <c r="S47" s="318">
        <v>46222</v>
      </c>
      <c r="T47" s="318">
        <v>46227</v>
      </c>
      <c r="U47" s="319" t="s">
        <v>40</v>
      </c>
      <c r="V47" s="319" t="s">
        <v>422</v>
      </c>
      <c r="W47" s="320">
        <v>0</v>
      </c>
      <c r="X47" s="322">
        <v>46235</v>
      </c>
      <c r="Y47" s="322">
        <v>46237</v>
      </c>
      <c r="Z47" s="323" t="s">
        <v>40</v>
      </c>
      <c r="AA47" s="323" t="s">
        <v>422</v>
      </c>
      <c r="AB47" s="324">
        <v>0</v>
      </c>
      <c r="AC47" s="326">
        <v>46238</v>
      </c>
      <c r="AD47" s="326">
        <v>46244</v>
      </c>
      <c r="AE47" s="327" t="s">
        <v>40</v>
      </c>
      <c r="AF47" s="327" t="s">
        <v>422</v>
      </c>
      <c r="AG47" s="328">
        <v>0</v>
      </c>
      <c r="AH47" s="330">
        <v>46231</v>
      </c>
      <c r="AI47" s="330">
        <v>46233</v>
      </c>
      <c r="AJ47" s="331" t="s">
        <v>165</v>
      </c>
      <c r="AK47" s="331" t="s">
        <v>422</v>
      </c>
      <c r="AL47" s="332">
        <v>0</v>
      </c>
      <c r="AM47" s="311">
        <v>46332</v>
      </c>
      <c r="AN47" s="311">
        <v>46338</v>
      </c>
      <c r="AO47" s="310" t="s">
        <v>40</v>
      </c>
      <c r="AP47" s="472">
        <v>0</v>
      </c>
      <c r="AQ47" s="301"/>
    </row>
    <row r="48" spans="1:43">
      <c r="A48" s="306" t="s">
        <v>437</v>
      </c>
      <c r="B48" s="305" t="s">
        <v>488</v>
      </c>
      <c r="C48" s="305">
        <v>1</v>
      </c>
      <c r="D48" s="380">
        <v>46190</v>
      </c>
      <c r="E48" s="380">
        <v>46195</v>
      </c>
      <c r="F48" s="308" t="s">
        <v>40</v>
      </c>
      <c r="G48" s="308" t="s">
        <v>422</v>
      </c>
      <c r="H48" s="381">
        <v>0</v>
      </c>
      <c r="I48" s="311">
        <v>46196</v>
      </c>
      <c r="J48" s="311">
        <v>46202</v>
      </c>
      <c r="K48" s="310" t="s">
        <v>40</v>
      </c>
      <c r="L48" s="310" t="s">
        <v>422</v>
      </c>
      <c r="M48" s="312">
        <v>0</v>
      </c>
      <c r="N48" s="314">
        <v>46196</v>
      </c>
      <c r="O48" s="314">
        <v>46202</v>
      </c>
      <c r="P48" s="315" t="s">
        <v>40</v>
      </c>
      <c r="Q48" s="315" t="s">
        <v>422</v>
      </c>
      <c r="R48" s="316">
        <v>0</v>
      </c>
      <c r="S48" s="318">
        <v>46222</v>
      </c>
      <c r="T48" s="318">
        <v>46227</v>
      </c>
      <c r="U48" s="319" t="s">
        <v>40</v>
      </c>
      <c r="V48" s="319" t="s">
        <v>422</v>
      </c>
      <c r="W48" s="320">
        <v>0</v>
      </c>
      <c r="X48" s="322">
        <v>46235</v>
      </c>
      <c r="Y48" s="322">
        <v>46237</v>
      </c>
      <c r="Z48" s="323" t="s">
        <v>40</v>
      </c>
      <c r="AA48" s="323" t="s">
        <v>422</v>
      </c>
      <c r="AB48" s="324">
        <v>0</v>
      </c>
      <c r="AC48" s="326">
        <v>46238</v>
      </c>
      <c r="AD48" s="326">
        <v>46244</v>
      </c>
      <c r="AE48" s="327" t="s">
        <v>40</v>
      </c>
      <c r="AF48" s="327" t="s">
        <v>422</v>
      </c>
      <c r="AG48" s="328">
        <v>0</v>
      </c>
      <c r="AH48" s="330">
        <v>46231</v>
      </c>
      <c r="AI48" s="330">
        <v>46233</v>
      </c>
      <c r="AJ48" s="331" t="s">
        <v>165</v>
      </c>
      <c r="AK48" s="331" t="s">
        <v>422</v>
      </c>
      <c r="AL48" s="332">
        <v>0</v>
      </c>
      <c r="AM48" s="311">
        <v>46332</v>
      </c>
      <c r="AN48" s="311">
        <v>46338</v>
      </c>
      <c r="AO48" s="310" t="s">
        <v>40</v>
      </c>
      <c r="AP48" s="472">
        <v>0</v>
      </c>
      <c r="AQ48" s="301"/>
    </row>
    <row r="49" spans="1:43">
      <c r="A49" s="306" t="s">
        <v>437</v>
      </c>
      <c r="B49" s="305" t="s">
        <v>489</v>
      </c>
      <c r="C49" s="305">
        <v>1</v>
      </c>
      <c r="D49" s="380">
        <v>46190</v>
      </c>
      <c r="E49" s="380">
        <v>46195</v>
      </c>
      <c r="F49" s="308" t="s">
        <v>40</v>
      </c>
      <c r="G49" s="308" t="s">
        <v>422</v>
      </c>
      <c r="H49" s="381">
        <v>0</v>
      </c>
      <c r="I49" s="311">
        <v>46196</v>
      </c>
      <c r="J49" s="311">
        <v>46202</v>
      </c>
      <c r="K49" s="310" t="s">
        <v>40</v>
      </c>
      <c r="L49" s="310" t="s">
        <v>422</v>
      </c>
      <c r="M49" s="312">
        <v>0</v>
      </c>
      <c r="N49" s="314">
        <v>46196</v>
      </c>
      <c r="O49" s="314">
        <v>46202</v>
      </c>
      <c r="P49" s="315" t="s">
        <v>40</v>
      </c>
      <c r="Q49" s="315" t="s">
        <v>422</v>
      </c>
      <c r="R49" s="316">
        <v>0</v>
      </c>
      <c r="S49" s="318">
        <v>46222</v>
      </c>
      <c r="T49" s="318">
        <v>46227</v>
      </c>
      <c r="U49" s="319" t="s">
        <v>40</v>
      </c>
      <c r="V49" s="319" t="s">
        <v>422</v>
      </c>
      <c r="W49" s="320">
        <v>0</v>
      </c>
      <c r="X49" s="322">
        <v>46235</v>
      </c>
      <c r="Y49" s="322">
        <v>46237</v>
      </c>
      <c r="Z49" s="323" t="s">
        <v>40</v>
      </c>
      <c r="AA49" s="323" t="s">
        <v>422</v>
      </c>
      <c r="AB49" s="324">
        <v>0</v>
      </c>
      <c r="AC49" s="326">
        <v>46238</v>
      </c>
      <c r="AD49" s="326">
        <v>46244</v>
      </c>
      <c r="AE49" s="327" t="s">
        <v>40</v>
      </c>
      <c r="AF49" s="327" t="s">
        <v>422</v>
      </c>
      <c r="AG49" s="328">
        <v>0</v>
      </c>
      <c r="AH49" s="330">
        <v>46231</v>
      </c>
      <c r="AI49" s="330">
        <v>46233</v>
      </c>
      <c r="AJ49" s="331" t="s">
        <v>165</v>
      </c>
      <c r="AK49" s="331" t="s">
        <v>422</v>
      </c>
      <c r="AL49" s="332">
        <v>0</v>
      </c>
      <c r="AM49" s="311">
        <v>46332</v>
      </c>
      <c r="AN49" s="311">
        <v>46338</v>
      </c>
      <c r="AO49" s="310" t="s">
        <v>40</v>
      </c>
      <c r="AP49" s="472">
        <v>0</v>
      </c>
      <c r="AQ49" s="301"/>
    </row>
    <row r="50" spans="1:43">
      <c r="A50" s="306" t="s">
        <v>437</v>
      </c>
      <c r="B50" s="305" t="s">
        <v>490</v>
      </c>
      <c r="C50" s="305">
        <v>1</v>
      </c>
      <c r="D50" s="380">
        <v>46190</v>
      </c>
      <c r="E50" s="380">
        <v>46195</v>
      </c>
      <c r="F50" s="308" t="s">
        <v>40</v>
      </c>
      <c r="G50" s="460">
        <v>41044300</v>
      </c>
      <c r="H50" s="381">
        <v>0.5</v>
      </c>
      <c r="I50" s="311">
        <v>46196</v>
      </c>
      <c r="J50" s="311">
        <v>46202</v>
      </c>
      <c r="K50" s="310" t="s">
        <v>40</v>
      </c>
      <c r="L50" s="310" t="s">
        <v>422</v>
      </c>
      <c r="M50" s="312">
        <v>0</v>
      </c>
      <c r="N50" s="314">
        <v>46196</v>
      </c>
      <c r="O50" s="314">
        <v>46202</v>
      </c>
      <c r="P50" s="315" t="s">
        <v>40</v>
      </c>
      <c r="Q50" s="315" t="s">
        <v>422</v>
      </c>
      <c r="R50" s="316">
        <v>0</v>
      </c>
      <c r="S50" s="318">
        <v>46222</v>
      </c>
      <c r="T50" s="318">
        <v>46227</v>
      </c>
      <c r="U50" s="319" t="s">
        <v>40</v>
      </c>
      <c r="V50" s="319" t="s">
        <v>422</v>
      </c>
      <c r="W50" s="320">
        <v>0</v>
      </c>
      <c r="X50" s="322">
        <v>46235</v>
      </c>
      <c r="Y50" s="322">
        <v>46237</v>
      </c>
      <c r="Z50" s="323" t="s">
        <v>40</v>
      </c>
      <c r="AA50" s="323" t="s">
        <v>422</v>
      </c>
      <c r="AB50" s="324">
        <v>0</v>
      </c>
      <c r="AC50" s="326">
        <v>46238</v>
      </c>
      <c r="AD50" s="326">
        <v>46244</v>
      </c>
      <c r="AE50" s="327" t="s">
        <v>40</v>
      </c>
      <c r="AF50" s="327" t="s">
        <v>422</v>
      </c>
      <c r="AG50" s="328">
        <v>0</v>
      </c>
      <c r="AH50" s="330">
        <v>46231</v>
      </c>
      <c r="AI50" s="330">
        <v>46233</v>
      </c>
      <c r="AJ50" s="331" t="s">
        <v>165</v>
      </c>
      <c r="AK50" s="331" t="s">
        <v>422</v>
      </c>
      <c r="AL50" s="332">
        <v>0</v>
      </c>
      <c r="AM50" s="311">
        <v>46332</v>
      </c>
      <c r="AN50" s="311">
        <v>46338</v>
      </c>
      <c r="AO50" s="310" t="s">
        <v>40</v>
      </c>
      <c r="AP50" s="472">
        <v>0</v>
      </c>
      <c r="AQ50" s="301"/>
    </row>
    <row r="51" spans="1:43">
      <c r="A51" s="306" t="s">
        <v>437</v>
      </c>
      <c r="B51" s="305" t="s">
        <v>491</v>
      </c>
      <c r="C51" s="305">
        <v>1</v>
      </c>
      <c r="D51" s="380">
        <v>46190</v>
      </c>
      <c r="E51" s="380">
        <v>46195</v>
      </c>
      <c r="F51" s="308" t="s">
        <v>40</v>
      </c>
      <c r="G51" s="308" t="s">
        <v>422</v>
      </c>
      <c r="H51" s="381">
        <v>0</v>
      </c>
      <c r="I51" s="311">
        <v>46196</v>
      </c>
      <c r="J51" s="311">
        <v>46202</v>
      </c>
      <c r="K51" s="310" t="s">
        <v>40</v>
      </c>
      <c r="L51" s="310" t="s">
        <v>422</v>
      </c>
      <c r="M51" s="312">
        <v>0</v>
      </c>
      <c r="N51" s="314">
        <v>46196</v>
      </c>
      <c r="O51" s="314">
        <v>46202</v>
      </c>
      <c r="P51" s="315" t="s">
        <v>40</v>
      </c>
      <c r="Q51" s="315" t="s">
        <v>422</v>
      </c>
      <c r="R51" s="316">
        <v>0</v>
      </c>
      <c r="S51" s="318">
        <v>46222</v>
      </c>
      <c r="T51" s="318">
        <v>46227</v>
      </c>
      <c r="U51" s="319" t="s">
        <v>40</v>
      </c>
      <c r="V51" s="319" t="s">
        <v>422</v>
      </c>
      <c r="W51" s="320">
        <v>0</v>
      </c>
      <c r="X51" s="322">
        <v>46235</v>
      </c>
      <c r="Y51" s="322">
        <v>46237</v>
      </c>
      <c r="Z51" s="323" t="s">
        <v>40</v>
      </c>
      <c r="AA51" s="323" t="s">
        <v>422</v>
      </c>
      <c r="AB51" s="324">
        <v>0</v>
      </c>
      <c r="AC51" s="326">
        <v>46238</v>
      </c>
      <c r="AD51" s="326">
        <v>46244</v>
      </c>
      <c r="AE51" s="327" t="s">
        <v>40</v>
      </c>
      <c r="AF51" s="327" t="s">
        <v>422</v>
      </c>
      <c r="AG51" s="328">
        <v>0</v>
      </c>
      <c r="AH51" s="330">
        <v>46231</v>
      </c>
      <c r="AI51" s="330">
        <v>46233</v>
      </c>
      <c r="AJ51" s="331" t="s">
        <v>165</v>
      </c>
      <c r="AK51" s="331" t="s">
        <v>422</v>
      </c>
      <c r="AL51" s="332">
        <v>0</v>
      </c>
      <c r="AM51" s="311">
        <v>46332</v>
      </c>
      <c r="AN51" s="311">
        <v>46338</v>
      </c>
      <c r="AO51" s="310" t="s">
        <v>40</v>
      </c>
      <c r="AP51" s="472">
        <v>0</v>
      </c>
      <c r="AQ51" s="301"/>
    </row>
    <row r="52" spans="1:43">
      <c r="A52" s="306" t="s">
        <v>437</v>
      </c>
      <c r="B52" s="305" t="s">
        <v>492</v>
      </c>
      <c r="C52" s="305">
        <v>1</v>
      </c>
      <c r="D52" s="380">
        <v>46190</v>
      </c>
      <c r="E52" s="380">
        <v>46195</v>
      </c>
      <c r="F52" s="308" t="s">
        <v>40</v>
      </c>
      <c r="G52" s="308" t="s">
        <v>422</v>
      </c>
      <c r="H52" s="381">
        <v>0</v>
      </c>
      <c r="I52" s="311">
        <v>46196</v>
      </c>
      <c r="J52" s="311">
        <v>46202</v>
      </c>
      <c r="K52" s="310" t="s">
        <v>40</v>
      </c>
      <c r="L52" s="310" t="s">
        <v>422</v>
      </c>
      <c r="M52" s="312">
        <v>0</v>
      </c>
      <c r="N52" s="314">
        <v>46196</v>
      </c>
      <c r="O52" s="314">
        <v>46202</v>
      </c>
      <c r="P52" s="315" t="s">
        <v>40</v>
      </c>
      <c r="Q52" s="315" t="s">
        <v>422</v>
      </c>
      <c r="R52" s="316">
        <v>0</v>
      </c>
      <c r="S52" s="318">
        <v>46222</v>
      </c>
      <c r="T52" s="318">
        <v>46227</v>
      </c>
      <c r="U52" s="319" t="s">
        <v>40</v>
      </c>
      <c r="V52" s="319" t="s">
        <v>422</v>
      </c>
      <c r="W52" s="320">
        <v>0</v>
      </c>
      <c r="X52" s="322">
        <v>46235</v>
      </c>
      <c r="Y52" s="322">
        <v>46237</v>
      </c>
      <c r="Z52" s="323" t="s">
        <v>40</v>
      </c>
      <c r="AA52" s="323" t="s">
        <v>422</v>
      </c>
      <c r="AB52" s="324">
        <v>0</v>
      </c>
      <c r="AC52" s="326">
        <v>46238</v>
      </c>
      <c r="AD52" s="326">
        <v>46244</v>
      </c>
      <c r="AE52" s="327" t="s">
        <v>40</v>
      </c>
      <c r="AF52" s="327" t="s">
        <v>422</v>
      </c>
      <c r="AG52" s="328">
        <v>0</v>
      </c>
      <c r="AH52" s="330">
        <v>46231</v>
      </c>
      <c r="AI52" s="330">
        <v>46233</v>
      </c>
      <c r="AJ52" s="331" t="s">
        <v>165</v>
      </c>
      <c r="AK52" s="331" t="s">
        <v>422</v>
      </c>
      <c r="AL52" s="332">
        <v>0</v>
      </c>
      <c r="AM52" s="311">
        <v>46332</v>
      </c>
      <c r="AN52" s="311">
        <v>46338</v>
      </c>
      <c r="AO52" s="310" t="s">
        <v>40</v>
      </c>
      <c r="AP52" s="472">
        <v>0</v>
      </c>
      <c r="AQ52" s="301"/>
    </row>
    <row r="53" spans="1:43">
      <c r="A53" s="306" t="s">
        <v>437</v>
      </c>
      <c r="B53" s="305" t="s">
        <v>493</v>
      </c>
      <c r="C53" s="305">
        <v>1</v>
      </c>
      <c r="D53" s="380">
        <v>46190</v>
      </c>
      <c r="E53" s="380">
        <v>46195</v>
      </c>
      <c r="F53" s="308" t="s">
        <v>40</v>
      </c>
      <c r="G53" s="308" t="s">
        <v>422</v>
      </c>
      <c r="H53" s="381">
        <v>0</v>
      </c>
      <c r="I53" s="311">
        <v>46196</v>
      </c>
      <c r="J53" s="311">
        <v>46202</v>
      </c>
      <c r="K53" s="310" t="s">
        <v>40</v>
      </c>
      <c r="L53" s="310" t="s">
        <v>422</v>
      </c>
      <c r="M53" s="312">
        <v>0</v>
      </c>
      <c r="N53" s="314">
        <v>46196</v>
      </c>
      <c r="O53" s="314">
        <v>46202</v>
      </c>
      <c r="P53" s="315" t="s">
        <v>40</v>
      </c>
      <c r="Q53" s="315" t="s">
        <v>422</v>
      </c>
      <c r="R53" s="316">
        <v>0</v>
      </c>
      <c r="S53" s="318">
        <v>46222</v>
      </c>
      <c r="T53" s="318">
        <v>46227</v>
      </c>
      <c r="U53" s="319" t="s">
        <v>40</v>
      </c>
      <c r="V53" s="319" t="s">
        <v>422</v>
      </c>
      <c r="W53" s="320">
        <v>0</v>
      </c>
      <c r="X53" s="322">
        <v>46235</v>
      </c>
      <c r="Y53" s="322">
        <v>46237</v>
      </c>
      <c r="Z53" s="323" t="s">
        <v>40</v>
      </c>
      <c r="AA53" s="323" t="s">
        <v>422</v>
      </c>
      <c r="AB53" s="324">
        <v>0</v>
      </c>
      <c r="AC53" s="326">
        <v>46238</v>
      </c>
      <c r="AD53" s="326">
        <v>46244</v>
      </c>
      <c r="AE53" s="327" t="s">
        <v>40</v>
      </c>
      <c r="AF53" s="327" t="s">
        <v>422</v>
      </c>
      <c r="AG53" s="328">
        <v>0</v>
      </c>
      <c r="AH53" s="330">
        <v>46231</v>
      </c>
      <c r="AI53" s="330">
        <v>46233</v>
      </c>
      <c r="AJ53" s="331" t="s">
        <v>165</v>
      </c>
      <c r="AK53" s="331" t="s">
        <v>422</v>
      </c>
      <c r="AL53" s="332">
        <v>0</v>
      </c>
      <c r="AM53" s="311">
        <v>46332</v>
      </c>
      <c r="AN53" s="311">
        <v>46338</v>
      </c>
      <c r="AO53" s="310" t="s">
        <v>40</v>
      </c>
      <c r="AP53" s="472">
        <v>0</v>
      </c>
      <c r="AQ53" s="301"/>
    </row>
    <row r="54" spans="1:43">
      <c r="A54" s="306" t="s">
        <v>437</v>
      </c>
      <c r="B54" s="305" t="s">
        <v>494</v>
      </c>
      <c r="C54" s="305">
        <v>1</v>
      </c>
      <c r="D54" s="380">
        <v>46190</v>
      </c>
      <c r="E54" s="380">
        <v>46195</v>
      </c>
      <c r="F54" s="308" t="s">
        <v>34</v>
      </c>
      <c r="G54" s="308" t="s">
        <v>34</v>
      </c>
      <c r="H54" s="381">
        <v>1</v>
      </c>
      <c r="I54" s="311">
        <v>46196</v>
      </c>
      <c r="J54" s="311">
        <v>46202</v>
      </c>
      <c r="K54" s="310" t="s">
        <v>34</v>
      </c>
      <c r="L54" s="310" t="s">
        <v>34</v>
      </c>
      <c r="M54" s="312">
        <v>0.9</v>
      </c>
      <c r="N54" s="314">
        <v>46196</v>
      </c>
      <c r="O54" s="314">
        <v>46202</v>
      </c>
      <c r="P54" s="315" t="s">
        <v>232</v>
      </c>
      <c r="Q54" s="315" t="s">
        <v>232</v>
      </c>
      <c r="R54" s="316">
        <v>0.8</v>
      </c>
      <c r="S54" s="318">
        <v>46222</v>
      </c>
      <c r="T54" s="318">
        <v>46227</v>
      </c>
      <c r="U54" s="319" t="s">
        <v>40</v>
      </c>
      <c r="V54" s="319" t="s">
        <v>479</v>
      </c>
      <c r="W54" s="320">
        <v>0</v>
      </c>
      <c r="X54" s="322">
        <v>46235</v>
      </c>
      <c r="Y54" s="322">
        <v>46237</v>
      </c>
      <c r="Z54" s="323" t="s">
        <v>232</v>
      </c>
      <c r="AA54" s="323" t="s">
        <v>422</v>
      </c>
      <c r="AB54" s="324">
        <v>0.8</v>
      </c>
      <c r="AC54" s="326">
        <v>46238</v>
      </c>
      <c r="AD54" s="326">
        <v>46244</v>
      </c>
      <c r="AE54" s="327" t="s">
        <v>40</v>
      </c>
      <c r="AF54" s="327" t="s">
        <v>422</v>
      </c>
      <c r="AG54" s="328">
        <v>0</v>
      </c>
      <c r="AH54" s="330">
        <v>46231</v>
      </c>
      <c r="AI54" s="330">
        <v>46233</v>
      </c>
      <c r="AJ54" s="331" t="s">
        <v>165</v>
      </c>
      <c r="AK54" s="331" t="s">
        <v>422</v>
      </c>
      <c r="AL54" s="332">
        <v>0</v>
      </c>
      <c r="AM54" s="311">
        <v>46332</v>
      </c>
      <c r="AN54" s="311">
        <v>46338</v>
      </c>
      <c r="AO54" s="310" t="s">
        <v>40</v>
      </c>
      <c r="AP54" s="472">
        <v>0</v>
      </c>
      <c r="AQ54" s="301"/>
    </row>
    <row r="55" spans="1:43">
      <c r="A55" s="306" t="s">
        <v>437</v>
      </c>
      <c r="B55" s="305" t="s">
        <v>495</v>
      </c>
      <c r="C55" s="305">
        <v>1</v>
      </c>
      <c r="D55" s="380">
        <v>46190</v>
      </c>
      <c r="E55" s="380">
        <v>46195</v>
      </c>
      <c r="F55" s="308" t="s">
        <v>34</v>
      </c>
      <c r="G55" s="460">
        <v>41044300</v>
      </c>
      <c r="H55" s="381">
        <v>0.5</v>
      </c>
      <c r="I55" s="311">
        <v>46196</v>
      </c>
      <c r="J55" s="311">
        <v>46202</v>
      </c>
      <c r="K55" s="310" t="s">
        <v>34</v>
      </c>
      <c r="L55" s="310"/>
      <c r="M55" s="312">
        <v>0</v>
      </c>
      <c r="N55" s="314">
        <v>46196</v>
      </c>
      <c r="O55" s="314">
        <v>46202</v>
      </c>
      <c r="P55" s="315" t="s">
        <v>40</v>
      </c>
      <c r="Q55" s="315" t="s">
        <v>446</v>
      </c>
      <c r="R55" s="316">
        <v>0</v>
      </c>
      <c r="S55" s="318">
        <v>46222</v>
      </c>
      <c r="T55" s="318">
        <v>46227</v>
      </c>
      <c r="U55" s="319" t="s">
        <v>40</v>
      </c>
      <c r="V55" s="319" t="s">
        <v>479</v>
      </c>
      <c r="W55" s="320">
        <v>0</v>
      </c>
      <c r="X55" s="322">
        <v>46235</v>
      </c>
      <c r="Y55" s="322">
        <v>46237</v>
      </c>
      <c r="Z55" s="323" t="s">
        <v>40</v>
      </c>
      <c r="AA55" s="323" t="s">
        <v>422</v>
      </c>
      <c r="AB55" s="324">
        <v>0</v>
      </c>
      <c r="AC55" s="326">
        <v>46238</v>
      </c>
      <c r="AD55" s="326">
        <v>46244</v>
      </c>
      <c r="AE55" s="327" t="s">
        <v>40</v>
      </c>
      <c r="AF55" s="327" t="s">
        <v>422</v>
      </c>
      <c r="AG55" s="328">
        <v>0</v>
      </c>
      <c r="AH55" s="330">
        <v>46231</v>
      </c>
      <c r="AI55" s="330">
        <v>46233</v>
      </c>
      <c r="AJ55" s="331" t="s">
        <v>165</v>
      </c>
      <c r="AK55" s="331" t="s">
        <v>422</v>
      </c>
      <c r="AL55" s="332">
        <v>0</v>
      </c>
      <c r="AM55" s="311">
        <v>46332</v>
      </c>
      <c r="AN55" s="311">
        <v>46338</v>
      </c>
      <c r="AO55" s="310" t="s">
        <v>40</v>
      </c>
      <c r="AP55" s="472">
        <v>0</v>
      </c>
      <c r="AQ55" s="301"/>
    </row>
    <row r="56" spans="1:43">
      <c r="A56" s="306"/>
      <c r="B56" s="305"/>
      <c r="C56" s="305"/>
      <c r="D56" s="380"/>
      <c r="E56" s="380"/>
      <c r="F56" s="308"/>
      <c r="G56" s="461" t="s">
        <v>496</v>
      </c>
      <c r="H56" s="381"/>
      <c r="I56" s="311"/>
      <c r="J56" s="311"/>
      <c r="K56" s="310"/>
      <c r="L56" s="310"/>
      <c r="M56" s="312"/>
      <c r="N56" s="314"/>
      <c r="O56" s="314"/>
      <c r="P56" s="315"/>
      <c r="Q56" s="315"/>
      <c r="R56" s="316"/>
      <c r="S56" s="318"/>
      <c r="T56" s="318"/>
      <c r="U56" s="319"/>
      <c r="V56" s="319"/>
      <c r="W56" s="320"/>
      <c r="X56" s="322"/>
      <c r="Y56" s="322"/>
      <c r="Z56" s="323"/>
      <c r="AA56" s="323"/>
      <c r="AB56" s="324"/>
      <c r="AC56" s="326"/>
      <c r="AD56" s="326"/>
      <c r="AE56" s="327"/>
      <c r="AF56" s="327"/>
      <c r="AG56" s="328"/>
      <c r="AH56" s="330"/>
      <c r="AI56" s="330"/>
      <c r="AJ56" s="331"/>
      <c r="AK56" s="331"/>
      <c r="AL56" s="332"/>
      <c r="AM56" s="311"/>
      <c r="AN56" s="311"/>
      <c r="AO56" s="310"/>
      <c r="AP56" s="472"/>
      <c r="AQ56" s="301"/>
    </row>
    <row r="57" spans="1:43">
      <c r="A57" s="306" t="s">
        <v>437</v>
      </c>
      <c r="B57" s="305" t="s">
        <v>497</v>
      </c>
      <c r="C57" s="305">
        <v>1</v>
      </c>
      <c r="D57" s="380">
        <v>46190</v>
      </c>
      <c r="E57" s="380">
        <v>46195</v>
      </c>
      <c r="F57" s="308" t="s">
        <v>34</v>
      </c>
      <c r="G57" s="308" t="s">
        <v>34</v>
      </c>
      <c r="H57" s="381">
        <v>1</v>
      </c>
      <c r="I57" s="311">
        <v>46196</v>
      </c>
      <c r="J57" s="311">
        <v>46202</v>
      </c>
      <c r="K57" s="310" t="s">
        <v>34</v>
      </c>
      <c r="L57" s="310" t="s">
        <v>34</v>
      </c>
      <c r="M57" s="312">
        <v>1</v>
      </c>
      <c r="N57" s="314">
        <v>46196</v>
      </c>
      <c r="O57" s="314">
        <v>46202</v>
      </c>
      <c r="P57" s="315" t="s">
        <v>40</v>
      </c>
      <c r="Q57" s="315" t="s">
        <v>446</v>
      </c>
      <c r="R57" s="316">
        <v>0</v>
      </c>
      <c r="S57" s="318">
        <v>46222</v>
      </c>
      <c r="T57" s="318">
        <v>46227</v>
      </c>
      <c r="U57" s="319" t="s">
        <v>40</v>
      </c>
      <c r="V57" s="319" t="s">
        <v>479</v>
      </c>
      <c r="W57" s="320">
        <v>0</v>
      </c>
      <c r="X57" s="322">
        <v>46235</v>
      </c>
      <c r="Y57" s="322">
        <v>46237</v>
      </c>
      <c r="Z57" s="323" t="s">
        <v>40</v>
      </c>
      <c r="AA57" s="323" t="s">
        <v>422</v>
      </c>
      <c r="AB57" s="324">
        <v>0</v>
      </c>
      <c r="AC57" s="326">
        <v>46238</v>
      </c>
      <c r="AD57" s="326">
        <v>46244</v>
      </c>
      <c r="AE57" s="327" t="s">
        <v>40</v>
      </c>
      <c r="AF57" s="327" t="s">
        <v>422</v>
      </c>
      <c r="AG57" s="328">
        <v>0</v>
      </c>
      <c r="AH57" s="330">
        <v>46231</v>
      </c>
      <c r="AI57" s="330">
        <v>46233</v>
      </c>
      <c r="AJ57" s="331" t="s">
        <v>165</v>
      </c>
      <c r="AK57" s="331" t="s">
        <v>422</v>
      </c>
      <c r="AL57" s="332">
        <v>0</v>
      </c>
      <c r="AM57" s="311">
        <v>46332</v>
      </c>
      <c r="AN57" s="311">
        <v>46338</v>
      </c>
      <c r="AO57" s="310" t="s">
        <v>40</v>
      </c>
      <c r="AP57" s="472">
        <v>0</v>
      </c>
      <c r="AQ57" s="301"/>
    </row>
    <row r="58" spans="1:43">
      <c r="A58" s="306" t="s">
        <v>437</v>
      </c>
      <c r="B58" s="305" t="s">
        <v>498</v>
      </c>
      <c r="C58" s="305">
        <v>1</v>
      </c>
      <c r="D58" s="380">
        <v>46190</v>
      </c>
      <c r="E58" s="380">
        <v>46195</v>
      </c>
      <c r="F58" s="308" t="s">
        <v>34</v>
      </c>
      <c r="G58" s="308" t="s">
        <v>34</v>
      </c>
      <c r="H58" s="381">
        <v>1</v>
      </c>
      <c r="I58" s="311">
        <v>46196</v>
      </c>
      <c r="J58" s="311">
        <v>46202</v>
      </c>
      <c r="K58" s="310" t="s">
        <v>34</v>
      </c>
      <c r="L58" s="310" t="s">
        <v>34</v>
      </c>
      <c r="M58" s="312">
        <v>1</v>
      </c>
      <c r="N58" s="314">
        <v>46196</v>
      </c>
      <c r="O58" s="314">
        <v>46202</v>
      </c>
      <c r="P58" s="315" t="s">
        <v>40</v>
      </c>
      <c r="Q58" s="315" t="s">
        <v>446</v>
      </c>
      <c r="R58" s="316">
        <v>0</v>
      </c>
      <c r="S58" s="318">
        <v>46222</v>
      </c>
      <c r="T58" s="318">
        <v>46227</v>
      </c>
      <c r="U58" s="319" t="s">
        <v>40</v>
      </c>
      <c r="V58" s="319" t="s">
        <v>479</v>
      </c>
      <c r="W58" s="320">
        <v>0</v>
      </c>
      <c r="X58" s="322">
        <v>46235</v>
      </c>
      <c r="Y58" s="322">
        <v>46237</v>
      </c>
      <c r="Z58" s="323" t="s">
        <v>40</v>
      </c>
      <c r="AA58" s="323" t="s">
        <v>422</v>
      </c>
      <c r="AB58" s="324">
        <v>0</v>
      </c>
      <c r="AC58" s="326">
        <v>46238</v>
      </c>
      <c r="AD58" s="326">
        <v>46244</v>
      </c>
      <c r="AE58" s="327" t="s">
        <v>40</v>
      </c>
      <c r="AF58" s="327" t="s">
        <v>422</v>
      </c>
      <c r="AG58" s="328">
        <v>0</v>
      </c>
      <c r="AH58" s="330">
        <v>46231</v>
      </c>
      <c r="AI58" s="330">
        <v>46233</v>
      </c>
      <c r="AJ58" s="331" t="s">
        <v>165</v>
      </c>
      <c r="AK58" s="331" t="s">
        <v>422</v>
      </c>
      <c r="AL58" s="332">
        <v>0</v>
      </c>
      <c r="AM58" s="311">
        <v>46332</v>
      </c>
      <c r="AN58" s="311">
        <v>46338</v>
      </c>
      <c r="AO58" s="310" t="s">
        <v>40</v>
      </c>
      <c r="AP58" s="472">
        <v>0</v>
      </c>
      <c r="AQ58" s="301"/>
    </row>
    <row r="59" spans="1:43">
      <c r="A59" s="306" t="s">
        <v>437</v>
      </c>
      <c r="B59" s="305" t="s">
        <v>499</v>
      </c>
      <c r="C59" s="305">
        <v>1</v>
      </c>
      <c r="D59" s="380">
        <v>46190</v>
      </c>
      <c r="E59" s="380">
        <v>46195</v>
      </c>
      <c r="F59" s="308" t="s">
        <v>34</v>
      </c>
      <c r="G59" s="308" t="s">
        <v>34</v>
      </c>
      <c r="H59" s="381">
        <v>1</v>
      </c>
      <c r="I59" s="311">
        <v>46196</v>
      </c>
      <c r="J59" s="311">
        <v>46202</v>
      </c>
      <c r="K59" s="310" t="s">
        <v>34</v>
      </c>
      <c r="L59" s="310" t="s">
        <v>34</v>
      </c>
      <c r="M59" s="312">
        <v>1</v>
      </c>
      <c r="N59" s="314">
        <v>46196</v>
      </c>
      <c r="O59" s="314">
        <v>46202</v>
      </c>
      <c r="P59" s="315" t="s">
        <v>232</v>
      </c>
      <c r="Q59" s="315" t="s">
        <v>232</v>
      </c>
      <c r="R59" s="316">
        <v>0.8</v>
      </c>
      <c r="S59" s="318">
        <v>46222</v>
      </c>
      <c r="T59" s="318">
        <v>46227</v>
      </c>
      <c r="U59" s="319" t="s">
        <v>232</v>
      </c>
      <c r="V59" s="319" t="s">
        <v>448</v>
      </c>
      <c r="W59" s="320">
        <v>0.8</v>
      </c>
      <c r="X59" s="322">
        <v>46235</v>
      </c>
      <c r="Y59" s="322">
        <v>46237</v>
      </c>
      <c r="Z59" s="323" t="s">
        <v>232</v>
      </c>
      <c r="AA59" s="323" t="s">
        <v>422</v>
      </c>
      <c r="AB59" s="324">
        <v>0</v>
      </c>
      <c r="AC59" s="326">
        <v>46238</v>
      </c>
      <c r="AD59" s="326">
        <v>46244</v>
      </c>
      <c r="AE59" s="327" t="s">
        <v>232</v>
      </c>
      <c r="AF59" s="327" t="s">
        <v>422</v>
      </c>
      <c r="AG59" s="328">
        <v>0</v>
      </c>
      <c r="AH59" s="330">
        <v>46231</v>
      </c>
      <c r="AI59" s="330">
        <v>46233</v>
      </c>
      <c r="AJ59" s="331" t="s">
        <v>165</v>
      </c>
      <c r="AK59" s="331" t="s">
        <v>422</v>
      </c>
      <c r="AL59" s="332">
        <v>0</v>
      </c>
      <c r="AM59" s="311">
        <v>46332</v>
      </c>
      <c r="AN59" s="311">
        <v>46338</v>
      </c>
      <c r="AO59" s="310" t="s">
        <v>40</v>
      </c>
      <c r="AP59" s="472">
        <v>0</v>
      </c>
      <c r="AQ59" s="301"/>
    </row>
    <row r="60" spans="1:43">
      <c r="A60" s="306" t="s">
        <v>437</v>
      </c>
      <c r="B60" s="305" t="s">
        <v>500</v>
      </c>
      <c r="C60" s="305">
        <v>1</v>
      </c>
      <c r="D60" s="380">
        <v>46190</v>
      </c>
      <c r="E60" s="380">
        <v>46195</v>
      </c>
      <c r="F60" s="308" t="s">
        <v>34</v>
      </c>
      <c r="G60" s="308" t="s">
        <v>34</v>
      </c>
      <c r="H60" s="381">
        <v>1</v>
      </c>
      <c r="I60" s="311">
        <v>46196</v>
      </c>
      <c r="J60" s="311">
        <v>46202</v>
      </c>
      <c r="K60" s="310" t="s">
        <v>34</v>
      </c>
      <c r="L60" s="310" t="s">
        <v>34</v>
      </c>
      <c r="M60" s="312">
        <v>1</v>
      </c>
      <c r="N60" s="314">
        <v>46196</v>
      </c>
      <c r="O60" s="314">
        <v>46202</v>
      </c>
      <c r="P60" s="315" t="s">
        <v>40</v>
      </c>
      <c r="Q60" s="315" t="s">
        <v>446</v>
      </c>
      <c r="R60" s="316">
        <v>0</v>
      </c>
      <c r="S60" s="318">
        <v>46222</v>
      </c>
      <c r="T60" s="318">
        <v>46227</v>
      </c>
      <c r="U60" s="319" t="s">
        <v>40</v>
      </c>
      <c r="V60" s="319" t="s">
        <v>479</v>
      </c>
      <c r="W60" s="320">
        <v>0</v>
      </c>
      <c r="X60" s="322">
        <v>46235</v>
      </c>
      <c r="Y60" s="322">
        <v>46237</v>
      </c>
      <c r="Z60" s="323" t="s">
        <v>40</v>
      </c>
      <c r="AA60" s="323" t="s">
        <v>422</v>
      </c>
      <c r="AB60" s="324">
        <v>0</v>
      </c>
      <c r="AC60" s="326">
        <v>46238</v>
      </c>
      <c r="AD60" s="326">
        <v>46244</v>
      </c>
      <c r="AE60" s="327" t="s">
        <v>40</v>
      </c>
      <c r="AF60" s="327" t="s">
        <v>422</v>
      </c>
      <c r="AG60" s="328">
        <v>0</v>
      </c>
      <c r="AH60" s="330">
        <v>46231</v>
      </c>
      <c r="AI60" s="330">
        <v>46233</v>
      </c>
      <c r="AJ60" s="331" t="s">
        <v>165</v>
      </c>
      <c r="AK60" s="331" t="s">
        <v>422</v>
      </c>
      <c r="AL60" s="332">
        <v>0</v>
      </c>
      <c r="AM60" s="311">
        <v>46332</v>
      </c>
      <c r="AN60" s="311">
        <v>46338</v>
      </c>
      <c r="AO60" s="310" t="s">
        <v>40</v>
      </c>
      <c r="AP60" s="472">
        <v>0</v>
      </c>
      <c r="AQ60" s="301"/>
    </row>
    <row r="61" spans="1:43">
      <c r="A61" s="306" t="s">
        <v>437</v>
      </c>
      <c r="B61" s="305" t="s">
        <v>501</v>
      </c>
      <c r="C61" s="305">
        <v>1</v>
      </c>
      <c r="D61" s="380">
        <v>46190</v>
      </c>
      <c r="E61" s="380">
        <v>46195</v>
      </c>
      <c r="F61" s="308" t="s">
        <v>34</v>
      </c>
      <c r="G61" s="460" t="s">
        <v>502</v>
      </c>
      <c r="H61" s="381">
        <v>1</v>
      </c>
      <c r="I61" s="311">
        <v>46196</v>
      </c>
      <c r="J61" s="311">
        <v>46202</v>
      </c>
      <c r="K61" s="310" t="s">
        <v>34</v>
      </c>
      <c r="L61" s="310" t="s">
        <v>34</v>
      </c>
      <c r="M61" s="312">
        <v>1</v>
      </c>
      <c r="N61" s="314">
        <v>46196</v>
      </c>
      <c r="O61" s="314">
        <v>46202</v>
      </c>
      <c r="P61" s="315" t="s">
        <v>40</v>
      </c>
      <c r="Q61" s="315" t="s">
        <v>446</v>
      </c>
      <c r="R61" s="316">
        <v>0</v>
      </c>
      <c r="S61" s="318">
        <v>46222</v>
      </c>
      <c r="T61" s="318">
        <v>46227</v>
      </c>
      <c r="U61" s="319" t="s">
        <v>40</v>
      </c>
      <c r="V61" s="319" t="s">
        <v>479</v>
      </c>
      <c r="W61" s="320">
        <v>0</v>
      </c>
      <c r="X61" s="322">
        <v>46235</v>
      </c>
      <c r="Y61" s="322">
        <v>46237</v>
      </c>
      <c r="Z61" s="323" t="s">
        <v>40</v>
      </c>
      <c r="AA61" s="323" t="s">
        <v>422</v>
      </c>
      <c r="AB61" s="324">
        <v>0</v>
      </c>
      <c r="AC61" s="326">
        <v>46238</v>
      </c>
      <c r="AD61" s="326">
        <v>46244</v>
      </c>
      <c r="AE61" s="327" t="s">
        <v>40</v>
      </c>
      <c r="AF61" s="327" t="s">
        <v>422</v>
      </c>
      <c r="AG61" s="328">
        <v>0</v>
      </c>
      <c r="AH61" s="330">
        <v>46231</v>
      </c>
      <c r="AI61" s="330">
        <v>46233</v>
      </c>
      <c r="AJ61" s="331" t="s">
        <v>165</v>
      </c>
      <c r="AK61" s="331" t="s">
        <v>422</v>
      </c>
      <c r="AL61" s="332">
        <v>0</v>
      </c>
      <c r="AM61" s="311">
        <v>46332</v>
      </c>
      <c r="AN61" s="311">
        <v>46338</v>
      </c>
      <c r="AO61" s="310" t="s">
        <v>40</v>
      </c>
      <c r="AP61" s="472">
        <v>0</v>
      </c>
      <c r="AQ61" s="301"/>
    </row>
    <row r="62" spans="1:43">
      <c r="A62" s="306" t="s">
        <v>437</v>
      </c>
      <c r="B62" s="305" t="s">
        <v>503</v>
      </c>
      <c r="C62" s="305">
        <v>1</v>
      </c>
      <c r="D62" s="380">
        <v>46190</v>
      </c>
      <c r="E62" s="380">
        <v>46195</v>
      </c>
      <c r="F62" s="308" t="s">
        <v>34</v>
      </c>
      <c r="G62" s="460" t="s">
        <v>468</v>
      </c>
      <c r="H62" s="381">
        <v>1</v>
      </c>
      <c r="I62" s="311">
        <v>46203</v>
      </c>
      <c r="J62" s="311">
        <v>46208</v>
      </c>
      <c r="K62" s="310" t="s">
        <v>34</v>
      </c>
      <c r="L62" s="310" t="s">
        <v>34</v>
      </c>
      <c r="M62" s="312">
        <v>1</v>
      </c>
      <c r="N62" s="314">
        <v>46203</v>
      </c>
      <c r="O62" s="314">
        <v>46208</v>
      </c>
      <c r="P62" s="315" t="s">
        <v>40</v>
      </c>
      <c r="Q62" s="315" t="s">
        <v>446</v>
      </c>
      <c r="R62" s="316">
        <v>0</v>
      </c>
      <c r="S62" s="318">
        <v>46222</v>
      </c>
      <c r="T62" s="318">
        <v>46227</v>
      </c>
      <c r="U62" s="319" t="s">
        <v>40</v>
      </c>
      <c r="V62" s="319" t="s">
        <v>479</v>
      </c>
      <c r="W62" s="320">
        <v>0</v>
      </c>
      <c r="X62" s="322">
        <v>46235</v>
      </c>
      <c r="Y62" s="322">
        <v>46237</v>
      </c>
      <c r="Z62" s="323" t="s">
        <v>40</v>
      </c>
      <c r="AA62" s="323" t="s">
        <v>422</v>
      </c>
      <c r="AB62" s="324">
        <v>0</v>
      </c>
      <c r="AC62" s="326">
        <v>46238</v>
      </c>
      <c r="AD62" s="326">
        <v>46244</v>
      </c>
      <c r="AE62" s="327" t="s">
        <v>40</v>
      </c>
      <c r="AF62" s="327" t="s">
        <v>422</v>
      </c>
      <c r="AG62" s="328">
        <v>0</v>
      </c>
      <c r="AH62" s="330">
        <v>46231</v>
      </c>
      <c r="AI62" s="330">
        <v>46233</v>
      </c>
      <c r="AJ62" s="331" t="s">
        <v>165</v>
      </c>
      <c r="AK62" s="331" t="s">
        <v>422</v>
      </c>
      <c r="AL62" s="332">
        <v>0</v>
      </c>
      <c r="AM62" s="311">
        <v>46332</v>
      </c>
      <c r="AN62" s="311">
        <v>46338</v>
      </c>
      <c r="AO62" s="310" t="s">
        <v>40</v>
      </c>
      <c r="AP62" s="472">
        <v>0</v>
      </c>
      <c r="AQ62" s="301"/>
    </row>
    <row r="63" spans="1:43">
      <c r="A63" s="306"/>
      <c r="B63" s="305"/>
      <c r="C63" s="305"/>
      <c r="D63" s="380"/>
      <c r="E63" s="380"/>
      <c r="F63" s="308"/>
      <c r="G63" s="460" t="s">
        <v>504</v>
      </c>
      <c r="H63" s="381"/>
      <c r="I63" s="311"/>
      <c r="J63" s="311"/>
      <c r="K63" s="310"/>
      <c r="L63" s="310"/>
      <c r="M63" s="312"/>
      <c r="N63" s="314"/>
      <c r="O63" s="314"/>
      <c r="P63" s="315"/>
      <c r="Q63" s="315"/>
      <c r="R63" s="316"/>
      <c r="S63" s="318"/>
      <c r="T63" s="318"/>
      <c r="U63" s="319"/>
      <c r="V63" s="319"/>
      <c r="W63" s="320"/>
      <c r="X63" s="322"/>
      <c r="Y63" s="322"/>
      <c r="Z63" s="323"/>
      <c r="AA63" s="323"/>
      <c r="AB63" s="324"/>
      <c r="AC63" s="326"/>
      <c r="AD63" s="326"/>
      <c r="AE63" s="327"/>
      <c r="AF63" s="327"/>
      <c r="AG63" s="328"/>
      <c r="AH63" s="330"/>
      <c r="AI63" s="330"/>
      <c r="AJ63" s="331"/>
      <c r="AK63" s="331"/>
      <c r="AL63" s="332"/>
      <c r="AM63" s="311"/>
      <c r="AN63" s="311"/>
      <c r="AO63" s="310"/>
      <c r="AP63" s="472"/>
      <c r="AQ63" s="301"/>
    </row>
    <row r="64" spans="1:43">
      <c r="A64" s="306"/>
      <c r="B64" s="305"/>
      <c r="C64" s="305"/>
      <c r="D64" s="380"/>
      <c r="E64" s="380"/>
      <c r="F64" s="308"/>
      <c r="G64" s="460" t="s">
        <v>470</v>
      </c>
      <c r="H64" s="381"/>
      <c r="I64" s="311"/>
      <c r="J64" s="311"/>
      <c r="K64" s="310"/>
      <c r="L64" s="310"/>
      <c r="M64" s="312"/>
      <c r="N64" s="314"/>
      <c r="O64" s="314"/>
      <c r="P64" s="315"/>
      <c r="Q64" s="315"/>
      <c r="R64" s="316"/>
      <c r="S64" s="318"/>
      <c r="T64" s="318"/>
      <c r="U64" s="319"/>
      <c r="V64" s="319"/>
      <c r="W64" s="320"/>
      <c r="X64" s="322"/>
      <c r="Y64" s="322"/>
      <c r="Z64" s="323"/>
      <c r="AA64" s="323"/>
      <c r="AB64" s="324"/>
      <c r="AC64" s="326"/>
      <c r="AD64" s="326"/>
      <c r="AE64" s="327"/>
      <c r="AF64" s="327"/>
      <c r="AG64" s="328"/>
      <c r="AH64" s="330"/>
      <c r="AI64" s="330"/>
      <c r="AJ64" s="331"/>
      <c r="AK64" s="331"/>
      <c r="AL64" s="332"/>
      <c r="AM64" s="311"/>
      <c r="AN64" s="311"/>
      <c r="AO64" s="310"/>
      <c r="AP64" s="472"/>
      <c r="AQ64" s="301"/>
    </row>
    <row r="65" spans="1:43">
      <c r="A65" s="306" t="s">
        <v>437</v>
      </c>
      <c r="B65" s="305" t="s">
        <v>505</v>
      </c>
      <c r="C65" s="305">
        <v>1</v>
      </c>
      <c r="D65" s="380">
        <v>46190</v>
      </c>
      <c r="E65" s="380">
        <v>46195</v>
      </c>
      <c r="F65" s="308" t="s">
        <v>40</v>
      </c>
      <c r="G65" s="308" t="s">
        <v>422</v>
      </c>
      <c r="H65" s="381">
        <v>0</v>
      </c>
      <c r="I65" s="311">
        <v>46203</v>
      </c>
      <c r="J65" s="311">
        <v>46208</v>
      </c>
      <c r="K65" s="310" t="s">
        <v>40</v>
      </c>
      <c r="L65" s="310" t="s">
        <v>422</v>
      </c>
      <c r="M65" s="312">
        <v>0</v>
      </c>
      <c r="N65" s="314">
        <v>46203</v>
      </c>
      <c r="O65" s="314">
        <v>46208</v>
      </c>
      <c r="P65" s="315" t="s">
        <v>40</v>
      </c>
      <c r="Q65" s="315" t="s">
        <v>422</v>
      </c>
      <c r="R65" s="316">
        <v>0</v>
      </c>
      <c r="S65" s="318">
        <v>46222</v>
      </c>
      <c r="T65" s="318">
        <v>46227</v>
      </c>
      <c r="U65" s="319" t="s">
        <v>40</v>
      </c>
      <c r="V65" s="319" t="s">
        <v>422</v>
      </c>
      <c r="W65" s="320">
        <v>0</v>
      </c>
      <c r="X65" s="322">
        <v>46235</v>
      </c>
      <c r="Y65" s="322">
        <v>46237</v>
      </c>
      <c r="Z65" s="323" t="s">
        <v>40</v>
      </c>
      <c r="AA65" s="323" t="s">
        <v>422</v>
      </c>
      <c r="AB65" s="324">
        <v>0</v>
      </c>
      <c r="AC65" s="326">
        <v>46238</v>
      </c>
      <c r="AD65" s="326">
        <v>46244</v>
      </c>
      <c r="AE65" s="327" t="s">
        <v>40</v>
      </c>
      <c r="AF65" s="327" t="s">
        <v>422</v>
      </c>
      <c r="AG65" s="328">
        <v>0</v>
      </c>
      <c r="AH65" s="330">
        <v>46231</v>
      </c>
      <c r="AI65" s="330">
        <v>46233</v>
      </c>
      <c r="AJ65" s="331" t="s">
        <v>165</v>
      </c>
      <c r="AK65" s="331" t="s">
        <v>422</v>
      </c>
      <c r="AL65" s="332">
        <v>0</v>
      </c>
      <c r="AM65" s="311">
        <v>46332</v>
      </c>
      <c r="AN65" s="311">
        <v>46338</v>
      </c>
      <c r="AO65" s="310" t="s">
        <v>40</v>
      </c>
      <c r="AP65" s="472">
        <v>0</v>
      </c>
      <c r="AQ65" s="301"/>
    </row>
    <row r="66" spans="1:43">
      <c r="A66" s="306" t="s">
        <v>437</v>
      </c>
      <c r="B66" s="305" t="s">
        <v>506</v>
      </c>
      <c r="C66" s="305">
        <v>1</v>
      </c>
      <c r="D66" s="380">
        <v>46190</v>
      </c>
      <c r="E66" s="380">
        <v>46195</v>
      </c>
      <c r="F66" s="308" t="s">
        <v>40</v>
      </c>
      <c r="G66" s="308" t="s">
        <v>422</v>
      </c>
      <c r="H66" s="381">
        <v>0</v>
      </c>
      <c r="I66" s="311">
        <v>46203</v>
      </c>
      <c r="J66" s="311">
        <v>46208</v>
      </c>
      <c r="K66" s="310" t="s">
        <v>40</v>
      </c>
      <c r="L66" s="310" t="s">
        <v>422</v>
      </c>
      <c r="M66" s="312">
        <v>0</v>
      </c>
      <c r="N66" s="314">
        <v>46203</v>
      </c>
      <c r="O66" s="314">
        <v>46208</v>
      </c>
      <c r="P66" s="315" t="s">
        <v>40</v>
      </c>
      <c r="Q66" s="315" t="s">
        <v>422</v>
      </c>
      <c r="R66" s="316">
        <v>0</v>
      </c>
      <c r="S66" s="318">
        <v>46222</v>
      </c>
      <c r="T66" s="318">
        <v>46227</v>
      </c>
      <c r="U66" s="319" t="s">
        <v>40</v>
      </c>
      <c r="V66" s="319" t="s">
        <v>422</v>
      </c>
      <c r="W66" s="320">
        <v>0</v>
      </c>
      <c r="X66" s="322">
        <v>46235</v>
      </c>
      <c r="Y66" s="322">
        <v>46237</v>
      </c>
      <c r="Z66" s="323" t="s">
        <v>40</v>
      </c>
      <c r="AA66" s="323" t="s">
        <v>422</v>
      </c>
      <c r="AB66" s="324">
        <v>0</v>
      </c>
      <c r="AC66" s="326">
        <v>46238</v>
      </c>
      <c r="AD66" s="326">
        <v>46244</v>
      </c>
      <c r="AE66" s="327" t="s">
        <v>40</v>
      </c>
      <c r="AF66" s="327" t="s">
        <v>422</v>
      </c>
      <c r="AG66" s="328">
        <v>0</v>
      </c>
      <c r="AH66" s="330">
        <v>46231</v>
      </c>
      <c r="AI66" s="330">
        <v>46233</v>
      </c>
      <c r="AJ66" s="331" t="s">
        <v>165</v>
      </c>
      <c r="AK66" s="331" t="s">
        <v>422</v>
      </c>
      <c r="AL66" s="332">
        <v>0</v>
      </c>
      <c r="AM66" s="311">
        <v>46332</v>
      </c>
      <c r="AN66" s="311">
        <v>46338</v>
      </c>
      <c r="AO66" s="310" t="s">
        <v>40</v>
      </c>
      <c r="AP66" s="472">
        <v>0</v>
      </c>
      <c r="AQ66" s="301"/>
    </row>
    <row r="67" spans="1:43">
      <c r="A67" s="306" t="s">
        <v>437</v>
      </c>
      <c r="B67" s="305" t="s">
        <v>507</v>
      </c>
      <c r="C67" s="305">
        <v>1</v>
      </c>
      <c r="D67" s="380">
        <v>46190</v>
      </c>
      <c r="E67" s="380">
        <v>46195</v>
      </c>
      <c r="F67" s="308" t="s">
        <v>40</v>
      </c>
      <c r="G67" s="308" t="s">
        <v>422</v>
      </c>
      <c r="H67" s="381">
        <v>0</v>
      </c>
      <c r="I67" s="311">
        <v>46203</v>
      </c>
      <c r="J67" s="311">
        <v>46208</v>
      </c>
      <c r="K67" s="310" t="s">
        <v>40</v>
      </c>
      <c r="L67" s="310" t="s">
        <v>422</v>
      </c>
      <c r="M67" s="312">
        <v>0</v>
      </c>
      <c r="N67" s="314">
        <v>46203</v>
      </c>
      <c r="O67" s="314">
        <v>46208</v>
      </c>
      <c r="P67" s="315" t="s">
        <v>40</v>
      </c>
      <c r="Q67" s="315" t="s">
        <v>422</v>
      </c>
      <c r="R67" s="316">
        <v>0</v>
      </c>
      <c r="S67" s="318">
        <v>46222</v>
      </c>
      <c r="T67" s="318">
        <v>46227</v>
      </c>
      <c r="U67" s="319" t="s">
        <v>40</v>
      </c>
      <c r="V67" s="319" t="s">
        <v>422</v>
      </c>
      <c r="W67" s="320">
        <v>0</v>
      </c>
      <c r="X67" s="322">
        <v>46235</v>
      </c>
      <c r="Y67" s="322">
        <v>46237</v>
      </c>
      <c r="Z67" s="323" t="s">
        <v>40</v>
      </c>
      <c r="AA67" s="323" t="s">
        <v>422</v>
      </c>
      <c r="AB67" s="324">
        <v>0</v>
      </c>
      <c r="AC67" s="326">
        <v>46238</v>
      </c>
      <c r="AD67" s="326">
        <v>46244</v>
      </c>
      <c r="AE67" s="327" t="s">
        <v>40</v>
      </c>
      <c r="AF67" s="327" t="s">
        <v>422</v>
      </c>
      <c r="AG67" s="328">
        <v>0</v>
      </c>
      <c r="AH67" s="330">
        <v>46231</v>
      </c>
      <c r="AI67" s="330">
        <v>46233</v>
      </c>
      <c r="AJ67" s="331" t="s">
        <v>165</v>
      </c>
      <c r="AK67" s="331" t="s">
        <v>422</v>
      </c>
      <c r="AL67" s="332">
        <v>0</v>
      </c>
      <c r="AM67" s="311">
        <v>46332</v>
      </c>
      <c r="AN67" s="311">
        <v>46338</v>
      </c>
      <c r="AO67" s="310" t="s">
        <v>40</v>
      </c>
      <c r="AP67" s="472">
        <v>0</v>
      </c>
      <c r="AQ67" s="301"/>
    </row>
    <row r="68" spans="1:43">
      <c r="A68" s="306" t="s">
        <v>437</v>
      </c>
      <c r="B68" s="305" t="s">
        <v>508</v>
      </c>
      <c r="C68" s="305">
        <v>1</v>
      </c>
      <c r="D68" s="380">
        <v>46190</v>
      </c>
      <c r="E68" s="380">
        <v>46195</v>
      </c>
      <c r="F68" s="308" t="s">
        <v>40</v>
      </c>
      <c r="G68" s="460">
        <v>41044300</v>
      </c>
      <c r="H68" s="381">
        <v>0.5</v>
      </c>
      <c r="I68" s="311">
        <v>46203</v>
      </c>
      <c r="J68" s="311">
        <v>46208</v>
      </c>
      <c r="K68" s="310" t="s">
        <v>40</v>
      </c>
      <c r="L68" s="310" t="s">
        <v>422</v>
      </c>
      <c r="M68" s="312">
        <v>0</v>
      </c>
      <c r="N68" s="314">
        <v>46203</v>
      </c>
      <c r="O68" s="314">
        <v>46208</v>
      </c>
      <c r="P68" s="315" t="s">
        <v>40</v>
      </c>
      <c r="Q68" s="315" t="s">
        <v>422</v>
      </c>
      <c r="R68" s="316">
        <v>0</v>
      </c>
      <c r="S68" s="318">
        <v>46222</v>
      </c>
      <c r="T68" s="318">
        <v>46227</v>
      </c>
      <c r="U68" s="319" t="s">
        <v>40</v>
      </c>
      <c r="V68" s="319" t="s">
        <v>422</v>
      </c>
      <c r="W68" s="320">
        <v>0</v>
      </c>
      <c r="X68" s="322">
        <v>46235</v>
      </c>
      <c r="Y68" s="322">
        <v>46237</v>
      </c>
      <c r="Z68" s="323" t="s">
        <v>40</v>
      </c>
      <c r="AA68" s="323" t="s">
        <v>422</v>
      </c>
      <c r="AB68" s="324">
        <v>0</v>
      </c>
      <c r="AC68" s="326">
        <v>46238</v>
      </c>
      <c r="AD68" s="326">
        <v>46244</v>
      </c>
      <c r="AE68" s="327" t="s">
        <v>40</v>
      </c>
      <c r="AF68" s="327" t="s">
        <v>422</v>
      </c>
      <c r="AG68" s="328">
        <v>0</v>
      </c>
      <c r="AH68" s="330">
        <v>46231</v>
      </c>
      <c r="AI68" s="330">
        <v>46233</v>
      </c>
      <c r="AJ68" s="331" t="s">
        <v>165</v>
      </c>
      <c r="AK68" s="331" t="s">
        <v>422</v>
      </c>
      <c r="AL68" s="332">
        <v>0</v>
      </c>
      <c r="AM68" s="311">
        <v>46332</v>
      </c>
      <c r="AN68" s="311">
        <v>46338</v>
      </c>
      <c r="AO68" s="310" t="s">
        <v>40</v>
      </c>
      <c r="AP68" s="472">
        <v>0</v>
      </c>
      <c r="AQ68" s="301"/>
    </row>
    <row r="69" spans="1:43">
      <c r="A69" s="306" t="s">
        <v>437</v>
      </c>
      <c r="B69" s="305" t="s">
        <v>509</v>
      </c>
      <c r="C69" s="305">
        <v>1</v>
      </c>
      <c r="D69" s="380">
        <v>46190</v>
      </c>
      <c r="E69" s="380">
        <v>46195</v>
      </c>
      <c r="F69" s="308" t="s">
        <v>40</v>
      </c>
      <c r="G69" s="308" t="s">
        <v>422</v>
      </c>
      <c r="H69" s="381">
        <v>0</v>
      </c>
      <c r="I69" s="311">
        <v>46203</v>
      </c>
      <c r="J69" s="311">
        <v>46208</v>
      </c>
      <c r="K69" s="310" t="s">
        <v>40</v>
      </c>
      <c r="L69" s="310" t="s">
        <v>422</v>
      </c>
      <c r="M69" s="312">
        <v>0</v>
      </c>
      <c r="N69" s="314">
        <v>46203</v>
      </c>
      <c r="O69" s="314">
        <v>46208</v>
      </c>
      <c r="P69" s="315" t="s">
        <v>40</v>
      </c>
      <c r="Q69" s="315" t="s">
        <v>422</v>
      </c>
      <c r="R69" s="316">
        <v>0</v>
      </c>
      <c r="S69" s="318">
        <v>46222</v>
      </c>
      <c r="T69" s="318">
        <v>46227</v>
      </c>
      <c r="U69" s="319" t="s">
        <v>40</v>
      </c>
      <c r="V69" s="319" t="s">
        <v>422</v>
      </c>
      <c r="W69" s="320">
        <v>0</v>
      </c>
      <c r="X69" s="322">
        <v>46235</v>
      </c>
      <c r="Y69" s="322">
        <v>46237</v>
      </c>
      <c r="Z69" s="323" t="s">
        <v>40</v>
      </c>
      <c r="AA69" s="323" t="s">
        <v>422</v>
      </c>
      <c r="AB69" s="324">
        <v>0</v>
      </c>
      <c r="AC69" s="326">
        <v>46238</v>
      </c>
      <c r="AD69" s="326">
        <v>46244</v>
      </c>
      <c r="AE69" s="327" t="s">
        <v>40</v>
      </c>
      <c r="AF69" s="327" t="s">
        <v>422</v>
      </c>
      <c r="AG69" s="328">
        <v>0</v>
      </c>
      <c r="AH69" s="330">
        <v>46231</v>
      </c>
      <c r="AI69" s="330">
        <v>46233</v>
      </c>
      <c r="AJ69" s="331" t="s">
        <v>165</v>
      </c>
      <c r="AK69" s="331" t="s">
        <v>422</v>
      </c>
      <c r="AL69" s="332">
        <v>0</v>
      </c>
      <c r="AM69" s="311">
        <v>46332</v>
      </c>
      <c r="AN69" s="311">
        <v>46338</v>
      </c>
      <c r="AO69" s="310" t="s">
        <v>40</v>
      </c>
      <c r="AP69" s="472">
        <v>0</v>
      </c>
      <c r="AQ69" s="301"/>
    </row>
    <row r="70" spans="1:43">
      <c r="A70" s="306" t="s">
        <v>437</v>
      </c>
      <c r="B70" s="305" t="s">
        <v>510</v>
      </c>
      <c r="C70" s="305">
        <v>1</v>
      </c>
      <c r="D70" s="380">
        <v>46190</v>
      </c>
      <c r="E70" s="380">
        <v>46195</v>
      </c>
      <c r="F70" s="308" t="s">
        <v>40</v>
      </c>
      <c r="G70" s="460" t="s">
        <v>511</v>
      </c>
      <c r="H70" s="381">
        <v>0.5</v>
      </c>
      <c r="I70" s="311">
        <v>46203</v>
      </c>
      <c r="J70" s="311">
        <v>46208</v>
      </c>
      <c r="K70" s="310" t="s">
        <v>40</v>
      </c>
      <c r="L70" s="310" t="s">
        <v>422</v>
      </c>
      <c r="M70" s="312">
        <v>0</v>
      </c>
      <c r="N70" s="314">
        <v>46203</v>
      </c>
      <c r="O70" s="314">
        <v>46208</v>
      </c>
      <c r="P70" s="315" t="s">
        <v>40</v>
      </c>
      <c r="Q70" s="315" t="s">
        <v>422</v>
      </c>
      <c r="R70" s="316">
        <v>0</v>
      </c>
      <c r="S70" s="318">
        <v>46222</v>
      </c>
      <c r="T70" s="318">
        <v>46227</v>
      </c>
      <c r="U70" s="319" t="s">
        <v>40</v>
      </c>
      <c r="V70" s="319" t="s">
        <v>422</v>
      </c>
      <c r="W70" s="320">
        <v>0</v>
      </c>
      <c r="X70" s="322">
        <v>46235</v>
      </c>
      <c r="Y70" s="322">
        <v>46237</v>
      </c>
      <c r="Z70" s="323" t="s">
        <v>40</v>
      </c>
      <c r="AA70" s="323" t="s">
        <v>422</v>
      </c>
      <c r="AB70" s="324">
        <v>0</v>
      </c>
      <c r="AC70" s="326">
        <v>46238</v>
      </c>
      <c r="AD70" s="326">
        <v>46244</v>
      </c>
      <c r="AE70" s="327" t="s">
        <v>40</v>
      </c>
      <c r="AF70" s="327" t="s">
        <v>422</v>
      </c>
      <c r="AG70" s="328">
        <v>0</v>
      </c>
      <c r="AH70" s="330">
        <v>46231</v>
      </c>
      <c r="AI70" s="330">
        <v>46233</v>
      </c>
      <c r="AJ70" s="331" t="s">
        <v>165</v>
      </c>
      <c r="AK70" s="331" t="s">
        <v>422</v>
      </c>
      <c r="AL70" s="332">
        <v>0</v>
      </c>
      <c r="AM70" s="311">
        <v>46332</v>
      </c>
      <c r="AN70" s="311">
        <v>46338</v>
      </c>
      <c r="AO70" s="310" t="s">
        <v>40</v>
      </c>
      <c r="AP70" s="472">
        <v>0</v>
      </c>
      <c r="AQ70" s="301"/>
    </row>
    <row r="71" spans="1:43">
      <c r="A71" s="306" t="s">
        <v>437</v>
      </c>
      <c r="B71" s="305" t="s">
        <v>512</v>
      </c>
      <c r="C71" s="305">
        <v>1</v>
      </c>
      <c r="D71" s="380">
        <v>46190</v>
      </c>
      <c r="E71" s="380">
        <v>46195</v>
      </c>
      <c r="F71" s="308" t="s">
        <v>40</v>
      </c>
      <c r="G71" s="308" t="s">
        <v>422</v>
      </c>
      <c r="H71" s="381">
        <v>0</v>
      </c>
      <c r="I71" s="311">
        <v>46203</v>
      </c>
      <c r="J71" s="311">
        <v>46208</v>
      </c>
      <c r="K71" s="310" t="s">
        <v>40</v>
      </c>
      <c r="L71" s="310" t="s">
        <v>422</v>
      </c>
      <c r="M71" s="312">
        <v>0</v>
      </c>
      <c r="N71" s="314">
        <v>46203</v>
      </c>
      <c r="O71" s="314">
        <v>46208</v>
      </c>
      <c r="P71" s="315" t="s">
        <v>40</v>
      </c>
      <c r="Q71" s="315" t="s">
        <v>422</v>
      </c>
      <c r="R71" s="316">
        <v>0</v>
      </c>
      <c r="S71" s="318">
        <v>46222</v>
      </c>
      <c r="T71" s="318">
        <v>46227</v>
      </c>
      <c r="U71" s="319" t="s">
        <v>40</v>
      </c>
      <c r="V71" s="319" t="s">
        <v>422</v>
      </c>
      <c r="W71" s="320">
        <v>0</v>
      </c>
      <c r="X71" s="322">
        <v>46235</v>
      </c>
      <c r="Y71" s="322">
        <v>46237</v>
      </c>
      <c r="Z71" s="323" t="s">
        <v>40</v>
      </c>
      <c r="AA71" s="323" t="s">
        <v>422</v>
      </c>
      <c r="AB71" s="324">
        <v>0</v>
      </c>
      <c r="AC71" s="326">
        <v>46238</v>
      </c>
      <c r="AD71" s="326">
        <v>46244</v>
      </c>
      <c r="AE71" s="327" t="s">
        <v>40</v>
      </c>
      <c r="AF71" s="327" t="s">
        <v>422</v>
      </c>
      <c r="AG71" s="328">
        <v>0</v>
      </c>
      <c r="AH71" s="330">
        <v>46231</v>
      </c>
      <c r="AI71" s="330">
        <v>46233</v>
      </c>
      <c r="AJ71" s="331" t="s">
        <v>165</v>
      </c>
      <c r="AK71" s="331" t="s">
        <v>422</v>
      </c>
      <c r="AL71" s="332">
        <v>0</v>
      </c>
      <c r="AM71" s="311">
        <v>46332</v>
      </c>
      <c r="AN71" s="311">
        <v>46338</v>
      </c>
      <c r="AO71" s="310" t="s">
        <v>40</v>
      </c>
      <c r="AP71" s="472">
        <v>0</v>
      </c>
      <c r="AQ71" s="301"/>
    </row>
    <row r="72" spans="1:43">
      <c r="A72" s="306" t="s">
        <v>437</v>
      </c>
      <c r="B72" s="305" t="s">
        <v>513</v>
      </c>
      <c r="C72" s="305">
        <v>1</v>
      </c>
      <c r="D72" s="380">
        <v>46190</v>
      </c>
      <c r="E72" s="380">
        <v>46195</v>
      </c>
      <c r="F72" s="308" t="s">
        <v>40</v>
      </c>
      <c r="G72" s="460">
        <v>41027200</v>
      </c>
      <c r="H72" s="381">
        <v>0.5</v>
      </c>
      <c r="I72" s="311">
        <v>46203</v>
      </c>
      <c r="J72" s="311">
        <v>46208</v>
      </c>
      <c r="K72" s="310" t="s">
        <v>40</v>
      </c>
      <c r="L72" s="310" t="s">
        <v>422</v>
      </c>
      <c r="M72" s="312">
        <v>0</v>
      </c>
      <c r="N72" s="314">
        <v>46203</v>
      </c>
      <c r="O72" s="314">
        <v>46208</v>
      </c>
      <c r="P72" s="315" t="s">
        <v>40</v>
      </c>
      <c r="Q72" s="315" t="s">
        <v>422</v>
      </c>
      <c r="R72" s="316">
        <v>0</v>
      </c>
      <c r="S72" s="318">
        <v>46222</v>
      </c>
      <c r="T72" s="318">
        <v>46227</v>
      </c>
      <c r="U72" s="319" t="s">
        <v>40</v>
      </c>
      <c r="V72" s="319" t="s">
        <v>422</v>
      </c>
      <c r="W72" s="320">
        <v>0</v>
      </c>
      <c r="X72" s="322">
        <v>46235</v>
      </c>
      <c r="Y72" s="322">
        <v>46237</v>
      </c>
      <c r="Z72" s="323" t="s">
        <v>40</v>
      </c>
      <c r="AA72" s="323" t="s">
        <v>422</v>
      </c>
      <c r="AB72" s="324">
        <v>0</v>
      </c>
      <c r="AC72" s="326">
        <v>46238</v>
      </c>
      <c r="AD72" s="326">
        <v>46244</v>
      </c>
      <c r="AE72" s="327" t="s">
        <v>40</v>
      </c>
      <c r="AF72" s="327" t="s">
        <v>422</v>
      </c>
      <c r="AG72" s="328">
        <v>0</v>
      </c>
      <c r="AH72" s="330">
        <v>46231</v>
      </c>
      <c r="AI72" s="330">
        <v>46233</v>
      </c>
      <c r="AJ72" s="331" t="s">
        <v>165</v>
      </c>
      <c r="AK72" s="331" t="s">
        <v>422</v>
      </c>
      <c r="AL72" s="332">
        <v>0</v>
      </c>
      <c r="AM72" s="311">
        <v>46332</v>
      </c>
      <c r="AN72" s="311">
        <v>46338</v>
      </c>
      <c r="AO72" s="310" t="s">
        <v>40</v>
      </c>
      <c r="AP72" s="472">
        <v>0</v>
      </c>
      <c r="AQ72" s="301"/>
    </row>
    <row r="73" spans="1:43">
      <c r="A73" s="306" t="s">
        <v>437</v>
      </c>
      <c r="B73" s="305" t="s">
        <v>514</v>
      </c>
      <c r="C73" s="305">
        <v>1</v>
      </c>
      <c r="D73" s="380">
        <v>46190</v>
      </c>
      <c r="E73" s="380">
        <v>46195</v>
      </c>
      <c r="F73" s="308" t="s">
        <v>34</v>
      </c>
      <c r="G73" s="308" t="s">
        <v>34</v>
      </c>
      <c r="H73" s="381">
        <v>1</v>
      </c>
      <c r="I73" s="311">
        <v>46203</v>
      </c>
      <c r="J73" s="311">
        <v>46208</v>
      </c>
      <c r="K73" s="310" t="s">
        <v>34</v>
      </c>
      <c r="L73" s="310" t="s">
        <v>34</v>
      </c>
      <c r="M73" s="312">
        <v>0.75</v>
      </c>
      <c r="N73" s="314">
        <v>46203</v>
      </c>
      <c r="O73" s="314">
        <v>46208</v>
      </c>
      <c r="P73" s="315" t="s">
        <v>232</v>
      </c>
      <c r="Q73" s="315" t="s">
        <v>232</v>
      </c>
      <c r="R73" s="316">
        <v>0.9</v>
      </c>
      <c r="S73" s="318">
        <v>46222</v>
      </c>
      <c r="T73" s="318">
        <v>46227</v>
      </c>
      <c r="U73" s="319" t="s">
        <v>40</v>
      </c>
      <c r="V73" s="319" t="s">
        <v>479</v>
      </c>
      <c r="W73" s="320">
        <v>0</v>
      </c>
      <c r="X73" s="322">
        <v>46235</v>
      </c>
      <c r="Y73" s="322">
        <v>46237</v>
      </c>
      <c r="Z73" s="323" t="s">
        <v>232</v>
      </c>
      <c r="AA73" s="323" t="s">
        <v>422</v>
      </c>
      <c r="AB73" s="324">
        <v>0.9</v>
      </c>
      <c r="AC73" s="326">
        <v>46238</v>
      </c>
      <c r="AD73" s="326">
        <v>46244</v>
      </c>
      <c r="AE73" s="327" t="s">
        <v>40</v>
      </c>
      <c r="AF73" s="327" t="s">
        <v>422</v>
      </c>
      <c r="AG73" s="328">
        <v>0.9</v>
      </c>
      <c r="AH73" s="330">
        <v>46231</v>
      </c>
      <c r="AI73" s="330">
        <v>46233</v>
      </c>
      <c r="AJ73" s="331" t="s">
        <v>165</v>
      </c>
      <c r="AK73" s="331" t="s">
        <v>422</v>
      </c>
      <c r="AL73" s="332">
        <v>0</v>
      </c>
      <c r="AM73" s="311">
        <v>46332</v>
      </c>
      <c r="AN73" s="311">
        <v>46338</v>
      </c>
      <c r="AO73" s="310" t="s">
        <v>40</v>
      </c>
      <c r="AP73" s="472">
        <v>0</v>
      </c>
      <c r="AQ73" s="301"/>
    </row>
    <row r="74" spans="1:43">
      <c r="A74" s="306" t="s">
        <v>437</v>
      </c>
      <c r="B74" s="305" t="s">
        <v>515</v>
      </c>
      <c r="C74" s="305">
        <v>1</v>
      </c>
      <c r="D74" s="380">
        <v>46190</v>
      </c>
      <c r="E74" s="380">
        <v>46195</v>
      </c>
      <c r="F74" s="308" t="s">
        <v>34</v>
      </c>
      <c r="G74" s="308" t="s">
        <v>34</v>
      </c>
      <c r="H74" s="381">
        <v>1</v>
      </c>
      <c r="I74" s="311">
        <v>46203</v>
      </c>
      <c r="J74" s="311">
        <v>46208</v>
      </c>
      <c r="K74" s="310" t="s">
        <v>34</v>
      </c>
      <c r="L74" s="310" t="s">
        <v>516</v>
      </c>
      <c r="M74" s="312">
        <v>0.5</v>
      </c>
      <c r="N74" s="314">
        <v>46203</v>
      </c>
      <c r="O74" s="314">
        <v>46208</v>
      </c>
      <c r="P74" s="315" t="s">
        <v>40</v>
      </c>
      <c r="Q74" s="315" t="s">
        <v>446</v>
      </c>
      <c r="R74" s="316">
        <v>0</v>
      </c>
      <c r="S74" s="318">
        <v>46222</v>
      </c>
      <c r="T74" s="318">
        <v>46227</v>
      </c>
      <c r="U74" s="319" t="s">
        <v>40</v>
      </c>
      <c r="V74" s="319" t="s">
        <v>479</v>
      </c>
      <c r="W74" s="320">
        <v>0</v>
      </c>
      <c r="X74" s="322">
        <v>46235</v>
      </c>
      <c r="Y74" s="322">
        <v>46237</v>
      </c>
      <c r="Z74" s="323" t="s">
        <v>40</v>
      </c>
      <c r="AA74" s="323" t="s">
        <v>422</v>
      </c>
      <c r="AB74" s="324">
        <v>0</v>
      </c>
      <c r="AC74" s="326">
        <v>46238</v>
      </c>
      <c r="AD74" s="326">
        <v>46244</v>
      </c>
      <c r="AE74" s="327" t="s">
        <v>40</v>
      </c>
      <c r="AF74" s="327" t="s">
        <v>422</v>
      </c>
      <c r="AG74" s="328">
        <v>0</v>
      </c>
      <c r="AH74" s="330">
        <v>46231</v>
      </c>
      <c r="AI74" s="330">
        <v>46233</v>
      </c>
      <c r="AJ74" s="331" t="s">
        <v>165</v>
      </c>
      <c r="AK74" s="331" t="s">
        <v>422</v>
      </c>
      <c r="AL74" s="332">
        <v>0</v>
      </c>
      <c r="AM74" s="311">
        <v>46332</v>
      </c>
      <c r="AN74" s="311">
        <v>46338</v>
      </c>
      <c r="AO74" s="310" t="s">
        <v>40</v>
      </c>
      <c r="AP74" s="472">
        <v>0</v>
      </c>
      <c r="AQ74" s="301"/>
    </row>
    <row r="75" spans="1:43">
      <c r="A75" s="306" t="s">
        <v>437</v>
      </c>
      <c r="B75" s="305" t="s">
        <v>517</v>
      </c>
      <c r="C75" s="305">
        <v>1</v>
      </c>
      <c r="D75" s="380">
        <v>46190</v>
      </c>
      <c r="E75" s="380">
        <v>46195</v>
      </c>
      <c r="F75" s="308" t="s">
        <v>34</v>
      </c>
      <c r="G75" s="308" t="s">
        <v>34</v>
      </c>
      <c r="H75" s="381">
        <v>1</v>
      </c>
      <c r="I75" s="311">
        <v>46203</v>
      </c>
      <c r="J75" s="311">
        <v>46208</v>
      </c>
      <c r="K75" s="310" t="s">
        <v>34</v>
      </c>
      <c r="L75" s="310" t="s">
        <v>34</v>
      </c>
      <c r="M75" s="312">
        <v>1</v>
      </c>
      <c r="N75" s="314">
        <v>46203</v>
      </c>
      <c r="O75" s="314">
        <v>46208</v>
      </c>
      <c r="P75" s="315" t="s">
        <v>40</v>
      </c>
      <c r="Q75" s="315" t="s">
        <v>446</v>
      </c>
      <c r="R75" s="316">
        <v>1</v>
      </c>
      <c r="S75" s="318">
        <v>46222</v>
      </c>
      <c r="T75" s="318">
        <v>46227</v>
      </c>
      <c r="U75" s="319" t="s">
        <v>34</v>
      </c>
      <c r="V75" s="319" t="s">
        <v>478</v>
      </c>
      <c r="W75" s="320">
        <v>1</v>
      </c>
      <c r="X75" s="322">
        <v>46235</v>
      </c>
      <c r="Y75" s="322">
        <v>46237</v>
      </c>
      <c r="Z75" s="323" t="s">
        <v>40</v>
      </c>
      <c r="AA75" s="323" t="s">
        <v>479</v>
      </c>
      <c r="AB75" s="324">
        <v>0</v>
      </c>
      <c r="AC75" s="326">
        <v>46238</v>
      </c>
      <c r="AD75" s="326">
        <v>46244</v>
      </c>
      <c r="AE75" s="327" t="s">
        <v>40</v>
      </c>
      <c r="AF75" s="327" t="s">
        <v>480</v>
      </c>
      <c r="AG75" s="328">
        <v>0</v>
      </c>
      <c r="AH75" s="330">
        <v>46231</v>
      </c>
      <c r="AI75" s="330">
        <v>46233</v>
      </c>
      <c r="AJ75" s="331" t="s">
        <v>165</v>
      </c>
      <c r="AK75" s="331" t="s">
        <v>422</v>
      </c>
      <c r="AL75" s="332">
        <v>0</v>
      </c>
      <c r="AM75" s="311">
        <v>46332</v>
      </c>
      <c r="AN75" s="311">
        <v>46338</v>
      </c>
      <c r="AO75" s="310" t="s">
        <v>40</v>
      </c>
      <c r="AP75" s="472">
        <v>0</v>
      </c>
      <c r="AQ75" s="301"/>
    </row>
    <row r="76" spans="1:43">
      <c r="A76" s="306" t="s">
        <v>437</v>
      </c>
      <c r="B76" s="305" t="s">
        <v>518</v>
      </c>
      <c r="C76" s="305">
        <v>1</v>
      </c>
      <c r="D76" s="380">
        <v>46190</v>
      </c>
      <c r="E76" s="380">
        <v>46195</v>
      </c>
      <c r="F76" s="308" t="s">
        <v>34</v>
      </c>
      <c r="G76" s="308" t="s">
        <v>34</v>
      </c>
      <c r="H76" s="381">
        <v>1</v>
      </c>
      <c r="I76" s="311">
        <v>46203</v>
      </c>
      <c r="J76" s="311">
        <v>46208</v>
      </c>
      <c r="K76" s="310" t="s">
        <v>34</v>
      </c>
      <c r="L76" s="310" t="s">
        <v>34</v>
      </c>
      <c r="M76" s="312">
        <v>1</v>
      </c>
      <c r="N76" s="314">
        <v>46203</v>
      </c>
      <c r="O76" s="314">
        <v>46208</v>
      </c>
      <c r="P76" s="315" t="s">
        <v>40</v>
      </c>
      <c r="Q76" s="315" t="s">
        <v>446</v>
      </c>
      <c r="R76" s="316">
        <v>1</v>
      </c>
      <c r="S76" s="318">
        <v>46222</v>
      </c>
      <c r="T76" s="318">
        <v>46227</v>
      </c>
      <c r="U76" s="319" t="s">
        <v>34</v>
      </c>
      <c r="V76" s="319" t="s">
        <v>478</v>
      </c>
      <c r="W76" s="320">
        <v>1</v>
      </c>
      <c r="X76" s="322">
        <v>46235</v>
      </c>
      <c r="Y76" s="322">
        <v>46237</v>
      </c>
      <c r="Z76" s="323" t="s">
        <v>40</v>
      </c>
      <c r="AA76" s="323" t="s">
        <v>479</v>
      </c>
      <c r="AB76" s="324">
        <v>0</v>
      </c>
      <c r="AC76" s="326">
        <v>46238</v>
      </c>
      <c r="AD76" s="326">
        <v>46244</v>
      </c>
      <c r="AE76" s="327" t="s">
        <v>40</v>
      </c>
      <c r="AF76" s="327" t="s">
        <v>480</v>
      </c>
      <c r="AG76" s="328">
        <v>0</v>
      </c>
      <c r="AH76" s="330">
        <v>46231</v>
      </c>
      <c r="AI76" s="330">
        <v>46233</v>
      </c>
      <c r="AJ76" s="331" t="s">
        <v>165</v>
      </c>
      <c r="AK76" s="331" t="s">
        <v>422</v>
      </c>
      <c r="AL76" s="332">
        <v>0</v>
      </c>
      <c r="AM76" s="311">
        <v>46332</v>
      </c>
      <c r="AN76" s="311">
        <v>46338</v>
      </c>
      <c r="AO76" s="310" t="s">
        <v>40</v>
      </c>
      <c r="AP76" s="472">
        <v>0</v>
      </c>
      <c r="AQ76" s="301"/>
    </row>
    <row r="77" spans="1:43">
      <c r="A77" s="306" t="s">
        <v>437</v>
      </c>
      <c r="B77" s="305" t="s">
        <v>519</v>
      </c>
      <c r="C77" s="305">
        <v>1</v>
      </c>
      <c r="D77" s="380">
        <v>46190</v>
      </c>
      <c r="E77" s="380">
        <v>46195</v>
      </c>
      <c r="F77" s="308" t="s">
        <v>34</v>
      </c>
      <c r="G77" s="308" t="s">
        <v>34</v>
      </c>
      <c r="H77" s="381">
        <v>1</v>
      </c>
      <c r="I77" s="311">
        <v>46203</v>
      </c>
      <c r="J77" s="311">
        <v>46208</v>
      </c>
      <c r="K77" s="310" t="s">
        <v>34</v>
      </c>
      <c r="L77" s="310" t="s">
        <v>34</v>
      </c>
      <c r="M77" s="312">
        <v>1</v>
      </c>
      <c r="N77" s="314">
        <v>46203</v>
      </c>
      <c r="O77" s="314">
        <v>46208</v>
      </c>
      <c r="P77" s="315" t="s">
        <v>40</v>
      </c>
      <c r="Q77" s="315" t="s">
        <v>446</v>
      </c>
      <c r="R77" s="316">
        <v>0</v>
      </c>
      <c r="S77" s="318">
        <v>46222</v>
      </c>
      <c r="T77" s="318">
        <v>46227</v>
      </c>
      <c r="U77" s="319" t="s">
        <v>40</v>
      </c>
      <c r="V77" s="319" t="s">
        <v>479</v>
      </c>
      <c r="W77" s="320">
        <v>0</v>
      </c>
      <c r="X77" s="322">
        <v>46235</v>
      </c>
      <c r="Y77" s="322">
        <v>46237</v>
      </c>
      <c r="Z77" s="323" t="s">
        <v>40</v>
      </c>
      <c r="AA77" s="323" t="s">
        <v>422</v>
      </c>
      <c r="AB77" s="324">
        <v>0</v>
      </c>
      <c r="AC77" s="326">
        <v>46238</v>
      </c>
      <c r="AD77" s="326">
        <v>46244</v>
      </c>
      <c r="AE77" s="327" t="s">
        <v>40</v>
      </c>
      <c r="AF77" s="327" t="s">
        <v>422</v>
      </c>
      <c r="AG77" s="328">
        <v>0</v>
      </c>
      <c r="AH77" s="330">
        <v>46231</v>
      </c>
      <c r="AI77" s="330">
        <v>46233</v>
      </c>
      <c r="AJ77" s="331" t="s">
        <v>165</v>
      </c>
      <c r="AK77" s="331" t="s">
        <v>422</v>
      </c>
      <c r="AL77" s="332">
        <v>0</v>
      </c>
      <c r="AM77" s="311">
        <v>46332</v>
      </c>
      <c r="AN77" s="311">
        <v>46338</v>
      </c>
      <c r="AO77" s="310" t="s">
        <v>40</v>
      </c>
      <c r="AP77" s="472">
        <v>0</v>
      </c>
      <c r="AQ77" s="301"/>
    </row>
    <row r="78" spans="1:43">
      <c r="A78" s="306" t="s">
        <v>437</v>
      </c>
      <c r="B78" s="305" t="s">
        <v>520</v>
      </c>
      <c r="C78" s="305">
        <v>1</v>
      </c>
      <c r="D78" s="380">
        <v>46190</v>
      </c>
      <c r="E78" s="380">
        <v>46195</v>
      </c>
      <c r="F78" s="308" t="s">
        <v>34</v>
      </c>
      <c r="G78" s="460" t="s">
        <v>521</v>
      </c>
      <c r="H78" s="381">
        <v>1</v>
      </c>
      <c r="I78" s="311">
        <v>46203</v>
      </c>
      <c r="J78" s="311">
        <v>46208</v>
      </c>
      <c r="K78" s="310" t="s">
        <v>34</v>
      </c>
      <c r="L78" s="310" t="s">
        <v>34</v>
      </c>
      <c r="M78" s="312">
        <v>1</v>
      </c>
      <c r="N78" s="314">
        <v>46203</v>
      </c>
      <c r="O78" s="314">
        <v>46208</v>
      </c>
      <c r="P78" s="315" t="s">
        <v>40</v>
      </c>
      <c r="Q78" s="315" t="s">
        <v>446</v>
      </c>
      <c r="R78" s="316">
        <v>0</v>
      </c>
      <c r="S78" s="318">
        <v>46222</v>
      </c>
      <c r="T78" s="318">
        <v>46227</v>
      </c>
      <c r="U78" s="319" t="s">
        <v>40</v>
      </c>
      <c r="V78" s="319" t="s">
        <v>479</v>
      </c>
      <c r="W78" s="320">
        <v>0</v>
      </c>
      <c r="X78" s="322">
        <v>46235</v>
      </c>
      <c r="Y78" s="322">
        <v>46237</v>
      </c>
      <c r="Z78" s="323" t="s">
        <v>40</v>
      </c>
      <c r="AA78" s="323" t="s">
        <v>422</v>
      </c>
      <c r="AB78" s="324">
        <v>0</v>
      </c>
      <c r="AC78" s="326">
        <v>46238</v>
      </c>
      <c r="AD78" s="326">
        <v>46244</v>
      </c>
      <c r="AE78" s="327" t="s">
        <v>40</v>
      </c>
      <c r="AF78" s="327" t="s">
        <v>422</v>
      </c>
      <c r="AG78" s="328">
        <v>0</v>
      </c>
      <c r="AH78" s="330">
        <v>46231</v>
      </c>
      <c r="AI78" s="330">
        <v>46233</v>
      </c>
      <c r="AJ78" s="331" t="s">
        <v>165</v>
      </c>
      <c r="AK78" s="331" t="s">
        <v>422</v>
      </c>
      <c r="AL78" s="332">
        <v>0</v>
      </c>
      <c r="AM78" s="311">
        <v>46332</v>
      </c>
      <c r="AN78" s="311">
        <v>46338</v>
      </c>
      <c r="AO78" s="310" t="s">
        <v>40</v>
      </c>
      <c r="AP78" s="472">
        <v>0</v>
      </c>
      <c r="AQ78" s="301"/>
    </row>
    <row r="79" spans="1:43">
      <c r="A79" s="306" t="s">
        <v>437</v>
      </c>
      <c r="B79" s="305" t="s">
        <v>522</v>
      </c>
      <c r="C79" s="305">
        <v>1</v>
      </c>
      <c r="D79" s="380">
        <v>46190</v>
      </c>
      <c r="E79" s="380">
        <v>46195</v>
      </c>
      <c r="F79" s="308" t="s">
        <v>34</v>
      </c>
      <c r="G79" s="308" t="s">
        <v>34</v>
      </c>
      <c r="H79" s="381">
        <v>1</v>
      </c>
      <c r="I79" s="311">
        <v>46203</v>
      </c>
      <c r="J79" s="311">
        <v>46208</v>
      </c>
      <c r="K79" s="310" t="s">
        <v>34</v>
      </c>
      <c r="L79" s="310" t="s">
        <v>34</v>
      </c>
      <c r="M79" s="312">
        <v>0.9</v>
      </c>
      <c r="N79" s="314">
        <v>46203</v>
      </c>
      <c r="O79" s="314">
        <v>46208</v>
      </c>
      <c r="P79" s="315" t="s">
        <v>232</v>
      </c>
      <c r="Q79" s="315" t="s">
        <v>232</v>
      </c>
      <c r="R79" s="316">
        <v>0.9</v>
      </c>
      <c r="S79" s="318">
        <v>46222</v>
      </c>
      <c r="T79" s="318">
        <v>46227</v>
      </c>
      <c r="U79" s="319" t="s">
        <v>232</v>
      </c>
      <c r="V79" s="319" t="s">
        <v>448</v>
      </c>
      <c r="W79" s="320">
        <v>0.9</v>
      </c>
      <c r="X79" s="322">
        <v>46235</v>
      </c>
      <c r="Y79" s="322">
        <v>46237</v>
      </c>
      <c r="Z79" s="323" t="s">
        <v>232</v>
      </c>
      <c r="AA79" s="323" t="s">
        <v>422</v>
      </c>
      <c r="AB79" s="324">
        <v>0.9</v>
      </c>
      <c r="AC79" s="326">
        <v>46238</v>
      </c>
      <c r="AD79" s="326">
        <v>46244</v>
      </c>
      <c r="AE79" s="327" t="s">
        <v>232</v>
      </c>
      <c r="AF79" s="327" t="s">
        <v>422</v>
      </c>
      <c r="AG79" s="328">
        <v>0.9</v>
      </c>
      <c r="AH79" s="330">
        <v>46231</v>
      </c>
      <c r="AI79" s="330">
        <v>46233</v>
      </c>
      <c r="AJ79" s="331" t="s">
        <v>165</v>
      </c>
      <c r="AK79" s="331" t="s">
        <v>422</v>
      </c>
      <c r="AL79" s="332">
        <v>0</v>
      </c>
      <c r="AM79" s="311">
        <v>46332</v>
      </c>
      <c r="AN79" s="311">
        <v>46338</v>
      </c>
      <c r="AO79" s="310" t="s">
        <v>40</v>
      </c>
      <c r="AP79" s="472">
        <v>0</v>
      </c>
      <c r="AQ79" s="301"/>
    </row>
    <row r="80" spans="1:43">
      <c r="A80" s="306" t="s">
        <v>437</v>
      </c>
      <c r="B80" s="305" t="s">
        <v>523</v>
      </c>
      <c r="C80" s="305">
        <v>1</v>
      </c>
      <c r="D80" s="380">
        <v>46190</v>
      </c>
      <c r="E80" s="380">
        <v>46195</v>
      </c>
      <c r="F80" s="308" t="s">
        <v>34</v>
      </c>
      <c r="G80" s="460" t="s">
        <v>524</v>
      </c>
      <c r="H80" s="381">
        <v>0.95</v>
      </c>
      <c r="I80" s="311">
        <v>46203</v>
      </c>
      <c r="J80" s="311">
        <v>46208</v>
      </c>
      <c r="K80" s="310" t="s">
        <v>34</v>
      </c>
      <c r="L80" s="310" t="s">
        <v>34</v>
      </c>
      <c r="M80" s="312">
        <v>0.9</v>
      </c>
      <c r="N80" s="314">
        <v>46203</v>
      </c>
      <c r="O80" s="314">
        <v>46208</v>
      </c>
      <c r="P80" s="315" t="s">
        <v>232</v>
      </c>
      <c r="Q80" s="315" t="s">
        <v>232</v>
      </c>
      <c r="R80" s="316">
        <v>0.9</v>
      </c>
      <c r="S80" s="318">
        <v>46222</v>
      </c>
      <c r="T80" s="318">
        <v>46227</v>
      </c>
      <c r="U80" s="319" t="s">
        <v>40</v>
      </c>
      <c r="V80" s="319" t="s">
        <v>479</v>
      </c>
      <c r="W80" s="320">
        <v>0</v>
      </c>
      <c r="X80" s="322">
        <v>46235</v>
      </c>
      <c r="Y80" s="322">
        <v>46237</v>
      </c>
      <c r="Z80" s="323" t="s">
        <v>232</v>
      </c>
      <c r="AA80" s="323" t="s">
        <v>422</v>
      </c>
      <c r="AB80" s="324">
        <v>0.8</v>
      </c>
      <c r="AC80" s="326">
        <v>46238</v>
      </c>
      <c r="AD80" s="326">
        <v>46244</v>
      </c>
      <c r="AE80" s="327" t="s">
        <v>40</v>
      </c>
      <c r="AF80" s="327" t="s">
        <v>422</v>
      </c>
      <c r="AG80" s="328">
        <v>0.9</v>
      </c>
      <c r="AH80" s="330">
        <v>46231</v>
      </c>
      <c r="AI80" s="330">
        <v>46233</v>
      </c>
      <c r="AJ80" s="331" t="s">
        <v>165</v>
      </c>
      <c r="AK80" s="331" t="s">
        <v>422</v>
      </c>
      <c r="AL80" s="332">
        <v>0</v>
      </c>
      <c r="AM80" s="311">
        <v>46332</v>
      </c>
      <c r="AN80" s="311">
        <v>46338</v>
      </c>
      <c r="AO80" s="310" t="s">
        <v>40</v>
      </c>
      <c r="AP80" s="472">
        <v>0</v>
      </c>
      <c r="AQ80" s="301"/>
    </row>
    <row r="81" spans="1:43">
      <c r="A81" s="306" t="s">
        <v>437</v>
      </c>
      <c r="B81" s="305" t="s">
        <v>525</v>
      </c>
      <c r="C81" s="305">
        <v>1</v>
      </c>
      <c r="D81" s="380">
        <v>46190</v>
      </c>
      <c r="E81" s="380">
        <v>46195</v>
      </c>
      <c r="F81" s="308" t="s">
        <v>34</v>
      </c>
      <c r="G81" s="461" t="s">
        <v>526</v>
      </c>
      <c r="H81" s="381">
        <v>1</v>
      </c>
      <c r="I81" s="311">
        <v>46203</v>
      </c>
      <c r="J81" s="311">
        <v>46208</v>
      </c>
      <c r="K81" s="310" t="s">
        <v>34</v>
      </c>
      <c r="L81" s="310" t="s">
        <v>34</v>
      </c>
      <c r="M81" s="312">
        <v>1</v>
      </c>
      <c r="N81" s="314">
        <v>46203</v>
      </c>
      <c r="O81" s="314">
        <v>46208</v>
      </c>
      <c r="P81" s="315" t="s">
        <v>40</v>
      </c>
      <c r="Q81" s="315" t="s">
        <v>446</v>
      </c>
      <c r="R81" s="316">
        <v>0</v>
      </c>
      <c r="S81" s="318">
        <v>46222</v>
      </c>
      <c r="T81" s="318">
        <v>46227</v>
      </c>
      <c r="U81" s="319" t="s">
        <v>40</v>
      </c>
      <c r="V81" s="319" t="s">
        <v>479</v>
      </c>
      <c r="W81" s="320">
        <v>0</v>
      </c>
      <c r="X81" s="322">
        <v>46235</v>
      </c>
      <c r="Y81" s="322">
        <v>46237</v>
      </c>
      <c r="Z81" s="323" t="s">
        <v>40</v>
      </c>
      <c r="AA81" s="323" t="s">
        <v>422</v>
      </c>
      <c r="AB81" s="324">
        <v>0</v>
      </c>
      <c r="AC81" s="326">
        <v>46238</v>
      </c>
      <c r="AD81" s="326">
        <v>46244</v>
      </c>
      <c r="AE81" s="327" t="s">
        <v>40</v>
      </c>
      <c r="AF81" s="327" t="s">
        <v>422</v>
      </c>
      <c r="AG81" s="328">
        <v>0</v>
      </c>
      <c r="AH81" s="330">
        <v>46231</v>
      </c>
      <c r="AI81" s="330">
        <v>46233</v>
      </c>
      <c r="AJ81" s="331" t="s">
        <v>165</v>
      </c>
      <c r="AK81" s="331" t="s">
        <v>422</v>
      </c>
      <c r="AL81" s="332">
        <v>0</v>
      </c>
      <c r="AM81" s="311">
        <v>46332</v>
      </c>
      <c r="AN81" s="311">
        <v>46338</v>
      </c>
      <c r="AO81" s="310" t="s">
        <v>40</v>
      </c>
      <c r="AP81" s="472">
        <v>0</v>
      </c>
      <c r="AQ81" s="301"/>
    </row>
    <row r="82" spans="1:43">
      <c r="A82" s="306"/>
      <c r="B82" s="305"/>
      <c r="C82" s="305"/>
      <c r="D82" s="380"/>
      <c r="E82" s="380"/>
      <c r="F82" s="308"/>
      <c r="G82" s="461" t="s">
        <v>527</v>
      </c>
      <c r="H82" s="381"/>
      <c r="I82" s="311"/>
      <c r="J82" s="311"/>
      <c r="K82" s="310"/>
      <c r="L82" s="310"/>
      <c r="M82" s="312"/>
      <c r="N82" s="314"/>
      <c r="O82" s="314"/>
      <c r="P82" s="315"/>
      <c r="Q82" s="315"/>
      <c r="R82" s="316"/>
      <c r="S82" s="318"/>
      <c r="T82" s="318"/>
      <c r="U82" s="319"/>
      <c r="V82" s="319"/>
      <c r="W82" s="320"/>
      <c r="X82" s="322"/>
      <c r="Y82" s="322"/>
      <c r="Z82" s="323"/>
      <c r="AA82" s="323"/>
      <c r="AB82" s="324"/>
      <c r="AC82" s="326"/>
      <c r="AD82" s="326"/>
      <c r="AE82" s="327"/>
      <c r="AF82" s="327"/>
      <c r="AG82" s="328"/>
      <c r="AH82" s="330"/>
      <c r="AI82" s="330"/>
      <c r="AJ82" s="331"/>
      <c r="AK82" s="331"/>
      <c r="AL82" s="332"/>
      <c r="AM82" s="311"/>
      <c r="AN82" s="311"/>
      <c r="AO82" s="310"/>
      <c r="AP82" s="472"/>
      <c r="AQ82" s="301"/>
    </row>
    <row r="83" spans="1:43">
      <c r="A83" s="306" t="s">
        <v>437</v>
      </c>
      <c r="B83" s="305" t="s">
        <v>528</v>
      </c>
      <c r="C83" s="305">
        <v>1</v>
      </c>
      <c r="D83" s="380">
        <v>46190</v>
      </c>
      <c r="E83" s="380">
        <v>46195</v>
      </c>
      <c r="F83" s="308" t="s">
        <v>34</v>
      </c>
      <c r="G83" s="460" t="s">
        <v>529</v>
      </c>
      <c r="H83" s="381">
        <v>0.7</v>
      </c>
      <c r="I83" s="311">
        <v>46203</v>
      </c>
      <c r="J83" s="311">
        <v>46208</v>
      </c>
      <c r="K83" s="310" t="s">
        <v>34</v>
      </c>
      <c r="L83" s="310" t="s">
        <v>34</v>
      </c>
      <c r="M83" s="312">
        <v>1</v>
      </c>
      <c r="N83" s="314">
        <v>46203</v>
      </c>
      <c r="O83" s="314">
        <v>46208</v>
      </c>
      <c r="P83" s="315" t="s">
        <v>40</v>
      </c>
      <c r="Q83" s="315" t="s">
        <v>446</v>
      </c>
      <c r="R83" s="316">
        <v>0</v>
      </c>
      <c r="S83" s="318">
        <v>46222</v>
      </c>
      <c r="T83" s="318">
        <v>46227</v>
      </c>
      <c r="U83" s="319" t="s">
        <v>40</v>
      </c>
      <c r="V83" s="319" t="s">
        <v>479</v>
      </c>
      <c r="W83" s="320">
        <v>0</v>
      </c>
      <c r="X83" s="322">
        <v>46235</v>
      </c>
      <c r="Y83" s="322">
        <v>46237</v>
      </c>
      <c r="Z83" s="323" t="s">
        <v>40</v>
      </c>
      <c r="AA83" s="323" t="s">
        <v>422</v>
      </c>
      <c r="AB83" s="324">
        <v>0</v>
      </c>
      <c r="AC83" s="326">
        <v>46238</v>
      </c>
      <c r="AD83" s="326">
        <v>46244</v>
      </c>
      <c r="AE83" s="327" t="s">
        <v>40</v>
      </c>
      <c r="AF83" s="327" t="s">
        <v>422</v>
      </c>
      <c r="AG83" s="328">
        <v>0</v>
      </c>
      <c r="AH83" s="330">
        <v>46231</v>
      </c>
      <c r="AI83" s="330">
        <v>46233</v>
      </c>
      <c r="AJ83" s="331" t="s">
        <v>165</v>
      </c>
      <c r="AK83" s="331" t="s">
        <v>422</v>
      </c>
      <c r="AL83" s="332">
        <v>0</v>
      </c>
      <c r="AM83" s="311">
        <v>46332</v>
      </c>
      <c r="AN83" s="311">
        <v>46338</v>
      </c>
      <c r="AO83" s="310" t="s">
        <v>40</v>
      </c>
      <c r="AP83" s="472">
        <v>0</v>
      </c>
      <c r="AQ83" s="301"/>
    </row>
    <row r="84" spans="1:43">
      <c r="A84" s="306"/>
      <c r="B84" s="305"/>
      <c r="C84" s="305"/>
      <c r="D84" s="380"/>
      <c r="E84" s="380"/>
      <c r="F84" s="308"/>
      <c r="G84" s="460" t="s">
        <v>530</v>
      </c>
      <c r="H84" s="381"/>
      <c r="I84" s="311"/>
      <c r="J84" s="311"/>
      <c r="K84" s="310"/>
      <c r="L84" s="310"/>
      <c r="M84" s="312"/>
      <c r="N84" s="314"/>
      <c r="O84" s="314"/>
      <c r="P84" s="315"/>
      <c r="Q84" s="315"/>
      <c r="R84" s="316"/>
      <c r="S84" s="318"/>
      <c r="T84" s="318"/>
      <c r="U84" s="319"/>
      <c r="V84" s="319"/>
      <c r="W84" s="320"/>
      <c r="X84" s="322"/>
      <c r="Y84" s="322"/>
      <c r="Z84" s="323"/>
      <c r="AA84" s="323"/>
      <c r="AB84" s="324"/>
      <c r="AC84" s="326"/>
      <c r="AD84" s="326"/>
      <c r="AE84" s="327"/>
      <c r="AF84" s="327"/>
      <c r="AG84" s="328"/>
      <c r="AH84" s="330"/>
      <c r="AI84" s="330"/>
      <c r="AJ84" s="331"/>
      <c r="AK84" s="331"/>
      <c r="AL84" s="332"/>
      <c r="AM84" s="311"/>
      <c r="AN84" s="311"/>
      <c r="AO84" s="310"/>
      <c r="AP84" s="472"/>
      <c r="AQ84" s="301"/>
    </row>
    <row r="85" spans="1:43">
      <c r="A85" s="306" t="s">
        <v>437</v>
      </c>
      <c r="B85" s="305" t="s">
        <v>531</v>
      </c>
      <c r="C85" s="305">
        <v>1</v>
      </c>
      <c r="D85" s="380">
        <v>46190</v>
      </c>
      <c r="E85" s="380">
        <v>46195</v>
      </c>
      <c r="F85" s="308" t="s">
        <v>40</v>
      </c>
      <c r="G85" s="308" t="s">
        <v>422</v>
      </c>
      <c r="H85" s="381">
        <v>0</v>
      </c>
      <c r="I85" s="311">
        <v>46203</v>
      </c>
      <c r="J85" s="311">
        <v>46208</v>
      </c>
      <c r="K85" s="310" t="s">
        <v>40</v>
      </c>
      <c r="L85" s="310" t="s">
        <v>422</v>
      </c>
      <c r="M85" s="312">
        <v>0</v>
      </c>
      <c r="N85" s="314">
        <v>46203</v>
      </c>
      <c r="O85" s="314">
        <v>46208</v>
      </c>
      <c r="P85" s="315" t="s">
        <v>40</v>
      </c>
      <c r="Q85" s="315" t="s">
        <v>422</v>
      </c>
      <c r="R85" s="316">
        <v>0</v>
      </c>
      <c r="S85" s="318">
        <v>46222</v>
      </c>
      <c r="T85" s="318">
        <v>46227</v>
      </c>
      <c r="U85" s="319" t="s">
        <v>40</v>
      </c>
      <c r="V85" s="319" t="s">
        <v>422</v>
      </c>
      <c r="W85" s="320">
        <v>0</v>
      </c>
      <c r="X85" s="322">
        <v>46235</v>
      </c>
      <c r="Y85" s="322">
        <v>46237</v>
      </c>
      <c r="Z85" s="323" t="s">
        <v>40</v>
      </c>
      <c r="AA85" s="323" t="s">
        <v>422</v>
      </c>
      <c r="AB85" s="324">
        <v>0</v>
      </c>
      <c r="AC85" s="326">
        <v>46238</v>
      </c>
      <c r="AD85" s="326">
        <v>46244</v>
      </c>
      <c r="AE85" s="327" t="s">
        <v>40</v>
      </c>
      <c r="AF85" s="327" t="s">
        <v>422</v>
      </c>
      <c r="AG85" s="328">
        <v>0</v>
      </c>
      <c r="AH85" s="330">
        <v>46231</v>
      </c>
      <c r="AI85" s="330">
        <v>46233</v>
      </c>
      <c r="AJ85" s="331" t="s">
        <v>165</v>
      </c>
      <c r="AK85" s="331" t="s">
        <v>422</v>
      </c>
      <c r="AL85" s="332">
        <v>0</v>
      </c>
      <c r="AM85" s="311">
        <v>46332</v>
      </c>
      <c r="AN85" s="311">
        <v>46338</v>
      </c>
      <c r="AO85" s="310" t="s">
        <v>40</v>
      </c>
      <c r="AP85" s="472">
        <v>0</v>
      </c>
      <c r="AQ85" s="301"/>
    </row>
    <row r="86" spans="1:43">
      <c r="A86" s="306" t="s">
        <v>437</v>
      </c>
      <c r="B86" s="305" t="s">
        <v>532</v>
      </c>
      <c r="C86" s="305">
        <v>1</v>
      </c>
      <c r="D86" s="380">
        <v>46190</v>
      </c>
      <c r="E86" s="380">
        <v>46195</v>
      </c>
      <c r="F86" s="308" t="s">
        <v>40</v>
      </c>
      <c r="G86" s="308" t="s">
        <v>422</v>
      </c>
      <c r="H86" s="381">
        <v>0</v>
      </c>
      <c r="I86" s="311">
        <v>46203</v>
      </c>
      <c r="J86" s="311">
        <v>46208</v>
      </c>
      <c r="K86" s="310" t="s">
        <v>40</v>
      </c>
      <c r="L86" s="310" t="s">
        <v>422</v>
      </c>
      <c r="M86" s="312">
        <v>0</v>
      </c>
      <c r="N86" s="314">
        <v>46203</v>
      </c>
      <c r="O86" s="314">
        <v>46208</v>
      </c>
      <c r="P86" s="315" t="s">
        <v>40</v>
      </c>
      <c r="Q86" s="315" t="s">
        <v>422</v>
      </c>
      <c r="R86" s="316">
        <v>0</v>
      </c>
      <c r="S86" s="318">
        <v>46222</v>
      </c>
      <c r="T86" s="318">
        <v>46227</v>
      </c>
      <c r="U86" s="319" t="s">
        <v>40</v>
      </c>
      <c r="V86" s="319" t="s">
        <v>422</v>
      </c>
      <c r="W86" s="320">
        <v>0</v>
      </c>
      <c r="X86" s="322">
        <v>46235</v>
      </c>
      <c r="Y86" s="322">
        <v>46237</v>
      </c>
      <c r="Z86" s="323" t="s">
        <v>40</v>
      </c>
      <c r="AA86" s="323" t="s">
        <v>422</v>
      </c>
      <c r="AB86" s="324">
        <v>0</v>
      </c>
      <c r="AC86" s="326">
        <v>46238</v>
      </c>
      <c r="AD86" s="326">
        <v>46244</v>
      </c>
      <c r="AE86" s="327" t="s">
        <v>40</v>
      </c>
      <c r="AF86" s="327" t="s">
        <v>422</v>
      </c>
      <c r="AG86" s="328">
        <v>0</v>
      </c>
      <c r="AH86" s="330">
        <v>46231</v>
      </c>
      <c r="AI86" s="330">
        <v>46233</v>
      </c>
      <c r="AJ86" s="331" t="s">
        <v>165</v>
      </c>
      <c r="AK86" s="331" t="s">
        <v>422</v>
      </c>
      <c r="AL86" s="332">
        <v>0</v>
      </c>
      <c r="AM86" s="311">
        <v>46332</v>
      </c>
      <c r="AN86" s="311">
        <v>46338</v>
      </c>
      <c r="AO86" s="310" t="s">
        <v>40</v>
      </c>
      <c r="AP86" s="472">
        <v>0</v>
      </c>
      <c r="AQ86" s="301"/>
    </row>
    <row r="87" spans="1:43">
      <c r="A87" s="306" t="s">
        <v>437</v>
      </c>
      <c r="B87" s="305" t="s">
        <v>533</v>
      </c>
      <c r="C87" s="305">
        <v>1</v>
      </c>
      <c r="D87" s="380">
        <v>46190</v>
      </c>
      <c r="E87" s="380">
        <v>46195</v>
      </c>
      <c r="F87" s="308" t="s">
        <v>40</v>
      </c>
      <c r="G87" s="308" t="s">
        <v>422</v>
      </c>
      <c r="H87" s="381">
        <v>0</v>
      </c>
      <c r="I87" s="311">
        <v>46203</v>
      </c>
      <c r="J87" s="311">
        <v>46208</v>
      </c>
      <c r="K87" s="310" t="s">
        <v>40</v>
      </c>
      <c r="L87" s="310" t="s">
        <v>422</v>
      </c>
      <c r="M87" s="312">
        <v>0</v>
      </c>
      <c r="N87" s="314">
        <v>46203</v>
      </c>
      <c r="O87" s="314">
        <v>46208</v>
      </c>
      <c r="P87" s="315" t="s">
        <v>40</v>
      </c>
      <c r="Q87" s="315" t="s">
        <v>422</v>
      </c>
      <c r="R87" s="316">
        <v>0</v>
      </c>
      <c r="S87" s="318">
        <v>46222</v>
      </c>
      <c r="T87" s="318">
        <v>46227</v>
      </c>
      <c r="U87" s="319" t="s">
        <v>40</v>
      </c>
      <c r="V87" s="319" t="s">
        <v>422</v>
      </c>
      <c r="W87" s="320">
        <v>0</v>
      </c>
      <c r="X87" s="322">
        <v>46235</v>
      </c>
      <c r="Y87" s="322">
        <v>46237</v>
      </c>
      <c r="Z87" s="323" t="s">
        <v>40</v>
      </c>
      <c r="AA87" s="323" t="s">
        <v>422</v>
      </c>
      <c r="AB87" s="324">
        <v>0</v>
      </c>
      <c r="AC87" s="326">
        <v>46238</v>
      </c>
      <c r="AD87" s="326">
        <v>46244</v>
      </c>
      <c r="AE87" s="327" t="s">
        <v>40</v>
      </c>
      <c r="AF87" s="327" t="s">
        <v>422</v>
      </c>
      <c r="AG87" s="328">
        <v>0</v>
      </c>
      <c r="AH87" s="330">
        <v>46231</v>
      </c>
      <c r="AI87" s="330">
        <v>46233</v>
      </c>
      <c r="AJ87" s="331" t="s">
        <v>165</v>
      </c>
      <c r="AK87" s="331" t="s">
        <v>422</v>
      </c>
      <c r="AL87" s="332">
        <v>0</v>
      </c>
      <c r="AM87" s="311">
        <v>46332</v>
      </c>
      <c r="AN87" s="311">
        <v>46338</v>
      </c>
      <c r="AO87" s="310" t="s">
        <v>40</v>
      </c>
      <c r="AP87" s="472">
        <v>0</v>
      </c>
      <c r="AQ87" s="301"/>
    </row>
    <row r="88" spans="1:43">
      <c r="A88" s="306" t="s">
        <v>437</v>
      </c>
      <c r="B88" s="305" t="s">
        <v>534</v>
      </c>
      <c r="C88" s="305">
        <v>1</v>
      </c>
      <c r="D88" s="380">
        <v>46190</v>
      </c>
      <c r="E88" s="380">
        <v>46195</v>
      </c>
      <c r="F88" s="308" t="s">
        <v>34</v>
      </c>
      <c r="G88" s="308" t="s">
        <v>34</v>
      </c>
      <c r="H88" s="381">
        <v>1</v>
      </c>
      <c r="I88" s="311">
        <v>46203</v>
      </c>
      <c r="J88" s="311">
        <v>46208</v>
      </c>
      <c r="K88" s="310" t="s">
        <v>34</v>
      </c>
      <c r="L88" s="310" t="s">
        <v>34</v>
      </c>
      <c r="M88" s="312">
        <v>1</v>
      </c>
      <c r="N88" s="314">
        <v>46203</v>
      </c>
      <c r="O88" s="314">
        <v>46208</v>
      </c>
      <c r="P88" s="315" t="s">
        <v>40</v>
      </c>
      <c r="Q88" s="315"/>
      <c r="R88" s="316">
        <v>1</v>
      </c>
      <c r="S88" s="318">
        <v>46222</v>
      </c>
      <c r="T88" s="318">
        <v>46227</v>
      </c>
      <c r="U88" s="319" t="s">
        <v>40</v>
      </c>
      <c r="V88" s="319"/>
      <c r="W88" s="320">
        <v>0.8</v>
      </c>
      <c r="X88" s="322">
        <v>46235</v>
      </c>
      <c r="Y88" s="322">
        <v>46237</v>
      </c>
      <c r="Z88" s="323" t="s">
        <v>40</v>
      </c>
      <c r="AA88" s="323" t="s">
        <v>535</v>
      </c>
      <c r="AB88" s="324">
        <v>0</v>
      </c>
      <c r="AC88" s="326">
        <v>46238</v>
      </c>
      <c r="AD88" s="326">
        <v>46244</v>
      </c>
      <c r="AE88" s="327" t="s">
        <v>40</v>
      </c>
      <c r="AF88" s="327" t="s">
        <v>535</v>
      </c>
      <c r="AG88" s="328">
        <v>0</v>
      </c>
      <c r="AH88" s="330">
        <v>46231</v>
      </c>
      <c r="AI88" s="330">
        <v>46233</v>
      </c>
      <c r="AJ88" s="331" t="s">
        <v>165</v>
      </c>
      <c r="AK88" s="331" t="s">
        <v>422</v>
      </c>
      <c r="AL88" s="332">
        <v>0</v>
      </c>
      <c r="AM88" s="311">
        <v>46332</v>
      </c>
      <c r="AN88" s="311">
        <v>46338</v>
      </c>
      <c r="AO88" s="310" t="s">
        <v>40</v>
      </c>
      <c r="AP88" s="472">
        <v>0</v>
      </c>
      <c r="AQ88" s="301"/>
    </row>
    <row r="89" spans="1:43">
      <c r="A89" s="306" t="s">
        <v>437</v>
      </c>
      <c r="B89" s="305" t="s">
        <v>536</v>
      </c>
      <c r="C89" s="305">
        <v>1</v>
      </c>
      <c r="D89" s="380">
        <v>46190</v>
      </c>
      <c r="E89" s="380">
        <v>46195</v>
      </c>
      <c r="F89" s="308" t="s">
        <v>34</v>
      </c>
      <c r="G89" s="308" t="s">
        <v>34</v>
      </c>
      <c r="H89" s="381">
        <v>1</v>
      </c>
      <c r="I89" s="311">
        <v>46203</v>
      </c>
      <c r="J89" s="311">
        <v>46208</v>
      </c>
      <c r="K89" s="310" t="s">
        <v>34</v>
      </c>
      <c r="L89" s="310" t="s">
        <v>34</v>
      </c>
      <c r="M89" s="312">
        <v>1</v>
      </c>
      <c r="N89" s="314">
        <v>46203</v>
      </c>
      <c r="O89" s="314">
        <v>46208</v>
      </c>
      <c r="P89" s="315" t="s">
        <v>40</v>
      </c>
      <c r="Q89" s="315" t="s">
        <v>446</v>
      </c>
      <c r="R89" s="316">
        <v>0</v>
      </c>
      <c r="S89" s="318">
        <v>46222</v>
      </c>
      <c r="T89" s="318">
        <v>46227</v>
      </c>
      <c r="U89" s="319" t="s">
        <v>40</v>
      </c>
      <c r="V89" s="319"/>
      <c r="W89" s="320">
        <v>1</v>
      </c>
      <c r="X89" s="322">
        <v>46235</v>
      </c>
      <c r="Y89" s="322">
        <v>46237</v>
      </c>
      <c r="Z89" s="323" t="s">
        <v>40</v>
      </c>
      <c r="AA89" s="323"/>
      <c r="AB89" s="324">
        <v>1</v>
      </c>
      <c r="AC89" s="326">
        <v>46238</v>
      </c>
      <c r="AD89" s="326">
        <v>46244</v>
      </c>
      <c r="AE89" s="327" t="s">
        <v>40</v>
      </c>
      <c r="AF89" s="327" t="s">
        <v>535</v>
      </c>
      <c r="AG89" s="328">
        <v>0</v>
      </c>
      <c r="AH89" s="330">
        <v>46231</v>
      </c>
      <c r="AI89" s="330">
        <v>46233</v>
      </c>
      <c r="AJ89" s="331" t="s">
        <v>165</v>
      </c>
      <c r="AK89" s="331" t="s">
        <v>422</v>
      </c>
      <c r="AL89" s="332">
        <v>0</v>
      </c>
      <c r="AM89" s="311">
        <v>46332</v>
      </c>
      <c r="AN89" s="311">
        <v>46338</v>
      </c>
      <c r="AO89" s="310" t="s">
        <v>40</v>
      </c>
      <c r="AP89" s="472">
        <v>0</v>
      </c>
      <c r="AQ89" s="301"/>
    </row>
    <row r="90" spans="1:43">
      <c r="A90" s="306" t="s">
        <v>437</v>
      </c>
      <c r="B90" s="305" t="s">
        <v>537</v>
      </c>
      <c r="C90" s="305">
        <v>1</v>
      </c>
      <c r="D90" s="380">
        <v>46190</v>
      </c>
      <c r="E90" s="380">
        <v>46195</v>
      </c>
      <c r="F90" s="308" t="s">
        <v>34</v>
      </c>
      <c r="G90" s="460" t="s">
        <v>435</v>
      </c>
      <c r="H90" s="381">
        <v>1</v>
      </c>
      <c r="I90" s="311">
        <v>46203</v>
      </c>
      <c r="J90" s="311">
        <v>46208</v>
      </c>
      <c r="K90" s="310" t="s">
        <v>40</v>
      </c>
      <c r="L90" s="310" t="s">
        <v>538</v>
      </c>
      <c r="M90" s="312">
        <v>0.9</v>
      </c>
      <c r="N90" s="314">
        <v>46203</v>
      </c>
      <c r="O90" s="314">
        <v>46208</v>
      </c>
      <c r="P90" s="315" t="s">
        <v>40</v>
      </c>
      <c r="Q90" s="315" t="s">
        <v>535</v>
      </c>
      <c r="R90" s="316">
        <v>0</v>
      </c>
      <c r="S90" s="318">
        <v>46222</v>
      </c>
      <c r="T90" s="318">
        <v>46227</v>
      </c>
      <c r="U90" s="319" t="s">
        <v>40</v>
      </c>
      <c r="V90" s="319"/>
      <c r="W90" s="320">
        <v>0</v>
      </c>
      <c r="X90" s="322">
        <v>46235</v>
      </c>
      <c r="Y90" s="322">
        <v>46237</v>
      </c>
      <c r="Z90" s="323" t="s">
        <v>40</v>
      </c>
      <c r="AA90" s="323" t="s">
        <v>535</v>
      </c>
      <c r="AB90" s="324">
        <v>0</v>
      </c>
      <c r="AC90" s="326">
        <v>46238</v>
      </c>
      <c r="AD90" s="326">
        <v>46244</v>
      </c>
      <c r="AE90" s="327" t="s">
        <v>40</v>
      </c>
      <c r="AF90" s="327" t="s">
        <v>535</v>
      </c>
      <c r="AG90" s="328">
        <v>0</v>
      </c>
      <c r="AH90" s="330">
        <v>46231</v>
      </c>
      <c r="AI90" s="330">
        <v>46233</v>
      </c>
      <c r="AJ90" s="331" t="s">
        <v>165</v>
      </c>
      <c r="AK90" s="331" t="s">
        <v>422</v>
      </c>
      <c r="AL90" s="332">
        <v>0</v>
      </c>
      <c r="AM90" s="311">
        <v>46332</v>
      </c>
      <c r="AN90" s="311">
        <v>46338</v>
      </c>
      <c r="AO90" s="310" t="s">
        <v>40</v>
      </c>
      <c r="AP90" s="472">
        <v>0</v>
      </c>
      <c r="AQ90" s="301"/>
    </row>
    <row r="91" spans="1:43">
      <c r="A91" s="306"/>
      <c r="B91" s="305" t="s">
        <v>539</v>
      </c>
      <c r="C91" s="305">
        <v>1</v>
      </c>
      <c r="D91" s="380">
        <v>46190</v>
      </c>
      <c r="E91" s="380">
        <v>46195</v>
      </c>
      <c r="F91" s="308" t="s">
        <v>34</v>
      </c>
      <c r="G91" s="308" t="s">
        <v>422</v>
      </c>
      <c r="H91" s="381">
        <v>1</v>
      </c>
      <c r="I91" s="311">
        <v>46203</v>
      </c>
      <c r="J91" s="311">
        <v>46208</v>
      </c>
      <c r="K91" s="310" t="s">
        <v>40</v>
      </c>
      <c r="L91" s="310"/>
      <c r="M91" s="312">
        <v>1</v>
      </c>
      <c r="N91" s="314">
        <v>46203</v>
      </c>
      <c r="O91" s="314">
        <v>46208</v>
      </c>
      <c r="P91" s="315" t="s">
        <v>40</v>
      </c>
      <c r="Q91" s="315"/>
      <c r="R91" s="316">
        <v>0</v>
      </c>
      <c r="S91" s="318">
        <v>46222</v>
      </c>
      <c r="T91" s="318">
        <v>46227</v>
      </c>
      <c r="U91" s="319" t="s">
        <v>40</v>
      </c>
      <c r="V91" s="319"/>
      <c r="W91" s="320">
        <v>0</v>
      </c>
      <c r="X91" s="322">
        <v>46235</v>
      </c>
      <c r="Y91" s="322">
        <v>46237</v>
      </c>
      <c r="Z91" s="323" t="s">
        <v>40</v>
      </c>
      <c r="AA91" s="323" t="s">
        <v>535</v>
      </c>
      <c r="AB91" s="324">
        <v>0</v>
      </c>
      <c r="AC91" s="326">
        <v>46238</v>
      </c>
      <c r="AD91" s="326">
        <v>46244</v>
      </c>
      <c r="AE91" s="327" t="s">
        <v>40</v>
      </c>
      <c r="AF91" s="327" t="s">
        <v>535</v>
      </c>
      <c r="AG91" s="328">
        <v>0</v>
      </c>
      <c r="AH91" s="330">
        <v>46231</v>
      </c>
      <c r="AI91" s="330">
        <v>46233</v>
      </c>
      <c r="AJ91" s="331" t="s">
        <v>165</v>
      </c>
      <c r="AK91" s="331" t="s">
        <v>422</v>
      </c>
      <c r="AL91" s="332">
        <v>0</v>
      </c>
      <c r="AM91" s="311">
        <v>46332</v>
      </c>
      <c r="AN91" s="311">
        <v>46338</v>
      </c>
      <c r="AO91" s="310" t="s">
        <v>40</v>
      </c>
      <c r="AP91" s="472">
        <v>0</v>
      </c>
      <c r="AQ91" s="301"/>
    </row>
    <row r="92" spans="1:43">
      <c r="A92" s="306" t="s">
        <v>437</v>
      </c>
      <c r="B92" s="305" t="s">
        <v>540</v>
      </c>
      <c r="C92" s="305">
        <v>1</v>
      </c>
      <c r="D92" s="380">
        <v>46190</v>
      </c>
      <c r="E92" s="380">
        <v>46195</v>
      </c>
      <c r="F92" s="308" t="s">
        <v>34</v>
      </c>
      <c r="G92" s="460">
        <v>41027200</v>
      </c>
      <c r="H92" s="381">
        <v>0.95</v>
      </c>
      <c r="I92" s="311">
        <v>46203</v>
      </c>
      <c r="J92" s="311">
        <v>46208</v>
      </c>
      <c r="K92" s="310" t="s">
        <v>34</v>
      </c>
      <c r="L92" s="310" t="s">
        <v>422</v>
      </c>
      <c r="M92" s="312">
        <v>1</v>
      </c>
      <c r="N92" s="314">
        <v>46203</v>
      </c>
      <c r="O92" s="314">
        <v>46208</v>
      </c>
      <c r="P92" s="315" t="s">
        <v>40</v>
      </c>
      <c r="Q92" s="315" t="s">
        <v>422</v>
      </c>
      <c r="R92" s="316">
        <v>0</v>
      </c>
      <c r="S92" s="318">
        <v>46222</v>
      </c>
      <c r="T92" s="318">
        <v>46227</v>
      </c>
      <c r="U92" s="319" t="s">
        <v>40</v>
      </c>
      <c r="V92" s="319" t="s">
        <v>422</v>
      </c>
      <c r="W92" s="320">
        <v>0</v>
      </c>
      <c r="X92" s="322">
        <v>46235</v>
      </c>
      <c r="Y92" s="322">
        <v>46237</v>
      </c>
      <c r="Z92" s="323" t="s">
        <v>40</v>
      </c>
      <c r="AA92" s="323" t="s">
        <v>422</v>
      </c>
      <c r="AB92" s="324">
        <v>0</v>
      </c>
      <c r="AC92" s="326">
        <v>46238</v>
      </c>
      <c r="AD92" s="326">
        <v>46244</v>
      </c>
      <c r="AE92" s="327" t="s">
        <v>40</v>
      </c>
      <c r="AF92" s="327" t="s">
        <v>422</v>
      </c>
      <c r="AG92" s="328">
        <v>0</v>
      </c>
      <c r="AH92" s="330">
        <v>46231</v>
      </c>
      <c r="AI92" s="330">
        <v>46233</v>
      </c>
      <c r="AJ92" s="331" t="s">
        <v>165</v>
      </c>
      <c r="AK92" s="331" t="s">
        <v>422</v>
      </c>
      <c r="AL92" s="332">
        <v>0</v>
      </c>
      <c r="AM92" s="311">
        <v>46332</v>
      </c>
      <c r="AN92" s="311">
        <v>46338</v>
      </c>
      <c r="AO92" s="310" t="s">
        <v>40</v>
      </c>
      <c r="AP92" s="472">
        <v>0</v>
      </c>
      <c r="AQ92" s="301"/>
    </row>
    <row r="93" spans="1:43">
      <c r="A93" s="306" t="s">
        <v>437</v>
      </c>
      <c r="B93" s="305" t="s">
        <v>541</v>
      </c>
      <c r="C93" s="305">
        <v>1</v>
      </c>
      <c r="D93" s="380">
        <v>46190</v>
      </c>
      <c r="E93" s="380">
        <v>46195</v>
      </c>
      <c r="F93" s="308" t="s">
        <v>34</v>
      </c>
      <c r="G93" s="460"/>
      <c r="H93" s="381">
        <v>1</v>
      </c>
      <c r="I93" s="311">
        <v>46203</v>
      </c>
      <c r="J93" s="311">
        <v>46208</v>
      </c>
      <c r="K93" s="310" t="s">
        <v>34</v>
      </c>
      <c r="L93" s="310" t="s">
        <v>422</v>
      </c>
      <c r="M93" s="312">
        <v>1</v>
      </c>
      <c r="N93" s="314">
        <v>46203</v>
      </c>
      <c r="O93" s="314">
        <v>46208</v>
      </c>
      <c r="P93" s="315" t="s">
        <v>40</v>
      </c>
      <c r="Q93" s="315" t="s">
        <v>422</v>
      </c>
      <c r="R93" s="316">
        <v>0</v>
      </c>
      <c r="S93" s="318">
        <v>46222</v>
      </c>
      <c r="T93" s="318">
        <v>46227</v>
      </c>
      <c r="U93" s="319" t="s">
        <v>40</v>
      </c>
      <c r="V93" s="319" t="s">
        <v>422</v>
      </c>
      <c r="W93" s="320">
        <v>0</v>
      </c>
      <c r="X93" s="322">
        <v>46235</v>
      </c>
      <c r="Y93" s="322">
        <v>46237</v>
      </c>
      <c r="Z93" s="323" t="s">
        <v>40</v>
      </c>
      <c r="AA93" s="323" t="s">
        <v>422</v>
      </c>
      <c r="AB93" s="324">
        <v>0</v>
      </c>
      <c r="AC93" s="326">
        <v>46238</v>
      </c>
      <c r="AD93" s="326">
        <v>46244</v>
      </c>
      <c r="AE93" s="327" t="s">
        <v>40</v>
      </c>
      <c r="AF93" s="327" t="s">
        <v>422</v>
      </c>
      <c r="AG93" s="328">
        <v>0</v>
      </c>
      <c r="AH93" s="330">
        <v>46231</v>
      </c>
      <c r="AI93" s="330">
        <v>46233</v>
      </c>
      <c r="AJ93" s="331" t="s">
        <v>165</v>
      </c>
      <c r="AK93" s="331" t="s">
        <v>422</v>
      </c>
      <c r="AL93" s="332">
        <v>0</v>
      </c>
      <c r="AM93" s="311">
        <v>46332</v>
      </c>
      <c r="AN93" s="311">
        <v>46338</v>
      </c>
      <c r="AO93" s="310" t="s">
        <v>40</v>
      </c>
      <c r="AP93" s="472">
        <v>0</v>
      </c>
      <c r="AQ93" s="301"/>
    </row>
    <row r="94" spans="1:43">
      <c r="A94" s="306" t="s">
        <v>437</v>
      </c>
      <c r="B94" s="305" t="s">
        <v>542</v>
      </c>
      <c r="C94" s="305">
        <v>1</v>
      </c>
      <c r="D94" s="380">
        <v>46190</v>
      </c>
      <c r="E94" s="380">
        <v>46195</v>
      </c>
      <c r="F94" s="308" t="s">
        <v>40</v>
      </c>
      <c r="G94" s="308" t="s">
        <v>543</v>
      </c>
      <c r="H94" s="381">
        <v>0.95</v>
      </c>
      <c r="I94" s="311">
        <v>46203</v>
      </c>
      <c r="J94" s="311">
        <v>46208</v>
      </c>
      <c r="K94" s="310" t="s">
        <v>40</v>
      </c>
      <c r="L94" s="310" t="s">
        <v>422</v>
      </c>
      <c r="M94" s="312">
        <v>0.8</v>
      </c>
      <c r="N94" s="314">
        <v>46203</v>
      </c>
      <c r="O94" s="314">
        <v>46208</v>
      </c>
      <c r="P94" s="315" t="s">
        <v>40</v>
      </c>
      <c r="Q94" s="315" t="s">
        <v>422</v>
      </c>
      <c r="R94" s="316">
        <v>0</v>
      </c>
      <c r="S94" s="318">
        <v>46222</v>
      </c>
      <c r="T94" s="318">
        <v>46227</v>
      </c>
      <c r="U94" s="319" t="s">
        <v>40</v>
      </c>
      <c r="V94" s="319" t="s">
        <v>422</v>
      </c>
      <c r="W94" s="320">
        <v>0</v>
      </c>
      <c r="X94" s="322">
        <v>46235</v>
      </c>
      <c r="Y94" s="322">
        <v>46237</v>
      </c>
      <c r="Z94" s="323" t="s">
        <v>40</v>
      </c>
      <c r="AA94" s="323" t="s">
        <v>422</v>
      </c>
      <c r="AB94" s="324">
        <v>0</v>
      </c>
      <c r="AC94" s="326">
        <v>46238</v>
      </c>
      <c r="AD94" s="326">
        <v>46244</v>
      </c>
      <c r="AE94" s="327" t="s">
        <v>40</v>
      </c>
      <c r="AF94" s="327" t="s">
        <v>422</v>
      </c>
      <c r="AG94" s="328">
        <v>0</v>
      </c>
      <c r="AH94" s="330">
        <v>46231</v>
      </c>
      <c r="AI94" s="330">
        <v>46233</v>
      </c>
      <c r="AJ94" s="331" t="s">
        <v>165</v>
      </c>
      <c r="AK94" s="331" t="s">
        <v>422</v>
      </c>
      <c r="AL94" s="332">
        <v>0</v>
      </c>
      <c r="AM94" s="311">
        <v>46332</v>
      </c>
      <c r="AN94" s="311">
        <v>46338</v>
      </c>
      <c r="AO94" s="310" t="s">
        <v>40</v>
      </c>
      <c r="AP94" s="472">
        <v>0</v>
      </c>
      <c r="AQ94" s="301"/>
    </row>
    <row r="95" spans="1:43">
      <c r="A95" s="306" t="s">
        <v>437</v>
      </c>
      <c r="B95" s="305" t="s">
        <v>544</v>
      </c>
      <c r="C95" s="305">
        <v>1</v>
      </c>
      <c r="D95" s="380">
        <v>46190</v>
      </c>
      <c r="E95" s="380">
        <v>46195</v>
      </c>
      <c r="F95" s="308" t="s">
        <v>40</v>
      </c>
      <c r="G95" s="308" t="s">
        <v>545</v>
      </c>
      <c r="H95" s="381">
        <v>0.8</v>
      </c>
      <c r="I95" s="311">
        <v>46203</v>
      </c>
      <c r="J95" s="311">
        <v>46208</v>
      </c>
      <c r="K95" s="310" t="s">
        <v>40</v>
      </c>
      <c r="L95" s="310" t="s">
        <v>422</v>
      </c>
      <c r="M95" s="312">
        <v>0</v>
      </c>
      <c r="N95" s="314">
        <v>46203</v>
      </c>
      <c r="O95" s="314">
        <v>46208</v>
      </c>
      <c r="P95" s="315" t="s">
        <v>40</v>
      </c>
      <c r="Q95" s="315" t="s">
        <v>422</v>
      </c>
      <c r="R95" s="316">
        <v>0</v>
      </c>
      <c r="S95" s="318">
        <v>46222</v>
      </c>
      <c r="T95" s="318">
        <v>46227</v>
      </c>
      <c r="U95" s="319" t="s">
        <v>40</v>
      </c>
      <c r="V95" s="319" t="s">
        <v>422</v>
      </c>
      <c r="W95" s="320">
        <v>0</v>
      </c>
      <c r="X95" s="322">
        <v>46235</v>
      </c>
      <c r="Y95" s="322">
        <v>46237</v>
      </c>
      <c r="Z95" s="323" t="s">
        <v>40</v>
      </c>
      <c r="AA95" s="323" t="s">
        <v>422</v>
      </c>
      <c r="AB95" s="324">
        <v>0</v>
      </c>
      <c r="AC95" s="326">
        <v>46238</v>
      </c>
      <c r="AD95" s="326">
        <v>46244</v>
      </c>
      <c r="AE95" s="327" t="s">
        <v>40</v>
      </c>
      <c r="AF95" s="327" t="s">
        <v>422</v>
      </c>
      <c r="AG95" s="328">
        <v>0</v>
      </c>
      <c r="AH95" s="330">
        <v>46231</v>
      </c>
      <c r="AI95" s="330">
        <v>46233</v>
      </c>
      <c r="AJ95" s="331" t="s">
        <v>165</v>
      </c>
      <c r="AK95" s="331" t="s">
        <v>422</v>
      </c>
      <c r="AL95" s="332">
        <v>0</v>
      </c>
      <c r="AM95" s="311">
        <v>46332</v>
      </c>
      <c r="AN95" s="311">
        <v>46338</v>
      </c>
      <c r="AO95" s="310" t="s">
        <v>40</v>
      </c>
      <c r="AP95" s="472">
        <v>0</v>
      </c>
      <c r="AQ95" s="301"/>
    </row>
    <row r="96" spans="1:43">
      <c r="A96" s="306" t="s">
        <v>437</v>
      </c>
      <c r="B96" s="305" t="s">
        <v>546</v>
      </c>
      <c r="C96" s="305">
        <v>1</v>
      </c>
      <c r="D96" s="380">
        <v>46190</v>
      </c>
      <c r="E96" s="380">
        <v>46195</v>
      </c>
      <c r="F96" s="308" t="s">
        <v>40</v>
      </c>
      <c r="G96" s="308" t="s">
        <v>422</v>
      </c>
      <c r="H96" s="381">
        <v>0</v>
      </c>
      <c r="I96" s="311">
        <v>46203</v>
      </c>
      <c r="J96" s="311">
        <v>46208</v>
      </c>
      <c r="K96" s="310" t="s">
        <v>40</v>
      </c>
      <c r="L96" s="310" t="s">
        <v>422</v>
      </c>
      <c r="M96" s="312">
        <v>0</v>
      </c>
      <c r="N96" s="314">
        <v>46203</v>
      </c>
      <c r="O96" s="314">
        <v>46208</v>
      </c>
      <c r="P96" s="315" t="s">
        <v>40</v>
      </c>
      <c r="Q96" s="315" t="s">
        <v>422</v>
      </c>
      <c r="R96" s="316">
        <v>0</v>
      </c>
      <c r="S96" s="318">
        <v>46222</v>
      </c>
      <c r="T96" s="318">
        <v>46227</v>
      </c>
      <c r="U96" s="319" t="s">
        <v>40</v>
      </c>
      <c r="V96" s="319" t="s">
        <v>422</v>
      </c>
      <c r="W96" s="320">
        <v>0</v>
      </c>
      <c r="X96" s="322">
        <v>46235</v>
      </c>
      <c r="Y96" s="322">
        <v>46237</v>
      </c>
      <c r="Z96" s="323" t="s">
        <v>40</v>
      </c>
      <c r="AA96" s="323" t="s">
        <v>422</v>
      </c>
      <c r="AB96" s="324">
        <v>0</v>
      </c>
      <c r="AC96" s="326">
        <v>46238</v>
      </c>
      <c r="AD96" s="326">
        <v>46244</v>
      </c>
      <c r="AE96" s="327" t="s">
        <v>40</v>
      </c>
      <c r="AF96" s="327" t="s">
        <v>422</v>
      </c>
      <c r="AG96" s="328">
        <v>0</v>
      </c>
      <c r="AH96" s="330">
        <v>46231</v>
      </c>
      <c r="AI96" s="330">
        <v>46233</v>
      </c>
      <c r="AJ96" s="331" t="s">
        <v>165</v>
      </c>
      <c r="AK96" s="331" t="s">
        <v>422</v>
      </c>
      <c r="AL96" s="332">
        <v>0</v>
      </c>
      <c r="AM96" s="311">
        <v>46332</v>
      </c>
      <c r="AN96" s="311">
        <v>46338</v>
      </c>
      <c r="AO96" s="310" t="s">
        <v>40</v>
      </c>
      <c r="AP96" s="472">
        <v>0</v>
      </c>
      <c r="AQ96" s="301"/>
    </row>
    <row r="97" spans="1:43">
      <c r="A97" s="306" t="s">
        <v>437</v>
      </c>
      <c r="B97" s="305" t="s">
        <v>547</v>
      </c>
      <c r="C97" s="305">
        <v>1</v>
      </c>
      <c r="D97" s="380">
        <v>46190</v>
      </c>
      <c r="E97" s="380">
        <v>46195</v>
      </c>
      <c r="F97" s="308" t="s">
        <v>40</v>
      </c>
      <c r="G97" s="460">
        <v>41044300</v>
      </c>
      <c r="H97" s="381">
        <v>0</v>
      </c>
      <c r="I97" s="311">
        <v>46203</v>
      </c>
      <c r="J97" s="311">
        <v>46208</v>
      </c>
      <c r="K97" s="310" t="s">
        <v>40</v>
      </c>
      <c r="L97" s="310" t="s">
        <v>422</v>
      </c>
      <c r="M97" s="312">
        <v>0</v>
      </c>
      <c r="N97" s="314">
        <v>46203</v>
      </c>
      <c r="O97" s="314">
        <v>46208</v>
      </c>
      <c r="P97" s="315" t="s">
        <v>40</v>
      </c>
      <c r="Q97" s="315" t="s">
        <v>422</v>
      </c>
      <c r="R97" s="316">
        <v>0</v>
      </c>
      <c r="S97" s="318">
        <v>46222</v>
      </c>
      <c r="T97" s="318">
        <v>46227</v>
      </c>
      <c r="U97" s="319" t="s">
        <v>40</v>
      </c>
      <c r="V97" s="319" t="s">
        <v>422</v>
      </c>
      <c r="W97" s="320">
        <v>0</v>
      </c>
      <c r="X97" s="322">
        <v>46235</v>
      </c>
      <c r="Y97" s="322">
        <v>46237</v>
      </c>
      <c r="Z97" s="323" t="s">
        <v>40</v>
      </c>
      <c r="AA97" s="323" t="s">
        <v>422</v>
      </c>
      <c r="AB97" s="324">
        <v>0</v>
      </c>
      <c r="AC97" s="326">
        <v>46238</v>
      </c>
      <c r="AD97" s="326">
        <v>46244</v>
      </c>
      <c r="AE97" s="327" t="s">
        <v>40</v>
      </c>
      <c r="AF97" s="327" t="s">
        <v>422</v>
      </c>
      <c r="AG97" s="328">
        <v>0</v>
      </c>
      <c r="AH97" s="330">
        <v>46231</v>
      </c>
      <c r="AI97" s="330">
        <v>46233</v>
      </c>
      <c r="AJ97" s="331" t="s">
        <v>165</v>
      </c>
      <c r="AK97" s="331" t="s">
        <v>422</v>
      </c>
      <c r="AL97" s="332">
        <v>0</v>
      </c>
      <c r="AM97" s="311">
        <v>46332</v>
      </c>
      <c r="AN97" s="311">
        <v>46338</v>
      </c>
      <c r="AO97" s="310" t="s">
        <v>40</v>
      </c>
      <c r="AP97" s="472">
        <v>0</v>
      </c>
      <c r="AQ97" s="301"/>
    </row>
    <row r="98" spans="1:43">
      <c r="A98" s="306"/>
      <c r="B98" s="305"/>
      <c r="C98" s="305"/>
      <c r="D98" s="380"/>
      <c r="E98" s="380"/>
      <c r="F98" s="308"/>
      <c r="G98" s="460">
        <v>41036100</v>
      </c>
      <c r="H98" s="381"/>
      <c r="I98" s="311"/>
      <c r="J98" s="311"/>
      <c r="K98" s="310"/>
      <c r="L98" s="310"/>
      <c r="M98" s="312"/>
      <c r="N98" s="314"/>
      <c r="O98" s="314"/>
      <c r="P98" s="315"/>
      <c r="Q98" s="315"/>
      <c r="R98" s="316"/>
      <c r="S98" s="318"/>
      <c r="T98" s="318"/>
      <c r="U98" s="319"/>
      <c r="V98" s="319"/>
      <c r="W98" s="320"/>
      <c r="X98" s="322"/>
      <c r="Y98" s="322"/>
      <c r="Z98" s="323"/>
      <c r="AA98" s="323"/>
      <c r="AB98" s="324"/>
      <c r="AC98" s="326"/>
      <c r="AD98" s="326"/>
      <c r="AE98" s="327"/>
      <c r="AF98" s="327"/>
      <c r="AG98" s="328"/>
      <c r="AH98" s="330"/>
      <c r="AI98" s="330"/>
      <c r="AJ98" s="331"/>
      <c r="AK98" s="331"/>
      <c r="AL98" s="332"/>
      <c r="AM98" s="311"/>
      <c r="AN98" s="311"/>
      <c r="AO98" s="310"/>
      <c r="AP98" s="472"/>
      <c r="AQ98" s="301"/>
    </row>
    <row r="99" spans="1:43">
      <c r="A99" s="306" t="s">
        <v>437</v>
      </c>
      <c r="B99" s="305" t="s">
        <v>548</v>
      </c>
      <c r="C99" s="305">
        <v>1</v>
      </c>
      <c r="D99" s="380">
        <v>46190</v>
      </c>
      <c r="E99" s="380">
        <v>46195</v>
      </c>
      <c r="F99" s="308" t="s">
        <v>40</v>
      </c>
      <c r="G99" s="308" t="s">
        <v>422</v>
      </c>
      <c r="H99" s="381">
        <v>0</v>
      </c>
      <c r="I99" s="311">
        <v>46203</v>
      </c>
      <c r="J99" s="311">
        <v>46208</v>
      </c>
      <c r="K99" s="310" t="s">
        <v>40</v>
      </c>
      <c r="L99" s="310" t="s">
        <v>422</v>
      </c>
      <c r="M99" s="312">
        <v>0</v>
      </c>
      <c r="N99" s="314">
        <v>46203</v>
      </c>
      <c r="O99" s="314">
        <v>46208</v>
      </c>
      <c r="P99" s="315" t="s">
        <v>40</v>
      </c>
      <c r="Q99" s="315" t="s">
        <v>422</v>
      </c>
      <c r="R99" s="316">
        <v>0</v>
      </c>
      <c r="S99" s="318">
        <v>46222</v>
      </c>
      <c r="T99" s="318">
        <v>46227</v>
      </c>
      <c r="U99" s="319" t="s">
        <v>40</v>
      </c>
      <c r="V99" s="319" t="s">
        <v>422</v>
      </c>
      <c r="W99" s="320">
        <v>0</v>
      </c>
      <c r="X99" s="322">
        <v>46235</v>
      </c>
      <c r="Y99" s="322">
        <v>46237</v>
      </c>
      <c r="Z99" s="323" t="s">
        <v>40</v>
      </c>
      <c r="AA99" s="323" t="s">
        <v>422</v>
      </c>
      <c r="AB99" s="324">
        <v>0</v>
      </c>
      <c r="AC99" s="326">
        <v>46238</v>
      </c>
      <c r="AD99" s="326">
        <v>46244</v>
      </c>
      <c r="AE99" s="327" t="s">
        <v>40</v>
      </c>
      <c r="AF99" s="327" t="s">
        <v>422</v>
      </c>
      <c r="AG99" s="328">
        <v>0</v>
      </c>
      <c r="AH99" s="330">
        <v>46231</v>
      </c>
      <c r="AI99" s="330">
        <v>46233</v>
      </c>
      <c r="AJ99" s="331" t="s">
        <v>165</v>
      </c>
      <c r="AK99" s="331" t="s">
        <v>422</v>
      </c>
      <c r="AL99" s="332">
        <v>0</v>
      </c>
      <c r="AM99" s="311">
        <v>46332</v>
      </c>
      <c r="AN99" s="311">
        <v>46338</v>
      </c>
      <c r="AO99" s="310" t="s">
        <v>40</v>
      </c>
      <c r="AP99" s="472">
        <v>0</v>
      </c>
      <c r="AQ99" s="301"/>
    </row>
    <row r="100" spans="1:43">
      <c r="A100" s="306" t="s">
        <v>437</v>
      </c>
      <c r="B100" s="305" t="s">
        <v>549</v>
      </c>
      <c r="C100" s="305">
        <v>1</v>
      </c>
      <c r="D100" s="380">
        <v>46190</v>
      </c>
      <c r="E100" s="380">
        <v>46195</v>
      </c>
      <c r="F100" s="308" t="s">
        <v>40</v>
      </c>
      <c r="G100" s="460" t="s">
        <v>511</v>
      </c>
      <c r="H100" s="381">
        <v>0</v>
      </c>
      <c r="I100" s="311">
        <v>46203</v>
      </c>
      <c r="J100" s="311">
        <v>46208</v>
      </c>
      <c r="K100" s="310" t="s">
        <v>40</v>
      </c>
      <c r="L100" s="310" t="s">
        <v>422</v>
      </c>
      <c r="M100" s="312">
        <v>0</v>
      </c>
      <c r="N100" s="314">
        <v>46203</v>
      </c>
      <c r="O100" s="314">
        <v>46208</v>
      </c>
      <c r="P100" s="315" t="s">
        <v>40</v>
      </c>
      <c r="Q100" s="315" t="s">
        <v>422</v>
      </c>
      <c r="R100" s="316">
        <v>0</v>
      </c>
      <c r="S100" s="318">
        <v>46222</v>
      </c>
      <c r="T100" s="318">
        <v>46227</v>
      </c>
      <c r="U100" s="319" t="s">
        <v>40</v>
      </c>
      <c r="V100" s="319" t="s">
        <v>422</v>
      </c>
      <c r="W100" s="320">
        <v>0</v>
      </c>
      <c r="X100" s="322">
        <v>46235</v>
      </c>
      <c r="Y100" s="322">
        <v>46237</v>
      </c>
      <c r="Z100" s="323" t="s">
        <v>40</v>
      </c>
      <c r="AA100" s="323" t="s">
        <v>422</v>
      </c>
      <c r="AB100" s="324">
        <v>0</v>
      </c>
      <c r="AC100" s="326">
        <v>46238</v>
      </c>
      <c r="AD100" s="326">
        <v>46244</v>
      </c>
      <c r="AE100" s="327" t="s">
        <v>40</v>
      </c>
      <c r="AF100" s="327" t="s">
        <v>422</v>
      </c>
      <c r="AG100" s="328">
        <v>0</v>
      </c>
      <c r="AH100" s="330">
        <v>46231</v>
      </c>
      <c r="AI100" s="330">
        <v>46233</v>
      </c>
      <c r="AJ100" s="331" t="s">
        <v>165</v>
      </c>
      <c r="AK100" s="331" t="s">
        <v>422</v>
      </c>
      <c r="AL100" s="332">
        <v>0</v>
      </c>
      <c r="AM100" s="311">
        <v>46332</v>
      </c>
      <c r="AN100" s="311">
        <v>46338</v>
      </c>
      <c r="AO100" s="310" t="s">
        <v>40</v>
      </c>
      <c r="AP100" s="472">
        <v>0</v>
      </c>
      <c r="AQ100" s="301"/>
    </row>
    <row r="101" spans="1:43">
      <c r="A101" s="306"/>
      <c r="B101" s="305"/>
      <c r="C101" s="305"/>
      <c r="D101" s="380"/>
      <c r="E101" s="380"/>
      <c r="F101" s="308"/>
      <c r="G101" s="460" t="s">
        <v>550</v>
      </c>
      <c r="H101" s="381"/>
      <c r="I101" s="311"/>
      <c r="J101" s="311"/>
      <c r="K101" s="310"/>
      <c r="L101" s="310"/>
      <c r="M101" s="312"/>
      <c r="N101" s="314"/>
      <c r="O101" s="314"/>
      <c r="P101" s="315"/>
      <c r="Q101" s="315"/>
      <c r="R101" s="316"/>
      <c r="S101" s="318"/>
      <c r="T101" s="318"/>
      <c r="U101" s="319"/>
      <c r="V101" s="319"/>
      <c r="W101" s="320"/>
      <c r="X101" s="322"/>
      <c r="Y101" s="322"/>
      <c r="Z101" s="323"/>
      <c r="AA101" s="323"/>
      <c r="AB101" s="324"/>
      <c r="AC101" s="326"/>
      <c r="AD101" s="326"/>
      <c r="AE101" s="327"/>
      <c r="AF101" s="327"/>
      <c r="AG101" s="328"/>
      <c r="AH101" s="330"/>
      <c r="AI101" s="330"/>
      <c r="AJ101" s="331"/>
      <c r="AK101" s="331"/>
      <c r="AL101" s="332"/>
      <c r="AM101" s="311"/>
      <c r="AN101" s="311"/>
      <c r="AO101" s="310"/>
      <c r="AP101" s="472"/>
      <c r="AQ101" s="301"/>
    </row>
    <row r="102" spans="1:43">
      <c r="A102" s="306" t="s">
        <v>437</v>
      </c>
      <c r="B102" s="305" t="s">
        <v>551</v>
      </c>
      <c r="C102" s="305">
        <v>1</v>
      </c>
      <c r="D102" s="380">
        <v>46190</v>
      </c>
      <c r="E102" s="380">
        <v>46195</v>
      </c>
      <c r="F102" s="308" t="s">
        <v>40</v>
      </c>
      <c r="G102" s="308" t="s">
        <v>422</v>
      </c>
      <c r="H102" s="381">
        <v>0</v>
      </c>
      <c r="I102" s="311">
        <v>46203</v>
      </c>
      <c r="J102" s="311">
        <v>46208</v>
      </c>
      <c r="K102" s="310" t="s">
        <v>40</v>
      </c>
      <c r="L102" s="310" t="s">
        <v>422</v>
      </c>
      <c r="M102" s="312">
        <v>0</v>
      </c>
      <c r="N102" s="314">
        <v>46203</v>
      </c>
      <c r="O102" s="314">
        <v>46208</v>
      </c>
      <c r="P102" s="315" t="s">
        <v>40</v>
      </c>
      <c r="Q102" s="315" t="s">
        <v>422</v>
      </c>
      <c r="R102" s="316">
        <v>0</v>
      </c>
      <c r="S102" s="318">
        <v>46222</v>
      </c>
      <c r="T102" s="318">
        <v>46227</v>
      </c>
      <c r="U102" s="319" t="s">
        <v>40</v>
      </c>
      <c r="V102" s="319" t="s">
        <v>422</v>
      </c>
      <c r="W102" s="320">
        <v>0</v>
      </c>
      <c r="X102" s="322">
        <v>46235</v>
      </c>
      <c r="Y102" s="322">
        <v>46237</v>
      </c>
      <c r="Z102" s="323" t="s">
        <v>40</v>
      </c>
      <c r="AA102" s="323" t="s">
        <v>422</v>
      </c>
      <c r="AB102" s="324">
        <v>0</v>
      </c>
      <c r="AC102" s="326">
        <v>46238</v>
      </c>
      <c r="AD102" s="326">
        <v>46244</v>
      </c>
      <c r="AE102" s="327" t="s">
        <v>40</v>
      </c>
      <c r="AF102" s="327" t="s">
        <v>422</v>
      </c>
      <c r="AG102" s="328">
        <v>0</v>
      </c>
      <c r="AH102" s="330">
        <v>46231</v>
      </c>
      <c r="AI102" s="330">
        <v>46233</v>
      </c>
      <c r="AJ102" s="331" t="s">
        <v>165</v>
      </c>
      <c r="AK102" s="331" t="s">
        <v>422</v>
      </c>
      <c r="AL102" s="332">
        <v>0</v>
      </c>
      <c r="AM102" s="311">
        <v>46332</v>
      </c>
      <c r="AN102" s="311">
        <v>46338</v>
      </c>
      <c r="AO102" s="310" t="s">
        <v>40</v>
      </c>
      <c r="AP102" s="472">
        <v>0</v>
      </c>
      <c r="AQ102" s="301"/>
    </row>
    <row r="103" spans="1:43">
      <c r="A103" s="306" t="s">
        <v>437</v>
      </c>
      <c r="B103" s="305" t="s">
        <v>552</v>
      </c>
      <c r="C103" s="305">
        <v>1</v>
      </c>
      <c r="D103" s="380">
        <v>46190</v>
      </c>
      <c r="E103" s="380">
        <v>46195</v>
      </c>
      <c r="F103" s="308" t="s">
        <v>40</v>
      </c>
      <c r="G103" s="460" t="s">
        <v>553</v>
      </c>
      <c r="H103" s="381">
        <v>0</v>
      </c>
      <c r="I103" s="311">
        <v>46203</v>
      </c>
      <c r="J103" s="311">
        <v>46208</v>
      </c>
      <c r="K103" s="310" t="s">
        <v>40</v>
      </c>
      <c r="L103" s="310" t="s">
        <v>422</v>
      </c>
      <c r="M103" s="312">
        <v>0</v>
      </c>
      <c r="N103" s="314">
        <v>46203</v>
      </c>
      <c r="O103" s="314">
        <v>46208</v>
      </c>
      <c r="P103" s="315" t="s">
        <v>40</v>
      </c>
      <c r="Q103" s="315" t="s">
        <v>422</v>
      </c>
      <c r="R103" s="316">
        <v>0</v>
      </c>
      <c r="S103" s="318">
        <v>46222</v>
      </c>
      <c r="T103" s="318">
        <v>46227</v>
      </c>
      <c r="U103" s="319" t="s">
        <v>40</v>
      </c>
      <c r="V103" s="319" t="s">
        <v>422</v>
      </c>
      <c r="W103" s="320">
        <v>0</v>
      </c>
      <c r="X103" s="322">
        <v>46235</v>
      </c>
      <c r="Y103" s="322">
        <v>46237</v>
      </c>
      <c r="Z103" s="323" t="s">
        <v>40</v>
      </c>
      <c r="AA103" s="323" t="s">
        <v>422</v>
      </c>
      <c r="AB103" s="324">
        <v>0</v>
      </c>
      <c r="AC103" s="326">
        <v>46238</v>
      </c>
      <c r="AD103" s="326">
        <v>46244</v>
      </c>
      <c r="AE103" s="327" t="s">
        <v>40</v>
      </c>
      <c r="AF103" s="327" t="s">
        <v>422</v>
      </c>
      <c r="AG103" s="328">
        <v>0</v>
      </c>
      <c r="AH103" s="330">
        <v>46231</v>
      </c>
      <c r="AI103" s="330">
        <v>46233</v>
      </c>
      <c r="AJ103" s="331" t="s">
        <v>165</v>
      </c>
      <c r="AK103" s="331" t="s">
        <v>422</v>
      </c>
      <c r="AL103" s="332">
        <v>0</v>
      </c>
      <c r="AM103" s="311">
        <v>46332</v>
      </c>
      <c r="AN103" s="311">
        <v>46338</v>
      </c>
      <c r="AO103" s="310" t="s">
        <v>40</v>
      </c>
      <c r="AP103" s="472">
        <v>0</v>
      </c>
      <c r="AQ103" s="301"/>
    </row>
    <row r="104" spans="1:43">
      <c r="A104" s="306" t="s">
        <v>437</v>
      </c>
      <c r="B104" s="305" t="s">
        <v>554</v>
      </c>
      <c r="C104" s="305">
        <v>1</v>
      </c>
      <c r="D104" s="380">
        <v>46190</v>
      </c>
      <c r="E104" s="380">
        <v>46195</v>
      </c>
      <c r="F104" s="308" t="s">
        <v>40</v>
      </c>
      <c r="G104" s="308" t="s">
        <v>422</v>
      </c>
      <c r="H104" s="381">
        <v>0</v>
      </c>
      <c r="I104" s="311">
        <v>46203</v>
      </c>
      <c r="J104" s="311">
        <v>46208</v>
      </c>
      <c r="K104" s="310" t="s">
        <v>40</v>
      </c>
      <c r="L104" s="310" t="s">
        <v>422</v>
      </c>
      <c r="M104" s="312">
        <v>0</v>
      </c>
      <c r="N104" s="314">
        <v>46203</v>
      </c>
      <c r="O104" s="314">
        <v>46208</v>
      </c>
      <c r="P104" s="315" t="s">
        <v>40</v>
      </c>
      <c r="Q104" s="315" t="s">
        <v>422</v>
      </c>
      <c r="R104" s="316">
        <v>0</v>
      </c>
      <c r="S104" s="318">
        <v>46222</v>
      </c>
      <c r="T104" s="318">
        <v>46227</v>
      </c>
      <c r="U104" s="319" t="s">
        <v>40</v>
      </c>
      <c r="V104" s="319" t="s">
        <v>422</v>
      </c>
      <c r="W104" s="320">
        <v>0</v>
      </c>
      <c r="X104" s="322">
        <v>46235</v>
      </c>
      <c r="Y104" s="322">
        <v>46237</v>
      </c>
      <c r="Z104" s="323" t="s">
        <v>40</v>
      </c>
      <c r="AA104" s="323" t="s">
        <v>422</v>
      </c>
      <c r="AB104" s="324">
        <v>0</v>
      </c>
      <c r="AC104" s="326">
        <v>46238</v>
      </c>
      <c r="AD104" s="326">
        <v>46244</v>
      </c>
      <c r="AE104" s="327" t="s">
        <v>40</v>
      </c>
      <c r="AF104" s="327" t="s">
        <v>422</v>
      </c>
      <c r="AG104" s="328">
        <v>0</v>
      </c>
      <c r="AH104" s="330">
        <v>46231</v>
      </c>
      <c r="AI104" s="330">
        <v>46233</v>
      </c>
      <c r="AJ104" s="331" t="s">
        <v>165</v>
      </c>
      <c r="AK104" s="331" t="s">
        <v>422</v>
      </c>
      <c r="AL104" s="332">
        <v>0</v>
      </c>
      <c r="AM104" s="311">
        <v>46332</v>
      </c>
      <c r="AN104" s="311">
        <v>46338</v>
      </c>
      <c r="AO104" s="310" t="s">
        <v>40</v>
      </c>
      <c r="AP104" s="472">
        <v>0</v>
      </c>
      <c r="AQ104" s="301"/>
    </row>
    <row r="105" spans="1:43">
      <c r="A105" s="306" t="s">
        <v>437</v>
      </c>
      <c r="B105" s="305" t="s">
        <v>555</v>
      </c>
      <c r="C105" s="305">
        <v>1</v>
      </c>
      <c r="D105" s="380">
        <v>46190</v>
      </c>
      <c r="E105" s="380">
        <v>46195</v>
      </c>
      <c r="F105" s="308" t="s">
        <v>40</v>
      </c>
      <c r="G105" s="460" t="s">
        <v>556</v>
      </c>
      <c r="H105" s="381">
        <v>0</v>
      </c>
      <c r="I105" s="311">
        <v>46203</v>
      </c>
      <c r="J105" s="311">
        <v>46208</v>
      </c>
      <c r="K105" s="310" t="s">
        <v>40</v>
      </c>
      <c r="L105" s="310" t="s">
        <v>422</v>
      </c>
      <c r="M105" s="312">
        <v>0</v>
      </c>
      <c r="N105" s="314">
        <v>46203</v>
      </c>
      <c r="O105" s="314">
        <v>46208</v>
      </c>
      <c r="P105" s="315" t="s">
        <v>40</v>
      </c>
      <c r="Q105" s="315" t="s">
        <v>422</v>
      </c>
      <c r="R105" s="316">
        <v>0</v>
      </c>
      <c r="S105" s="318">
        <v>46222</v>
      </c>
      <c r="T105" s="318">
        <v>46227</v>
      </c>
      <c r="U105" s="319" t="s">
        <v>40</v>
      </c>
      <c r="V105" s="319" t="s">
        <v>422</v>
      </c>
      <c r="W105" s="320">
        <v>0</v>
      </c>
      <c r="X105" s="322">
        <v>46235</v>
      </c>
      <c r="Y105" s="322">
        <v>46237</v>
      </c>
      <c r="Z105" s="323" t="s">
        <v>40</v>
      </c>
      <c r="AA105" s="323" t="s">
        <v>422</v>
      </c>
      <c r="AB105" s="324">
        <v>0</v>
      </c>
      <c r="AC105" s="326">
        <v>46238</v>
      </c>
      <c r="AD105" s="326">
        <v>46244</v>
      </c>
      <c r="AE105" s="327" t="s">
        <v>40</v>
      </c>
      <c r="AF105" s="327" t="s">
        <v>422</v>
      </c>
      <c r="AG105" s="328">
        <v>0</v>
      </c>
      <c r="AH105" s="330">
        <v>46231</v>
      </c>
      <c r="AI105" s="330">
        <v>46233</v>
      </c>
      <c r="AJ105" s="331" t="s">
        <v>165</v>
      </c>
      <c r="AK105" s="331" t="s">
        <v>422</v>
      </c>
      <c r="AL105" s="332">
        <v>0</v>
      </c>
      <c r="AM105" s="311">
        <v>46332</v>
      </c>
      <c r="AN105" s="311">
        <v>46338</v>
      </c>
      <c r="AO105" s="310" t="s">
        <v>40</v>
      </c>
      <c r="AP105" s="472">
        <v>0</v>
      </c>
      <c r="AQ105" s="301"/>
    </row>
    <row r="106" spans="1:43">
      <c r="A106" s="306" t="s">
        <v>437</v>
      </c>
      <c r="B106" s="305" t="s">
        <v>557</v>
      </c>
      <c r="C106" s="305">
        <v>1</v>
      </c>
      <c r="D106" s="380">
        <v>46190</v>
      </c>
      <c r="E106" s="380">
        <v>46195</v>
      </c>
      <c r="F106" s="308" t="s">
        <v>40</v>
      </c>
      <c r="G106" s="308" t="s">
        <v>436</v>
      </c>
      <c r="H106" s="381">
        <v>0</v>
      </c>
      <c r="I106" s="311">
        <v>46203</v>
      </c>
      <c r="J106" s="311">
        <v>46208</v>
      </c>
      <c r="K106" s="310" t="s">
        <v>40</v>
      </c>
      <c r="L106" s="310" t="s">
        <v>422</v>
      </c>
      <c r="M106" s="312">
        <v>0</v>
      </c>
      <c r="N106" s="314">
        <v>46203</v>
      </c>
      <c r="O106" s="314">
        <v>46208</v>
      </c>
      <c r="P106" s="315" t="s">
        <v>40</v>
      </c>
      <c r="Q106" s="315" t="s">
        <v>422</v>
      </c>
      <c r="R106" s="316">
        <v>0</v>
      </c>
      <c r="S106" s="318">
        <v>46222</v>
      </c>
      <c r="T106" s="318">
        <v>46227</v>
      </c>
      <c r="U106" s="319" t="s">
        <v>40</v>
      </c>
      <c r="V106" s="319" t="s">
        <v>422</v>
      </c>
      <c r="W106" s="320">
        <v>0</v>
      </c>
      <c r="X106" s="322">
        <v>46235</v>
      </c>
      <c r="Y106" s="322">
        <v>46237</v>
      </c>
      <c r="Z106" s="323" t="s">
        <v>40</v>
      </c>
      <c r="AA106" s="323" t="s">
        <v>422</v>
      </c>
      <c r="AB106" s="324">
        <v>0</v>
      </c>
      <c r="AC106" s="326">
        <v>46238</v>
      </c>
      <c r="AD106" s="326">
        <v>46244</v>
      </c>
      <c r="AE106" s="327" t="s">
        <v>40</v>
      </c>
      <c r="AF106" s="327" t="s">
        <v>422</v>
      </c>
      <c r="AG106" s="328">
        <v>0</v>
      </c>
      <c r="AH106" s="330">
        <v>46231</v>
      </c>
      <c r="AI106" s="330">
        <v>46233</v>
      </c>
      <c r="AJ106" s="331" t="s">
        <v>165</v>
      </c>
      <c r="AK106" s="331" t="s">
        <v>422</v>
      </c>
      <c r="AL106" s="332">
        <v>0</v>
      </c>
      <c r="AM106" s="311">
        <v>46332</v>
      </c>
      <c r="AN106" s="311">
        <v>46338</v>
      </c>
      <c r="AO106" s="310" t="s">
        <v>40</v>
      </c>
      <c r="AP106" s="472">
        <v>0</v>
      </c>
      <c r="AQ106" s="301"/>
    </row>
    <row r="107" spans="1:43">
      <c r="A107" s="306" t="s">
        <v>437</v>
      </c>
      <c r="B107" s="305" t="s">
        <v>558</v>
      </c>
      <c r="C107" s="305">
        <v>1</v>
      </c>
      <c r="D107" s="380">
        <v>46190</v>
      </c>
      <c r="E107" s="380">
        <v>46195</v>
      </c>
      <c r="F107" s="308" t="s">
        <v>40</v>
      </c>
      <c r="G107" s="308" t="s">
        <v>436</v>
      </c>
      <c r="H107" s="381">
        <v>0</v>
      </c>
      <c r="I107" s="311">
        <v>46203</v>
      </c>
      <c r="J107" s="311">
        <v>46208</v>
      </c>
      <c r="K107" s="310" t="s">
        <v>40</v>
      </c>
      <c r="L107" s="310" t="s">
        <v>422</v>
      </c>
      <c r="M107" s="312">
        <v>0</v>
      </c>
      <c r="N107" s="314">
        <v>46203</v>
      </c>
      <c r="O107" s="314">
        <v>46208</v>
      </c>
      <c r="P107" s="315" t="s">
        <v>40</v>
      </c>
      <c r="Q107" s="315" t="s">
        <v>422</v>
      </c>
      <c r="R107" s="316">
        <v>0</v>
      </c>
      <c r="S107" s="318">
        <v>46222</v>
      </c>
      <c r="T107" s="318">
        <v>46227</v>
      </c>
      <c r="U107" s="319" t="s">
        <v>40</v>
      </c>
      <c r="V107" s="319" t="s">
        <v>422</v>
      </c>
      <c r="W107" s="320">
        <v>0</v>
      </c>
      <c r="X107" s="322">
        <v>46235</v>
      </c>
      <c r="Y107" s="322">
        <v>46237</v>
      </c>
      <c r="Z107" s="323" t="s">
        <v>40</v>
      </c>
      <c r="AA107" s="323" t="s">
        <v>422</v>
      </c>
      <c r="AB107" s="324">
        <v>0</v>
      </c>
      <c r="AC107" s="326">
        <v>46238</v>
      </c>
      <c r="AD107" s="326">
        <v>46244</v>
      </c>
      <c r="AE107" s="327" t="s">
        <v>40</v>
      </c>
      <c r="AF107" s="327" t="s">
        <v>422</v>
      </c>
      <c r="AG107" s="328">
        <v>0</v>
      </c>
      <c r="AH107" s="330">
        <v>46231</v>
      </c>
      <c r="AI107" s="330">
        <v>46233</v>
      </c>
      <c r="AJ107" s="331" t="s">
        <v>165</v>
      </c>
      <c r="AK107" s="331" t="s">
        <v>422</v>
      </c>
      <c r="AL107" s="332">
        <v>0</v>
      </c>
      <c r="AM107" s="311">
        <v>46332</v>
      </c>
      <c r="AN107" s="311">
        <v>46338</v>
      </c>
      <c r="AO107" s="310" t="s">
        <v>40</v>
      </c>
      <c r="AP107" s="472">
        <v>0</v>
      </c>
      <c r="AQ107" s="301"/>
    </row>
    <row r="108" spans="1:43">
      <c r="A108" s="306" t="s">
        <v>437</v>
      </c>
      <c r="B108" s="305" t="s">
        <v>559</v>
      </c>
      <c r="C108" s="305">
        <v>1</v>
      </c>
      <c r="D108" s="380">
        <v>46190</v>
      </c>
      <c r="E108" s="380">
        <v>46195</v>
      </c>
      <c r="F108" s="308" t="s">
        <v>40</v>
      </c>
      <c r="G108" s="308" t="s">
        <v>436</v>
      </c>
      <c r="H108" s="381">
        <v>0</v>
      </c>
      <c r="I108" s="311">
        <v>46203</v>
      </c>
      <c r="J108" s="311">
        <v>46208</v>
      </c>
      <c r="K108" s="310" t="s">
        <v>40</v>
      </c>
      <c r="L108" s="310" t="s">
        <v>422</v>
      </c>
      <c r="M108" s="312">
        <v>0</v>
      </c>
      <c r="N108" s="314">
        <v>46203</v>
      </c>
      <c r="O108" s="314">
        <v>46208</v>
      </c>
      <c r="P108" s="315" t="s">
        <v>40</v>
      </c>
      <c r="Q108" s="315" t="s">
        <v>422</v>
      </c>
      <c r="R108" s="316">
        <v>0</v>
      </c>
      <c r="S108" s="318">
        <v>46222</v>
      </c>
      <c r="T108" s="318">
        <v>46227</v>
      </c>
      <c r="U108" s="319" t="s">
        <v>40</v>
      </c>
      <c r="V108" s="319" t="s">
        <v>422</v>
      </c>
      <c r="W108" s="320">
        <v>0</v>
      </c>
      <c r="X108" s="322">
        <v>46235</v>
      </c>
      <c r="Y108" s="322">
        <v>46237</v>
      </c>
      <c r="Z108" s="323" t="s">
        <v>40</v>
      </c>
      <c r="AA108" s="323" t="s">
        <v>422</v>
      </c>
      <c r="AB108" s="324">
        <v>0</v>
      </c>
      <c r="AC108" s="326">
        <v>46238</v>
      </c>
      <c r="AD108" s="326">
        <v>46244</v>
      </c>
      <c r="AE108" s="327" t="s">
        <v>40</v>
      </c>
      <c r="AF108" s="327" t="s">
        <v>422</v>
      </c>
      <c r="AG108" s="328">
        <v>0</v>
      </c>
      <c r="AH108" s="330">
        <v>46231</v>
      </c>
      <c r="AI108" s="330">
        <v>46233</v>
      </c>
      <c r="AJ108" s="331" t="s">
        <v>165</v>
      </c>
      <c r="AK108" s="331" t="s">
        <v>422</v>
      </c>
      <c r="AL108" s="332">
        <v>0</v>
      </c>
      <c r="AM108" s="311">
        <v>46332</v>
      </c>
      <c r="AN108" s="311">
        <v>46338</v>
      </c>
      <c r="AO108" s="310" t="s">
        <v>40</v>
      </c>
      <c r="AP108" s="472">
        <v>0</v>
      </c>
      <c r="AQ108" s="301"/>
    </row>
    <row r="109" spans="1:43">
      <c r="A109" s="306" t="s">
        <v>437</v>
      </c>
      <c r="B109" s="305" t="s">
        <v>560</v>
      </c>
      <c r="C109" s="305">
        <v>1</v>
      </c>
      <c r="D109" s="380">
        <v>46190</v>
      </c>
      <c r="E109" s="380">
        <v>46195</v>
      </c>
      <c r="F109" s="308" t="s">
        <v>40</v>
      </c>
      <c r="G109" s="308" t="s">
        <v>436</v>
      </c>
      <c r="H109" s="381">
        <v>0</v>
      </c>
      <c r="I109" s="311">
        <v>46203</v>
      </c>
      <c r="J109" s="311">
        <v>46208</v>
      </c>
      <c r="K109" s="310" t="s">
        <v>40</v>
      </c>
      <c r="L109" s="310" t="s">
        <v>422</v>
      </c>
      <c r="M109" s="312">
        <v>0</v>
      </c>
      <c r="N109" s="314">
        <v>46203</v>
      </c>
      <c r="O109" s="314">
        <v>46208</v>
      </c>
      <c r="P109" s="315" t="s">
        <v>40</v>
      </c>
      <c r="Q109" s="315" t="s">
        <v>422</v>
      </c>
      <c r="R109" s="316">
        <v>0</v>
      </c>
      <c r="S109" s="318">
        <v>46222</v>
      </c>
      <c r="T109" s="318">
        <v>46227</v>
      </c>
      <c r="U109" s="319" t="s">
        <v>40</v>
      </c>
      <c r="V109" s="319" t="s">
        <v>422</v>
      </c>
      <c r="W109" s="320">
        <v>0</v>
      </c>
      <c r="X109" s="322">
        <v>46235</v>
      </c>
      <c r="Y109" s="322">
        <v>46237</v>
      </c>
      <c r="Z109" s="323" t="s">
        <v>40</v>
      </c>
      <c r="AA109" s="323" t="s">
        <v>422</v>
      </c>
      <c r="AB109" s="324">
        <v>0</v>
      </c>
      <c r="AC109" s="326">
        <v>46238</v>
      </c>
      <c r="AD109" s="326">
        <v>46244</v>
      </c>
      <c r="AE109" s="327" t="s">
        <v>40</v>
      </c>
      <c r="AF109" s="327" t="s">
        <v>422</v>
      </c>
      <c r="AG109" s="328">
        <v>0</v>
      </c>
      <c r="AH109" s="330">
        <v>46231</v>
      </c>
      <c r="AI109" s="330">
        <v>46233</v>
      </c>
      <c r="AJ109" s="331" t="s">
        <v>165</v>
      </c>
      <c r="AK109" s="331" t="s">
        <v>422</v>
      </c>
      <c r="AL109" s="332">
        <v>0</v>
      </c>
      <c r="AM109" s="311">
        <v>46332</v>
      </c>
      <c r="AN109" s="311">
        <v>46338</v>
      </c>
      <c r="AO109" s="310" t="s">
        <v>40</v>
      </c>
      <c r="AP109" s="472">
        <v>0</v>
      </c>
      <c r="AQ109" s="301"/>
    </row>
    <row r="110" spans="1:43">
      <c r="A110" s="306" t="s">
        <v>437</v>
      </c>
      <c r="B110" s="305" t="s">
        <v>561</v>
      </c>
      <c r="C110" s="305">
        <v>1</v>
      </c>
      <c r="D110" s="380">
        <v>46190</v>
      </c>
      <c r="E110" s="380">
        <v>46195</v>
      </c>
      <c r="F110" s="308" t="s">
        <v>40</v>
      </c>
      <c r="G110" s="308" t="s">
        <v>436</v>
      </c>
      <c r="H110" s="381">
        <v>0</v>
      </c>
      <c r="I110" s="311">
        <v>46203</v>
      </c>
      <c r="J110" s="311">
        <v>46208</v>
      </c>
      <c r="K110" s="310" t="s">
        <v>40</v>
      </c>
      <c r="L110" s="310" t="s">
        <v>422</v>
      </c>
      <c r="M110" s="312">
        <v>0</v>
      </c>
      <c r="N110" s="314">
        <v>46203</v>
      </c>
      <c r="O110" s="314">
        <v>46208</v>
      </c>
      <c r="P110" s="315" t="s">
        <v>40</v>
      </c>
      <c r="Q110" s="315" t="s">
        <v>422</v>
      </c>
      <c r="R110" s="316">
        <v>0</v>
      </c>
      <c r="S110" s="318">
        <v>46222</v>
      </c>
      <c r="T110" s="318">
        <v>46227</v>
      </c>
      <c r="U110" s="319" t="s">
        <v>40</v>
      </c>
      <c r="V110" s="319" t="s">
        <v>422</v>
      </c>
      <c r="W110" s="320">
        <v>0</v>
      </c>
      <c r="X110" s="322">
        <v>46235</v>
      </c>
      <c r="Y110" s="322">
        <v>46237</v>
      </c>
      <c r="Z110" s="323" t="s">
        <v>40</v>
      </c>
      <c r="AA110" s="323" t="s">
        <v>422</v>
      </c>
      <c r="AB110" s="324">
        <v>0</v>
      </c>
      <c r="AC110" s="326">
        <v>46238</v>
      </c>
      <c r="AD110" s="326">
        <v>46244</v>
      </c>
      <c r="AE110" s="327" t="s">
        <v>40</v>
      </c>
      <c r="AF110" s="327" t="s">
        <v>422</v>
      </c>
      <c r="AG110" s="328">
        <v>0</v>
      </c>
      <c r="AH110" s="330">
        <v>46231</v>
      </c>
      <c r="AI110" s="330">
        <v>46233</v>
      </c>
      <c r="AJ110" s="331" t="s">
        <v>165</v>
      </c>
      <c r="AK110" s="331" t="s">
        <v>422</v>
      </c>
      <c r="AL110" s="332">
        <v>0</v>
      </c>
      <c r="AM110" s="311">
        <v>46332</v>
      </c>
      <c r="AN110" s="311">
        <v>46338</v>
      </c>
      <c r="AO110" s="310" t="s">
        <v>40</v>
      </c>
      <c r="AP110" s="472">
        <v>0</v>
      </c>
      <c r="AQ110" s="301"/>
    </row>
    <row r="111" spans="1:43">
      <c r="A111" s="306" t="s">
        <v>437</v>
      </c>
      <c r="B111" s="305" t="s">
        <v>562</v>
      </c>
      <c r="C111" s="305">
        <v>1</v>
      </c>
      <c r="D111" s="380">
        <v>46190</v>
      </c>
      <c r="E111" s="380">
        <v>46195</v>
      </c>
      <c r="F111" s="308" t="s">
        <v>40</v>
      </c>
      <c r="G111" s="308" t="s">
        <v>436</v>
      </c>
      <c r="H111" s="381">
        <v>0</v>
      </c>
      <c r="I111" s="311">
        <v>46203</v>
      </c>
      <c r="J111" s="311">
        <v>46208</v>
      </c>
      <c r="K111" s="310" t="s">
        <v>40</v>
      </c>
      <c r="L111" s="310" t="s">
        <v>422</v>
      </c>
      <c r="M111" s="312">
        <v>0</v>
      </c>
      <c r="N111" s="314">
        <v>46203</v>
      </c>
      <c r="O111" s="314">
        <v>46208</v>
      </c>
      <c r="P111" s="315" t="s">
        <v>40</v>
      </c>
      <c r="Q111" s="315" t="s">
        <v>422</v>
      </c>
      <c r="R111" s="316">
        <v>0</v>
      </c>
      <c r="S111" s="318">
        <v>46222</v>
      </c>
      <c r="T111" s="318">
        <v>46227</v>
      </c>
      <c r="U111" s="319" t="s">
        <v>40</v>
      </c>
      <c r="V111" s="319" t="s">
        <v>422</v>
      </c>
      <c r="W111" s="320">
        <v>0</v>
      </c>
      <c r="X111" s="322">
        <v>46235</v>
      </c>
      <c r="Y111" s="322">
        <v>46237</v>
      </c>
      <c r="Z111" s="323" t="s">
        <v>40</v>
      </c>
      <c r="AA111" s="323" t="s">
        <v>422</v>
      </c>
      <c r="AB111" s="324">
        <v>0</v>
      </c>
      <c r="AC111" s="326">
        <v>46238</v>
      </c>
      <c r="AD111" s="326">
        <v>46244</v>
      </c>
      <c r="AE111" s="327" t="s">
        <v>40</v>
      </c>
      <c r="AF111" s="327" t="s">
        <v>422</v>
      </c>
      <c r="AG111" s="328">
        <v>0</v>
      </c>
      <c r="AH111" s="330">
        <v>46231</v>
      </c>
      <c r="AI111" s="330">
        <v>46233</v>
      </c>
      <c r="AJ111" s="331" t="s">
        <v>165</v>
      </c>
      <c r="AK111" s="331" t="s">
        <v>422</v>
      </c>
      <c r="AL111" s="332">
        <v>0</v>
      </c>
      <c r="AM111" s="311">
        <v>46332</v>
      </c>
      <c r="AN111" s="311">
        <v>46338</v>
      </c>
      <c r="AO111" s="310" t="s">
        <v>40</v>
      </c>
      <c r="AP111" s="472">
        <v>0</v>
      </c>
      <c r="AQ111" s="301"/>
    </row>
    <row r="112" spans="1:43">
      <c r="A112" s="306" t="s">
        <v>437</v>
      </c>
      <c r="B112" s="305" t="s">
        <v>563</v>
      </c>
      <c r="C112" s="305">
        <v>1</v>
      </c>
      <c r="D112" s="380">
        <v>46190</v>
      </c>
      <c r="E112" s="380">
        <v>46195</v>
      </c>
      <c r="F112" s="308" t="s">
        <v>40</v>
      </c>
      <c r="G112" s="308" t="s">
        <v>436</v>
      </c>
      <c r="H112" s="381">
        <v>0</v>
      </c>
      <c r="I112" s="311">
        <v>46203</v>
      </c>
      <c r="J112" s="311">
        <v>46208</v>
      </c>
      <c r="K112" s="310" t="s">
        <v>40</v>
      </c>
      <c r="L112" s="310" t="s">
        <v>422</v>
      </c>
      <c r="M112" s="312">
        <v>0</v>
      </c>
      <c r="N112" s="314">
        <v>46203</v>
      </c>
      <c r="O112" s="314">
        <v>46208</v>
      </c>
      <c r="P112" s="315" t="s">
        <v>40</v>
      </c>
      <c r="Q112" s="315" t="s">
        <v>422</v>
      </c>
      <c r="R112" s="316">
        <v>0</v>
      </c>
      <c r="S112" s="318">
        <v>46222</v>
      </c>
      <c r="T112" s="318">
        <v>46227</v>
      </c>
      <c r="U112" s="319" t="s">
        <v>40</v>
      </c>
      <c r="V112" s="319" t="s">
        <v>422</v>
      </c>
      <c r="W112" s="320">
        <v>0</v>
      </c>
      <c r="X112" s="322">
        <v>46235</v>
      </c>
      <c r="Y112" s="322">
        <v>46237</v>
      </c>
      <c r="Z112" s="323" t="s">
        <v>40</v>
      </c>
      <c r="AA112" s="323" t="s">
        <v>422</v>
      </c>
      <c r="AB112" s="324">
        <v>0</v>
      </c>
      <c r="AC112" s="326">
        <v>46238</v>
      </c>
      <c r="AD112" s="326">
        <v>46244</v>
      </c>
      <c r="AE112" s="327" t="s">
        <v>40</v>
      </c>
      <c r="AF112" s="327" t="s">
        <v>422</v>
      </c>
      <c r="AG112" s="328">
        <v>0</v>
      </c>
      <c r="AH112" s="330">
        <v>46231</v>
      </c>
      <c r="AI112" s="330">
        <v>46233</v>
      </c>
      <c r="AJ112" s="331" t="s">
        <v>165</v>
      </c>
      <c r="AK112" s="331" t="s">
        <v>422</v>
      </c>
      <c r="AL112" s="332">
        <v>0</v>
      </c>
      <c r="AM112" s="311">
        <v>46332</v>
      </c>
      <c r="AN112" s="311">
        <v>46338</v>
      </c>
      <c r="AO112" s="310" t="s">
        <v>40</v>
      </c>
      <c r="AP112" s="472">
        <v>0</v>
      </c>
      <c r="AQ112" s="301"/>
    </row>
    <row r="113" spans="1:43">
      <c r="A113" s="306" t="s">
        <v>437</v>
      </c>
      <c r="B113" s="305" t="s">
        <v>564</v>
      </c>
      <c r="C113" s="305">
        <v>1</v>
      </c>
      <c r="D113" s="380">
        <v>46190</v>
      </c>
      <c r="E113" s="380">
        <v>46195</v>
      </c>
      <c r="F113" s="308" t="s">
        <v>40</v>
      </c>
      <c r="G113" s="308" t="s">
        <v>436</v>
      </c>
      <c r="H113" s="381">
        <v>0</v>
      </c>
      <c r="I113" s="311">
        <v>46203</v>
      </c>
      <c r="J113" s="311">
        <v>46208</v>
      </c>
      <c r="K113" s="310" t="s">
        <v>40</v>
      </c>
      <c r="L113" s="310" t="s">
        <v>422</v>
      </c>
      <c r="M113" s="312">
        <v>0</v>
      </c>
      <c r="N113" s="314">
        <v>46203</v>
      </c>
      <c r="O113" s="314">
        <v>46208</v>
      </c>
      <c r="P113" s="315" t="s">
        <v>40</v>
      </c>
      <c r="Q113" s="315" t="s">
        <v>422</v>
      </c>
      <c r="R113" s="316">
        <v>0</v>
      </c>
      <c r="S113" s="318">
        <v>46222</v>
      </c>
      <c r="T113" s="318">
        <v>46227</v>
      </c>
      <c r="U113" s="319" t="s">
        <v>40</v>
      </c>
      <c r="V113" s="319" t="s">
        <v>422</v>
      </c>
      <c r="W113" s="320">
        <v>0</v>
      </c>
      <c r="X113" s="322">
        <v>46235</v>
      </c>
      <c r="Y113" s="322">
        <v>46237</v>
      </c>
      <c r="Z113" s="323" t="s">
        <v>40</v>
      </c>
      <c r="AA113" s="323" t="s">
        <v>422</v>
      </c>
      <c r="AB113" s="324">
        <v>0</v>
      </c>
      <c r="AC113" s="326">
        <v>46238</v>
      </c>
      <c r="AD113" s="326">
        <v>46244</v>
      </c>
      <c r="AE113" s="327" t="s">
        <v>40</v>
      </c>
      <c r="AF113" s="327" t="s">
        <v>422</v>
      </c>
      <c r="AG113" s="328">
        <v>0</v>
      </c>
      <c r="AH113" s="330">
        <v>46231</v>
      </c>
      <c r="AI113" s="330">
        <v>46233</v>
      </c>
      <c r="AJ113" s="331" t="s">
        <v>165</v>
      </c>
      <c r="AK113" s="331" t="s">
        <v>422</v>
      </c>
      <c r="AL113" s="332">
        <v>0</v>
      </c>
      <c r="AM113" s="311">
        <v>46332</v>
      </c>
      <c r="AN113" s="311">
        <v>46338</v>
      </c>
      <c r="AO113" s="310" t="s">
        <v>40</v>
      </c>
      <c r="AP113" s="472">
        <v>0</v>
      </c>
      <c r="AQ113" s="301"/>
    </row>
    <row r="114" spans="1:43">
      <c r="A114" s="306" t="s">
        <v>437</v>
      </c>
      <c r="B114" s="305" t="s">
        <v>565</v>
      </c>
      <c r="C114" s="305">
        <v>1</v>
      </c>
      <c r="D114" s="380">
        <v>46190</v>
      </c>
      <c r="E114" s="380">
        <v>46195</v>
      </c>
      <c r="F114" s="308" t="s">
        <v>40</v>
      </c>
      <c r="G114" s="308" t="s">
        <v>436</v>
      </c>
      <c r="H114" s="381">
        <v>0</v>
      </c>
      <c r="I114" s="311">
        <v>46203</v>
      </c>
      <c r="J114" s="311">
        <v>46208</v>
      </c>
      <c r="K114" s="310" t="s">
        <v>40</v>
      </c>
      <c r="L114" s="310" t="s">
        <v>422</v>
      </c>
      <c r="M114" s="312">
        <v>0</v>
      </c>
      <c r="N114" s="314">
        <v>46203</v>
      </c>
      <c r="O114" s="314">
        <v>46208</v>
      </c>
      <c r="P114" s="315" t="s">
        <v>40</v>
      </c>
      <c r="Q114" s="315" t="s">
        <v>422</v>
      </c>
      <c r="R114" s="316">
        <v>0</v>
      </c>
      <c r="S114" s="318">
        <v>46222</v>
      </c>
      <c r="T114" s="318">
        <v>46227</v>
      </c>
      <c r="U114" s="319" t="s">
        <v>40</v>
      </c>
      <c r="V114" s="319" t="s">
        <v>422</v>
      </c>
      <c r="W114" s="320">
        <v>0</v>
      </c>
      <c r="X114" s="322">
        <v>46235</v>
      </c>
      <c r="Y114" s="322">
        <v>46237</v>
      </c>
      <c r="Z114" s="323" t="s">
        <v>40</v>
      </c>
      <c r="AA114" s="323" t="s">
        <v>422</v>
      </c>
      <c r="AB114" s="324">
        <v>0</v>
      </c>
      <c r="AC114" s="326">
        <v>46238</v>
      </c>
      <c r="AD114" s="326">
        <v>46244</v>
      </c>
      <c r="AE114" s="327" t="s">
        <v>40</v>
      </c>
      <c r="AF114" s="327" t="s">
        <v>422</v>
      </c>
      <c r="AG114" s="328">
        <v>0</v>
      </c>
      <c r="AH114" s="330">
        <v>46231</v>
      </c>
      <c r="AI114" s="330">
        <v>46233</v>
      </c>
      <c r="AJ114" s="331" t="s">
        <v>165</v>
      </c>
      <c r="AK114" s="331" t="s">
        <v>422</v>
      </c>
      <c r="AL114" s="332">
        <v>0</v>
      </c>
      <c r="AM114" s="311">
        <v>46332</v>
      </c>
      <c r="AN114" s="311">
        <v>46338</v>
      </c>
      <c r="AO114" s="310" t="s">
        <v>40</v>
      </c>
      <c r="AP114" s="472">
        <v>0</v>
      </c>
      <c r="AQ114" s="301"/>
    </row>
    <row r="115" spans="1:43">
      <c r="A115" s="306" t="s">
        <v>437</v>
      </c>
      <c r="B115" s="305" t="s">
        <v>566</v>
      </c>
      <c r="C115" s="305">
        <v>1</v>
      </c>
      <c r="D115" s="380">
        <v>46190</v>
      </c>
      <c r="E115" s="380">
        <v>46195</v>
      </c>
      <c r="F115" s="308" t="s">
        <v>40</v>
      </c>
      <c r="G115" s="473" t="s">
        <v>567</v>
      </c>
      <c r="H115" s="381">
        <v>0</v>
      </c>
      <c r="I115" s="311">
        <v>46203</v>
      </c>
      <c r="J115" s="311">
        <v>46208</v>
      </c>
      <c r="K115" s="310" t="s">
        <v>40</v>
      </c>
      <c r="L115" s="310" t="s">
        <v>422</v>
      </c>
      <c r="M115" s="312">
        <v>0</v>
      </c>
      <c r="N115" s="314">
        <v>46203</v>
      </c>
      <c r="O115" s="314">
        <v>46208</v>
      </c>
      <c r="P115" s="315" t="s">
        <v>40</v>
      </c>
      <c r="Q115" s="315" t="s">
        <v>422</v>
      </c>
      <c r="R115" s="316">
        <v>0</v>
      </c>
      <c r="S115" s="318">
        <v>46222</v>
      </c>
      <c r="T115" s="318">
        <v>46227</v>
      </c>
      <c r="U115" s="319" t="s">
        <v>40</v>
      </c>
      <c r="V115" s="319" t="s">
        <v>422</v>
      </c>
      <c r="W115" s="320">
        <v>0</v>
      </c>
      <c r="X115" s="322">
        <v>46235</v>
      </c>
      <c r="Y115" s="322">
        <v>46237</v>
      </c>
      <c r="Z115" s="323" t="s">
        <v>40</v>
      </c>
      <c r="AA115" s="323" t="s">
        <v>422</v>
      </c>
      <c r="AB115" s="324">
        <v>0</v>
      </c>
      <c r="AC115" s="326">
        <v>46238</v>
      </c>
      <c r="AD115" s="326">
        <v>46244</v>
      </c>
      <c r="AE115" s="327" t="s">
        <v>40</v>
      </c>
      <c r="AF115" s="327" t="s">
        <v>422</v>
      </c>
      <c r="AG115" s="328">
        <v>0</v>
      </c>
      <c r="AH115" s="330">
        <v>46251</v>
      </c>
      <c r="AI115" s="330">
        <v>46254</v>
      </c>
      <c r="AJ115" s="331" t="s">
        <v>165</v>
      </c>
      <c r="AK115" s="331" t="s">
        <v>422</v>
      </c>
      <c r="AL115" s="332">
        <v>0</v>
      </c>
      <c r="AM115" s="311">
        <v>46332</v>
      </c>
      <c r="AN115" s="311">
        <v>46338</v>
      </c>
      <c r="AO115" s="310" t="s">
        <v>40</v>
      </c>
      <c r="AP115" s="472">
        <v>0</v>
      </c>
      <c r="AQ115" s="301"/>
    </row>
    <row r="116" spans="1:43">
      <c r="A116" s="306"/>
      <c r="B116" s="305"/>
      <c r="C116" s="305"/>
      <c r="D116" s="380"/>
      <c r="E116" s="380"/>
      <c r="F116" s="308"/>
      <c r="G116" s="474" t="s">
        <v>568</v>
      </c>
      <c r="H116" s="381"/>
      <c r="I116" s="311"/>
      <c r="J116" s="311"/>
      <c r="K116" s="310"/>
      <c r="L116" s="310"/>
      <c r="M116" s="312"/>
      <c r="N116" s="314"/>
      <c r="O116" s="314"/>
      <c r="P116" s="315"/>
      <c r="Q116" s="315"/>
      <c r="R116" s="316"/>
      <c r="S116" s="318"/>
      <c r="T116" s="318"/>
      <c r="U116" s="319"/>
      <c r="V116" s="319"/>
      <c r="W116" s="320"/>
      <c r="X116" s="322"/>
      <c r="Y116" s="322"/>
      <c r="Z116" s="323"/>
      <c r="AA116" s="323"/>
      <c r="AB116" s="324"/>
      <c r="AC116" s="326"/>
      <c r="AD116" s="326"/>
      <c r="AE116" s="327"/>
      <c r="AF116" s="327"/>
      <c r="AG116" s="328"/>
      <c r="AH116" s="330"/>
      <c r="AI116" s="330"/>
      <c r="AJ116" s="331"/>
      <c r="AK116" s="331"/>
      <c r="AL116" s="332"/>
      <c r="AM116" s="311"/>
      <c r="AN116" s="311"/>
      <c r="AO116" s="310"/>
      <c r="AP116" s="472"/>
      <c r="AQ116" s="301"/>
    </row>
    <row r="117" spans="1:43">
      <c r="A117" s="306" t="s">
        <v>437</v>
      </c>
      <c r="B117" s="305" t="s">
        <v>569</v>
      </c>
      <c r="C117" s="305">
        <v>1</v>
      </c>
      <c r="D117" s="380">
        <v>46190</v>
      </c>
      <c r="E117" s="380">
        <v>46195</v>
      </c>
      <c r="F117" s="308" t="s">
        <v>40</v>
      </c>
      <c r="G117" s="308" t="s">
        <v>436</v>
      </c>
      <c r="H117" s="381">
        <v>0</v>
      </c>
      <c r="I117" s="311">
        <v>46203</v>
      </c>
      <c r="J117" s="311">
        <v>46208</v>
      </c>
      <c r="K117" s="310" t="s">
        <v>40</v>
      </c>
      <c r="L117" s="310" t="s">
        <v>422</v>
      </c>
      <c r="M117" s="312">
        <v>0</v>
      </c>
      <c r="N117" s="314">
        <v>46203</v>
      </c>
      <c r="O117" s="314">
        <v>46208</v>
      </c>
      <c r="P117" s="315" t="s">
        <v>40</v>
      </c>
      <c r="Q117" s="315" t="s">
        <v>422</v>
      </c>
      <c r="R117" s="316">
        <v>0</v>
      </c>
      <c r="S117" s="318">
        <v>46222</v>
      </c>
      <c r="T117" s="318">
        <v>46227</v>
      </c>
      <c r="U117" s="319" t="s">
        <v>40</v>
      </c>
      <c r="V117" s="319" t="s">
        <v>422</v>
      </c>
      <c r="W117" s="320">
        <v>0</v>
      </c>
      <c r="X117" s="322">
        <v>46235</v>
      </c>
      <c r="Y117" s="322">
        <v>46237</v>
      </c>
      <c r="Z117" s="323" t="s">
        <v>40</v>
      </c>
      <c r="AA117" s="323" t="s">
        <v>422</v>
      </c>
      <c r="AB117" s="324">
        <v>0</v>
      </c>
      <c r="AC117" s="326">
        <v>46238</v>
      </c>
      <c r="AD117" s="326">
        <v>46244</v>
      </c>
      <c r="AE117" s="327" t="s">
        <v>40</v>
      </c>
      <c r="AF117" s="327" t="s">
        <v>422</v>
      </c>
      <c r="AG117" s="328">
        <v>0</v>
      </c>
      <c r="AH117" s="330">
        <v>46251</v>
      </c>
      <c r="AI117" s="330">
        <v>46254</v>
      </c>
      <c r="AJ117" s="331" t="s">
        <v>165</v>
      </c>
      <c r="AK117" s="331" t="s">
        <v>422</v>
      </c>
      <c r="AL117" s="332">
        <v>0</v>
      </c>
      <c r="AM117" s="311">
        <v>46332</v>
      </c>
      <c r="AN117" s="311">
        <v>46338</v>
      </c>
      <c r="AO117" s="310" t="s">
        <v>40</v>
      </c>
      <c r="AP117" s="472">
        <v>0</v>
      </c>
      <c r="AQ117" s="301"/>
    </row>
    <row r="118" spans="1:43">
      <c r="A118" s="306" t="s">
        <v>437</v>
      </c>
      <c r="B118" s="305" t="s">
        <v>570</v>
      </c>
      <c r="C118" s="305">
        <v>1</v>
      </c>
      <c r="D118" s="380">
        <v>46190</v>
      </c>
      <c r="E118" s="380">
        <v>46195</v>
      </c>
      <c r="F118" s="308" t="s">
        <v>40</v>
      </c>
      <c r="G118" s="308" t="s">
        <v>436</v>
      </c>
      <c r="H118" s="381">
        <v>0</v>
      </c>
      <c r="I118" s="311">
        <v>46203</v>
      </c>
      <c r="J118" s="311">
        <v>46208</v>
      </c>
      <c r="K118" s="310" t="s">
        <v>40</v>
      </c>
      <c r="L118" s="310" t="s">
        <v>422</v>
      </c>
      <c r="M118" s="312">
        <v>0</v>
      </c>
      <c r="N118" s="314">
        <v>46203</v>
      </c>
      <c r="O118" s="314">
        <v>46208</v>
      </c>
      <c r="P118" s="315" t="s">
        <v>40</v>
      </c>
      <c r="Q118" s="315" t="s">
        <v>422</v>
      </c>
      <c r="R118" s="316">
        <v>0</v>
      </c>
      <c r="S118" s="318">
        <v>46222</v>
      </c>
      <c r="T118" s="318">
        <v>46227</v>
      </c>
      <c r="U118" s="319" t="s">
        <v>40</v>
      </c>
      <c r="V118" s="319" t="s">
        <v>422</v>
      </c>
      <c r="W118" s="320">
        <v>0</v>
      </c>
      <c r="X118" s="322">
        <v>46235</v>
      </c>
      <c r="Y118" s="322">
        <v>46237</v>
      </c>
      <c r="Z118" s="323" t="s">
        <v>40</v>
      </c>
      <c r="AA118" s="323" t="s">
        <v>422</v>
      </c>
      <c r="AB118" s="324">
        <v>0</v>
      </c>
      <c r="AC118" s="326">
        <v>46238</v>
      </c>
      <c r="AD118" s="326">
        <v>46244</v>
      </c>
      <c r="AE118" s="327" t="s">
        <v>40</v>
      </c>
      <c r="AF118" s="327" t="s">
        <v>422</v>
      </c>
      <c r="AG118" s="328">
        <v>0</v>
      </c>
      <c r="AH118" s="330">
        <v>46251</v>
      </c>
      <c r="AI118" s="330">
        <v>46254</v>
      </c>
      <c r="AJ118" s="331" t="s">
        <v>165</v>
      </c>
      <c r="AK118" s="331" t="s">
        <v>422</v>
      </c>
      <c r="AL118" s="332">
        <v>0</v>
      </c>
      <c r="AM118" s="311">
        <v>46332</v>
      </c>
      <c r="AN118" s="311">
        <v>46338</v>
      </c>
      <c r="AO118" s="310" t="s">
        <v>40</v>
      </c>
      <c r="AP118" s="472">
        <v>0</v>
      </c>
      <c r="AQ118" s="301"/>
    </row>
    <row r="119" spans="1:43">
      <c r="A119" s="306" t="s">
        <v>437</v>
      </c>
      <c r="B119" s="305" t="s">
        <v>571</v>
      </c>
      <c r="C119" s="305">
        <v>1</v>
      </c>
      <c r="D119" s="380">
        <v>46190</v>
      </c>
      <c r="E119" s="380">
        <v>46195</v>
      </c>
      <c r="F119" s="308" t="s">
        <v>40</v>
      </c>
      <c r="G119" s="308" t="s">
        <v>436</v>
      </c>
      <c r="H119" s="381">
        <v>0</v>
      </c>
      <c r="I119" s="311">
        <v>46209</v>
      </c>
      <c r="J119" s="311">
        <v>46215</v>
      </c>
      <c r="K119" s="310" t="s">
        <v>40</v>
      </c>
      <c r="L119" s="310" t="s">
        <v>422</v>
      </c>
      <c r="M119" s="312">
        <v>0</v>
      </c>
      <c r="N119" s="314">
        <v>46209</v>
      </c>
      <c r="O119" s="314">
        <v>46215</v>
      </c>
      <c r="P119" s="315" t="s">
        <v>40</v>
      </c>
      <c r="Q119" s="315" t="s">
        <v>422</v>
      </c>
      <c r="R119" s="316">
        <v>0</v>
      </c>
      <c r="S119" s="318">
        <v>46222</v>
      </c>
      <c r="T119" s="318">
        <v>46227</v>
      </c>
      <c r="U119" s="319" t="s">
        <v>40</v>
      </c>
      <c r="V119" s="319" t="s">
        <v>422</v>
      </c>
      <c r="W119" s="320">
        <v>0</v>
      </c>
      <c r="X119" s="322">
        <v>46235</v>
      </c>
      <c r="Y119" s="322">
        <v>46237</v>
      </c>
      <c r="Z119" s="323" t="s">
        <v>40</v>
      </c>
      <c r="AA119" s="323" t="s">
        <v>422</v>
      </c>
      <c r="AB119" s="324">
        <v>0</v>
      </c>
      <c r="AC119" s="326">
        <v>46238</v>
      </c>
      <c r="AD119" s="326">
        <v>46244</v>
      </c>
      <c r="AE119" s="327" t="s">
        <v>40</v>
      </c>
      <c r="AF119" s="327" t="s">
        <v>422</v>
      </c>
      <c r="AG119" s="328">
        <v>0</v>
      </c>
      <c r="AH119" s="330">
        <v>46251</v>
      </c>
      <c r="AI119" s="330">
        <v>46254</v>
      </c>
      <c r="AJ119" s="331" t="s">
        <v>165</v>
      </c>
      <c r="AK119" s="331" t="s">
        <v>422</v>
      </c>
      <c r="AL119" s="332">
        <v>0</v>
      </c>
      <c r="AM119" s="311">
        <v>46332</v>
      </c>
      <c r="AN119" s="311">
        <v>46338</v>
      </c>
      <c r="AO119" s="310" t="s">
        <v>40</v>
      </c>
      <c r="AP119" s="472">
        <v>0</v>
      </c>
      <c r="AQ119" s="301"/>
    </row>
    <row r="120" spans="1:43">
      <c r="A120" s="306" t="s">
        <v>437</v>
      </c>
      <c r="B120" s="305" t="s">
        <v>572</v>
      </c>
      <c r="C120" s="305">
        <v>1</v>
      </c>
      <c r="D120" s="380">
        <v>46190</v>
      </c>
      <c r="E120" s="380">
        <v>46195</v>
      </c>
      <c r="F120" s="308" t="s">
        <v>40</v>
      </c>
      <c r="G120" s="308" t="s">
        <v>436</v>
      </c>
      <c r="H120" s="381">
        <v>0</v>
      </c>
      <c r="I120" s="311">
        <v>46209</v>
      </c>
      <c r="J120" s="311">
        <v>46215</v>
      </c>
      <c r="K120" s="310" t="s">
        <v>40</v>
      </c>
      <c r="L120" s="310" t="s">
        <v>422</v>
      </c>
      <c r="M120" s="312">
        <v>0</v>
      </c>
      <c r="N120" s="314">
        <v>46209</v>
      </c>
      <c r="O120" s="314">
        <v>46215</v>
      </c>
      <c r="P120" s="315" t="s">
        <v>40</v>
      </c>
      <c r="Q120" s="315" t="s">
        <v>422</v>
      </c>
      <c r="R120" s="316">
        <v>0</v>
      </c>
      <c r="S120" s="318">
        <v>46228</v>
      </c>
      <c r="T120" s="318">
        <v>46234</v>
      </c>
      <c r="U120" s="319" t="s">
        <v>40</v>
      </c>
      <c r="V120" s="319" t="s">
        <v>422</v>
      </c>
      <c r="W120" s="320">
        <v>0</v>
      </c>
      <c r="X120" s="322">
        <v>46235</v>
      </c>
      <c r="Y120" s="322">
        <v>46237</v>
      </c>
      <c r="Z120" s="323" t="s">
        <v>40</v>
      </c>
      <c r="AA120" s="323" t="s">
        <v>422</v>
      </c>
      <c r="AB120" s="324">
        <v>0</v>
      </c>
      <c r="AC120" s="326">
        <v>46245</v>
      </c>
      <c r="AD120" s="326">
        <v>46250</v>
      </c>
      <c r="AE120" s="327" t="s">
        <v>40</v>
      </c>
      <c r="AF120" s="327" t="s">
        <v>422</v>
      </c>
      <c r="AG120" s="328">
        <v>0</v>
      </c>
      <c r="AH120" s="330">
        <v>46251</v>
      </c>
      <c r="AI120" s="330">
        <v>46254</v>
      </c>
      <c r="AJ120" s="331" t="s">
        <v>165</v>
      </c>
      <c r="AK120" s="331" t="s">
        <v>422</v>
      </c>
      <c r="AL120" s="332">
        <v>0</v>
      </c>
      <c r="AM120" s="311">
        <v>46332</v>
      </c>
      <c r="AN120" s="311">
        <v>46338</v>
      </c>
      <c r="AO120" s="310" t="s">
        <v>40</v>
      </c>
      <c r="AP120" s="472">
        <v>0</v>
      </c>
      <c r="AQ120" s="301"/>
    </row>
    <row r="121" spans="1:43">
      <c r="A121" s="306" t="s">
        <v>437</v>
      </c>
      <c r="B121" s="305" t="s">
        <v>573</v>
      </c>
      <c r="C121" s="305">
        <v>1</v>
      </c>
      <c r="D121" s="380">
        <v>46190</v>
      </c>
      <c r="E121" s="380">
        <v>46195</v>
      </c>
      <c r="F121" s="308" t="s">
        <v>40</v>
      </c>
      <c r="G121" s="308" t="s">
        <v>436</v>
      </c>
      <c r="H121" s="381">
        <v>0</v>
      </c>
      <c r="I121" s="311">
        <v>46209</v>
      </c>
      <c r="J121" s="311">
        <v>46215</v>
      </c>
      <c r="K121" s="310" t="s">
        <v>40</v>
      </c>
      <c r="L121" s="310" t="s">
        <v>422</v>
      </c>
      <c r="M121" s="312">
        <v>0</v>
      </c>
      <c r="N121" s="314">
        <v>46209</v>
      </c>
      <c r="O121" s="314">
        <v>46215</v>
      </c>
      <c r="P121" s="315" t="s">
        <v>40</v>
      </c>
      <c r="Q121" s="315" t="s">
        <v>422</v>
      </c>
      <c r="R121" s="316">
        <v>0</v>
      </c>
      <c r="S121" s="318">
        <v>46228</v>
      </c>
      <c r="T121" s="318">
        <v>46234</v>
      </c>
      <c r="U121" s="319" t="s">
        <v>40</v>
      </c>
      <c r="V121" s="319" t="s">
        <v>422</v>
      </c>
      <c r="W121" s="320">
        <v>0</v>
      </c>
      <c r="X121" s="322">
        <v>46235</v>
      </c>
      <c r="Y121" s="322">
        <v>46237</v>
      </c>
      <c r="Z121" s="323" t="s">
        <v>40</v>
      </c>
      <c r="AA121" s="323" t="s">
        <v>422</v>
      </c>
      <c r="AB121" s="324">
        <v>0</v>
      </c>
      <c r="AC121" s="326">
        <v>46245</v>
      </c>
      <c r="AD121" s="326">
        <v>46250</v>
      </c>
      <c r="AE121" s="327" t="s">
        <v>40</v>
      </c>
      <c r="AF121" s="327" t="s">
        <v>422</v>
      </c>
      <c r="AG121" s="328">
        <v>0</v>
      </c>
      <c r="AH121" s="330">
        <v>46251</v>
      </c>
      <c r="AI121" s="330">
        <v>46254</v>
      </c>
      <c r="AJ121" s="331" t="s">
        <v>165</v>
      </c>
      <c r="AK121" s="331" t="s">
        <v>422</v>
      </c>
      <c r="AL121" s="332">
        <v>0</v>
      </c>
      <c r="AM121" s="311">
        <v>46332</v>
      </c>
      <c r="AN121" s="311">
        <v>46338</v>
      </c>
      <c r="AO121" s="310" t="s">
        <v>40</v>
      </c>
      <c r="AP121" s="472">
        <v>0</v>
      </c>
      <c r="AQ121" s="301"/>
    </row>
    <row r="122" spans="1:43">
      <c r="A122" s="306" t="s">
        <v>437</v>
      </c>
      <c r="B122" s="305" t="s">
        <v>574</v>
      </c>
      <c r="C122" s="305">
        <v>1</v>
      </c>
      <c r="D122" s="380">
        <v>46190</v>
      </c>
      <c r="E122" s="380">
        <v>46195</v>
      </c>
      <c r="F122" s="308" t="s">
        <v>40</v>
      </c>
      <c r="G122" s="308" t="s">
        <v>436</v>
      </c>
      <c r="H122" s="381">
        <v>0</v>
      </c>
      <c r="I122" s="311">
        <v>46209</v>
      </c>
      <c r="J122" s="311">
        <v>46215</v>
      </c>
      <c r="K122" s="310" t="s">
        <v>40</v>
      </c>
      <c r="L122" s="310" t="s">
        <v>422</v>
      </c>
      <c r="M122" s="312">
        <v>0</v>
      </c>
      <c r="N122" s="314">
        <v>46209</v>
      </c>
      <c r="O122" s="314">
        <v>46215</v>
      </c>
      <c r="P122" s="315" t="s">
        <v>40</v>
      </c>
      <c r="Q122" s="315" t="s">
        <v>422</v>
      </c>
      <c r="R122" s="316">
        <v>0</v>
      </c>
      <c r="S122" s="318">
        <v>46228</v>
      </c>
      <c r="T122" s="318">
        <v>46234</v>
      </c>
      <c r="U122" s="319" t="s">
        <v>40</v>
      </c>
      <c r="V122" s="319" t="s">
        <v>422</v>
      </c>
      <c r="W122" s="320">
        <v>0</v>
      </c>
      <c r="X122" s="322">
        <v>46235</v>
      </c>
      <c r="Y122" s="322">
        <v>46237</v>
      </c>
      <c r="Z122" s="323" t="s">
        <v>40</v>
      </c>
      <c r="AA122" s="323" t="s">
        <v>422</v>
      </c>
      <c r="AB122" s="324">
        <v>0</v>
      </c>
      <c r="AC122" s="326">
        <v>46245</v>
      </c>
      <c r="AD122" s="326">
        <v>46250</v>
      </c>
      <c r="AE122" s="327" t="s">
        <v>40</v>
      </c>
      <c r="AF122" s="327" t="s">
        <v>422</v>
      </c>
      <c r="AG122" s="328">
        <v>0</v>
      </c>
      <c r="AH122" s="330">
        <v>46251</v>
      </c>
      <c r="AI122" s="330">
        <v>46254</v>
      </c>
      <c r="AJ122" s="331" t="s">
        <v>165</v>
      </c>
      <c r="AK122" s="331" t="s">
        <v>422</v>
      </c>
      <c r="AL122" s="332">
        <v>0</v>
      </c>
      <c r="AM122" s="311">
        <v>46332</v>
      </c>
      <c r="AN122" s="311">
        <v>46338</v>
      </c>
      <c r="AO122" s="310" t="s">
        <v>40</v>
      </c>
      <c r="AP122" s="472">
        <v>0</v>
      </c>
      <c r="AQ122" s="301"/>
    </row>
    <row r="123" spans="1:43">
      <c r="A123" s="306" t="s">
        <v>437</v>
      </c>
      <c r="B123" s="305" t="s">
        <v>575</v>
      </c>
      <c r="C123" s="305">
        <v>1</v>
      </c>
      <c r="D123" s="380">
        <v>46190</v>
      </c>
      <c r="E123" s="380">
        <v>46195</v>
      </c>
      <c r="F123" s="308" t="s">
        <v>40</v>
      </c>
      <c r="G123" s="308" t="s">
        <v>436</v>
      </c>
      <c r="H123" s="381">
        <v>0</v>
      </c>
      <c r="I123" s="311">
        <v>46209</v>
      </c>
      <c r="J123" s="311">
        <v>46215</v>
      </c>
      <c r="K123" s="310" t="s">
        <v>40</v>
      </c>
      <c r="L123" s="310" t="s">
        <v>422</v>
      </c>
      <c r="M123" s="312">
        <v>0</v>
      </c>
      <c r="N123" s="314">
        <v>46209</v>
      </c>
      <c r="O123" s="314">
        <v>46215</v>
      </c>
      <c r="P123" s="315" t="s">
        <v>40</v>
      </c>
      <c r="Q123" s="315" t="s">
        <v>422</v>
      </c>
      <c r="R123" s="316">
        <v>0</v>
      </c>
      <c r="S123" s="318">
        <v>46228</v>
      </c>
      <c r="T123" s="318">
        <v>46234</v>
      </c>
      <c r="U123" s="319" t="s">
        <v>40</v>
      </c>
      <c r="V123" s="319" t="s">
        <v>422</v>
      </c>
      <c r="W123" s="320">
        <v>0</v>
      </c>
      <c r="X123" s="322">
        <v>46235</v>
      </c>
      <c r="Y123" s="322">
        <v>46237</v>
      </c>
      <c r="Z123" s="323" t="s">
        <v>40</v>
      </c>
      <c r="AA123" s="323" t="s">
        <v>422</v>
      </c>
      <c r="AB123" s="324">
        <v>0</v>
      </c>
      <c r="AC123" s="326">
        <v>46245</v>
      </c>
      <c r="AD123" s="326">
        <v>46250</v>
      </c>
      <c r="AE123" s="327" t="s">
        <v>40</v>
      </c>
      <c r="AF123" s="327" t="s">
        <v>422</v>
      </c>
      <c r="AG123" s="328">
        <v>0</v>
      </c>
      <c r="AH123" s="330">
        <v>46251</v>
      </c>
      <c r="AI123" s="330">
        <v>46254</v>
      </c>
      <c r="AJ123" s="331" t="s">
        <v>165</v>
      </c>
      <c r="AK123" s="331" t="s">
        <v>422</v>
      </c>
      <c r="AL123" s="332">
        <v>0</v>
      </c>
      <c r="AM123" s="311">
        <v>46332</v>
      </c>
      <c r="AN123" s="311">
        <v>46338</v>
      </c>
      <c r="AO123" s="310" t="s">
        <v>40</v>
      </c>
      <c r="AP123" s="472">
        <v>0</v>
      </c>
      <c r="AQ123" s="301"/>
    </row>
    <row r="124" spans="1:43">
      <c r="A124" s="306" t="s">
        <v>437</v>
      </c>
      <c r="B124" s="305" t="s">
        <v>576</v>
      </c>
      <c r="C124" s="305">
        <v>1</v>
      </c>
      <c r="D124" s="380">
        <v>46190</v>
      </c>
      <c r="E124" s="380">
        <v>46195</v>
      </c>
      <c r="F124" s="308" t="s">
        <v>40</v>
      </c>
      <c r="G124" s="308" t="s">
        <v>436</v>
      </c>
      <c r="H124" s="381">
        <v>0</v>
      </c>
      <c r="I124" s="311">
        <v>46209</v>
      </c>
      <c r="J124" s="311">
        <v>46215</v>
      </c>
      <c r="K124" s="310" t="s">
        <v>40</v>
      </c>
      <c r="L124" s="310" t="s">
        <v>422</v>
      </c>
      <c r="M124" s="312">
        <v>0</v>
      </c>
      <c r="N124" s="314">
        <v>46209</v>
      </c>
      <c r="O124" s="314">
        <v>46215</v>
      </c>
      <c r="P124" s="315" t="s">
        <v>40</v>
      </c>
      <c r="Q124" s="315" t="s">
        <v>422</v>
      </c>
      <c r="R124" s="316">
        <v>0</v>
      </c>
      <c r="S124" s="318">
        <v>46228</v>
      </c>
      <c r="T124" s="318">
        <v>46234</v>
      </c>
      <c r="U124" s="319" t="s">
        <v>40</v>
      </c>
      <c r="V124" s="319" t="s">
        <v>422</v>
      </c>
      <c r="W124" s="320">
        <v>0</v>
      </c>
      <c r="X124" s="322">
        <v>46235</v>
      </c>
      <c r="Y124" s="322">
        <v>46237</v>
      </c>
      <c r="Z124" s="323" t="s">
        <v>40</v>
      </c>
      <c r="AA124" s="323" t="s">
        <v>422</v>
      </c>
      <c r="AB124" s="324">
        <v>0</v>
      </c>
      <c r="AC124" s="326">
        <v>46245</v>
      </c>
      <c r="AD124" s="326">
        <v>46250</v>
      </c>
      <c r="AE124" s="327" t="s">
        <v>40</v>
      </c>
      <c r="AF124" s="327" t="s">
        <v>422</v>
      </c>
      <c r="AG124" s="328">
        <v>0</v>
      </c>
      <c r="AH124" s="330">
        <v>46251</v>
      </c>
      <c r="AI124" s="330">
        <v>46254</v>
      </c>
      <c r="AJ124" s="331" t="s">
        <v>165</v>
      </c>
      <c r="AK124" s="331" t="s">
        <v>422</v>
      </c>
      <c r="AL124" s="332">
        <v>0</v>
      </c>
      <c r="AM124" s="311">
        <v>46332</v>
      </c>
      <c r="AN124" s="311">
        <v>46338</v>
      </c>
      <c r="AO124" s="310" t="s">
        <v>40</v>
      </c>
      <c r="AP124" s="472">
        <v>0</v>
      </c>
      <c r="AQ124" s="301"/>
    </row>
    <row r="125" spans="1:43">
      <c r="A125" s="306" t="s">
        <v>437</v>
      </c>
      <c r="B125" s="305" t="s">
        <v>577</v>
      </c>
      <c r="C125" s="305">
        <v>1</v>
      </c>
      <c r="D125" s="380">
        <v>46190</v>
      </c>
      <c r="E125" s="380">
        <v>46195</v>
      </c>
      <c r="F125" s="308" t="s">
        <v>40</v>
      </c>
      <c r="G125" s="308" t="s">
        <v>436</v>
      </c>
      <c r="H125" s="381">
        <v>0</v>
      </c>
      <c r="I125" s="311">
        <v>46209</v>
      </c>
      <c r="J125" s="311">
        <v>46215</v>
      </c>
      <c r="K125" s="310" t="s">
        <v>40</v>
      </c>
      <c r="L125" s="310" t="s">
        <v>422</v>
      </c>
      <c r="M125" s="312">
        <v>0</v>
      </c>
      <c r="N125" s="314">
        <v>46209</v>
      </c>
      <c r="O125" s="314">
        <v>46215</v>
      </c>
      <c r="P125" s="315" t="s">
        <v>40</v>
      </c>
      <c r="Q125" s="315" t="s">
        <v>422</v>
      </c>
      <c r="R125" s="316">
        <v>0</v>
      </c>
      <c r="S125" s="318">
        <v>46228</v>
      </c>
      <c r="T125" s="318">
        <v>46234</v>
      </c>
      <c r="U125" s="319" t="s">
        <v>40</v>
      </c>
      <c r="V125" s="319" t="s">
        <v>422</v>
      </c>
      <c r="W125" s="320">
        <v>0</v>
      </c>
      <c r="X125" s="322">
        <v>46235</v>
      </c>
      <c r="Y125" s="322">
        <v>46237</v>
      </c>
      <c r="Z125" s="323" t="s">
        <v>40</v>
      </c>
      <c r="AA125" s="323" t="s">
        <v>422</v>
      </c>
      <c r="AB125" s="324">
        <v>0</v>
      </c>
      <c r="AC125" s="326">
        <v>46245</v>
      </c>
      <c r="AD125" s="326">
        <v>46250</v>
      </c>
      <c r="AE125" s="327" t="s">
        <v>40</v>
      </c>
      <c r="AF125" s="327" t="s">
        <v>422</v>
      </c>
      <c r="AG125" s="328">
        <v>0</v>
      </c>
      <c r="AH125" s="330">
        <v>46251</v>
      </c>
      <c r="AI125" s="330">
        <v>46254</v>
      </c>
      <c r="AJ125" s="331" t="s">
        <v>165</v>
      </c>
      <c r="AK125" s="331" t="s">
        <v>422</v>
      </c>
      <c r="AL125" s="332">
        <v>0</v>
      </c>
      <c r="AM125" s="311">
        <v>46332</v>
      </c>
      <c r="AN125" s="311">
        <v>46338</v>
      </c>
      <c r="AO125" s="310" t="s">
        <v>40</v>
      </c>
      <c r="AP125" s="472">
        <v>0</v>
      </c>
      <c r="AQ125" s="301"/>
    </row>
    <row r="126" spans="1:43">
      <c r="A126" s="306" t="s">
        <v>437</v>
      </c>
      <c r="B126" s="305" t="s">
        <v>578</v>
      </c>
      <c r="C126" s="305">
        <v>1</v>
      </c>
      <c r="D126" s="380">
        <v>46190</v>
      </c>
      <c r="E126" s="380">
        <v>46195</v>
      </c>
      <c r="F126" s="308" t="s">
        <v>40</v>
      </c>
      <c r="G126" s="308" t="s">
        <v>436</v>
      </c>
      <c r="H126" s="381">
        <v>0</v>
      </c>
      <c r="I126" s="311">
        <v>46209</v>
      </c>
      <c r="J126" s="311">
        <v>46215</v>
      </c>
      <c r="K126" s="310" t="s">
        <v>40</v>
      </c>
      <c r="L126" s="310" t="s">
        <v>422</v>
      </c>
      <c r="M126" s="312">
        <v>0</v>
      </c>
      <c r="N126" s="314">
        <v>46209</v>
      </c>
      <c r="O126" s="314">
        <v>46215</v>
      </c>
      <c r="P126" s="315" t="s">
        <v>40</v>
      </c>
      <c r="Q126" s="315" t="s">
        <v>422</v>
      </c>
      <c r="R126" s="316">
        <v>0</v>
      </c>
      <c r="S126" s="318">
        <v>46228</v>
      </c>
      <c r="T126" s="318">
        <v>46234</v>
      </c>
      <c r="U126" s="319" t="s">
        <v>40</v>
      </c>
      <c r="V126" s="319" t="s">
        <v>422</v>
      </c>
      <c r="W126" s="320">
        <v>0</v>
      </c>
      <c r="X126" s="322">
        <v>46235</v>
      </c>
      <c r="Y126" s="322">
        <v>46237</v>
      </c>
      <c r="Z126" s="323" t="s">
        <v>40</v>
      </c>
      <c r="AA126" s="323" t="s">
        <v>422</v>
      </c>
      <c r="AB126" s="324">
        <v>0</v>
      </c>
      <c r="AC126" s="326">
        <v>46245</v>
      </c>
      <c r="AD126" s="326">
        <v>46250</v>
      </c>
      <c r="AE126" s="327" t="s">
        <v>40</v>
      </c>
      <c r="AF126" s="327" t="s">
        <v>422</v>
      </c>
      <c r="AG126" s="328">
        <v>0</v>
      </c>
      <c r="AH126" s="330">
        <v>46251</v>
      </c>
      <c r="AI126" s="330">
        <v>46254</v>
      </c>
      <c r="AJ126" s="331" t="s">
        <v>165</v>
      </c>
      <c r="AK126" s="331" t="s">
        <v>422</v>
      </c>
      <c r="AL126" s="332">
        <v>0</v>
      </c>
      <c r="AM126" s="311">
        <v>46332</v>
      </c>
      <c r="AN126" s="311">
        <v>46338</v>
      </c>
      <c r="AO126" s="310" t="s">
        <v>40</v>
      </c>
      <c r="AP126" s="472">
        <v>0</v>
      </c>
      <c r="AQ126" s="301"/>
    </row>
    <row r="127" spans="1:43">
      <c r="A127" s="306" t="s">
        <v>437</v>
      </c>
      <c r="B127" s="305" t="s">
        <v>579</v>
      </c>
      <c r="C127" s="305">
        <v>1</v>
      </c>
      <c r="D127" s="380">
        <v>46190</v>
      </c>
      <c r="E127" s="380">
        <v>46195</v>
      </c>
      <c r="F127" s="308" t="s">
        <v>40</v>
      </c>
      <c r="G127" s="308" t="s">
        <v>436</v>
      </c>
      <c r="H127" s="381">
        <v>0</v>
      </c>
      <c r="I127" s="311">
        <v>46209</v>
      </c>
      <c r="J127" s="311">
        <v>46215</v>
      </c>
      <c r="K127" s="310" t="s">
        <v>40</v>
      </c>
      <c r="L127" s="310" t="s">
        <v>422</v>
      </c>
      <c r="M127" s="312">
        <v>0</v>
      </c>
      <c r="N127" s="314">
        <v>46209</v>
      </c>
      <c r="O127" s="314">
        <v>46215</v>
      </c>
      <c r="P127" s="315" t="s">
        <v>40</v>
      </c>
      <c r="Q127" s="315" t="s">
        <v>422</v>
      </c>
      <c r="R127" s="316">
        <v>0</v>
      </c>
      <c r="S127" s="318">
        <v>46228</v>
      </c>
      <c r="T127" s="318">
        <v>46234</v>
      </c>
      <c r="U127" s="319" t="s">
        <v>40</v>
      </c>
      <c r="V127" s="319" t="s">
        <v>422</v>
      </c>
      <c r="W127" s="320">
        <v>0</v>
      </c>
      <c r="X127" s="322">
        <v>46235</v>
      </c>
      <c r="Y127" s="322">
        <v>46237</v>
      </c>
      <c r="Z127" s="323" t="s">
        <v>40</v>
      </c>
      <c r="AA127" s="323" t="s">
        <v>422</v>
      </c>
      <c r="AB127" s="324">
        <v>0</v>
      </c>
      <c r="AC127" s="326">
        <v>46245</v>
      </c>
      <c r="AD127" s="326">
        <v>46250</v>
      </c>
      <c r="AE127" s="327" t="s">
        <v>40</v>
      </c>
      <c r="AF127" s="327" t="s">
        <v>422</v>
      </c>
      <c r="AG127" s="328">
        <v>0</v>
      </c>
      <c r="AH127" s="330">
        <v>46251</v>
      </c>
      <c r="AI127" s="330">
        <v>46254</v>
      </c>
      <c r="AJ127" s="331" t="s">
        <v>165</v>
      </c>
      <c r="AK127" s="331" t="s">
        <v>422</v>
      </c>
      <c r="AL127" s="332">
        <v>0</v>
      </c>
      <c r="AM127" s="311">
        <v>46332</v>
      </c>
      <c r="AN127" s="311">
        <v>46338</v>
      </c>
      <c r="AO127" s="310" t="s">
        <v>40</v>
      </c>
      <c r="AP127" s="472">
        <v>0</v>
      </c>
      <c r="AQ127" s="301"/>
    </row>
    <row r="128" spans="1:43">
      <c r="A128" s="306" t="s">
        <v>437</v>
      </c>
      <c r="B128" s="305" t="s">
        <v>580</v>
      </c>
      <c r="C128" s="305">
        <v>1</v>
      </c>
      <c r="D128" s="380">
        <v>46190</v>
      </c>
      <c r="E128" s="380">
        <v>46195</v>
      </c>
      <c r="F128" s="308" t="s">
        <v>40</v>
      </c>
      <c r="G128" s="308" t="s">
        <v>436</v>
      </c>
      <c r="H128" s="381">
        <v>0</v>
      </c>
      <c r="I128" s="311">
        <v>46209</v>
      </c>
      <c r="J128" s="311">
        <v>46215</v>
      </c>
      <c r="K128" s="310" t="s">
        <v>40</v>
      </c>
      <c r="L128" s="310" t="s">
        <v>422</v>
      </c>
      <c r="M128" s="312">
        <v>0</v>
      </c>
      <c r="N128" s="314">
        <v>46209</v>
      </c>
      <c r="O128" s="314">
        <v>46215</v>
      </c>
      <c r="P128" s="315" t="s">
        <v>40</v>
      </c>
      <c r="Q128" s="315" t="s">
        <v>422</v>
      </c>
      <c r="R128" s="316">
        <v>0</v>
      </c>
      <c r="S128" s="318">
        <v>46228</v>
      </c>
      <c r="T128" s="318">
        <v>46234</v>
      </c>
      <c r="U128" s="319" t="s">
        <v>40</v>
      </c>
      <c r="V128" s="319" t="s">
        <v>422</v>
      </c>
      <c r="W128" s="320">
        <v>0</v>
      </c>
      <c r="X128" s="322">
        <v>46235</v>
      </c>
      <c r="Y128" s="322">
        <v>46237</v>
      </c>
      <c r="Z128" s="323" t="s">
        <v>40</v>
      </c>
      <c r="AA128" s="323" t="s">
        <v>422</v>
      </c>
      <c r="AB128" s="324">
        <v>0</v>
      </c>
      <c r="AC128" s="326">
        <v>46245</v>
      </c>
      <c r="AD128" s="326">
        <v>46250</v>
      </c>
      <c r="AE128" s="327" t="s">
        <v>40</v>
      </c>
      <c r="AF128" s="327" t="s">
        <v>422</v>
      </c>
      <c r="AG128" s="328">
        <v>0</v>
      </c>
      <c r="AH128" s="330">
        <v>46251</v>
      </c>
      <c r="AI128" s="330">
        <v>46254</v>
      </c>
      <c r="AJ128" s="331" t="s">
        <v>165</v>
      </c>
      <c r="AK128" s="331" t="s">
        <v>422</v>
      </c>
      <c r="AL128" s="332">
        <v>0</v>
      </c>
      <c r="AM128" s="311">
        <v>46332</v>
      </c>
      <c r="AN128" s="311">
        <v>46338</v>
      </c>
      <c r="AO128" s="310" t="s">
        <v>40</v>
      </c>
      <c r="AP128" s="472">
        <v>0</v>
      </c>
      <c r="AQ128" s="301"/>
    </row>
    <row r="129" spans="1:43">
      <c r="A129" s="306" t="s">
        <v>437</v>
      </c>
      <c r="B129" s="305" t="s">
        <v>581</v>
      </c>
      <c r="C129" s="305">
        <v>1</v>
      </c>
      <c r="D129" s="380">
        <v>46190</v>
      </c>
      <c r="E129" s="380">
        <v>46195</v>
      </c>
      <c r="F129" s="308" t="s">
        <v>40</v>
      </c>
      <c r="G129" s="308" t="s">
        <v>436</v>
      </c>
      <c r="H129" s="381">
        <v>0</v>
      </c>
      <c r="I129" s="311">
        <v>46209</v>
      </c>
      <c r="J129" s="311">
        <v>46215</v>
      </c>
      <c r="K129" s="310" t="s">
        <v>40</v>
      </c>
      <c r="L129" s="310" t="s">
        <v>422</v>
      </c>
      <c r="M129" s="312">
        <v>0</v>
      </c>
      <c r="N129" s="314">
        <v>46209</v>
      </c>
      <c r="O129" s="314">
        <v>46215</v>
      </c>
      <c r="P129" s="315" t="s">
        <v>40</v>
      </c>
      <c r="Q129" s="315" t="s">
        <v>422</v>
      </c>
      <c r="R129" s="316">
        <v>0</v>
      </c>
      <c r="S129" s="318">
        <v>46228</v>
      </c>
      <c r="T129" s="318">
        <v>46234</v>
      </c>
      <c r="U129" s="319" t="s">
        <v>40</v>
      </c>
      <c r="V129" s="319" t="s">
        <v>422</v>
      </c>
      <c r="W129" s="320">
        <v>0</v>
      </c>
      <c r="X129" s="322">
        <v>46235</v>
      </c>
      <c r="Y129" s="322">
        <v>46237</v>
      </c>
      <c r="Z129" s="323" t="s">
        <v>40</v>
      </c>
      <c r="AA129" s="323" t="s">
        <v>422</v>
      </c>
      <c r="AB129" s="324">
        <v>0</v>
      </c>
      <c r="AC129" s="326">
        <v>46245</v>
      </c>
      <c r="AD129" s="326">
        <v>46250</v>
      </c>
      <c r="AE129" s="327" t="s">
        <v>40</v>
      </c>
      <c r="AF129" s="327" t="s">
        <v>422</v>
      </c>
      <c r="AG129" s="328">
        <v>0</v>
      </c>
      <c r="AH129" s="330">
        <v>46251</v>
      </c>
      <c r="AI129" s="330">
        <v>46254</v>
      </c>
      <c r="AJ129" s="331" t="s">
        <v>165</v>
      </c>
      <c r="AK129" s="331" t="s">
        <v>422</v>
      </c>
      <c r="AL129" s="332">
        <v>0</v>
      </c>
      <c r="AM129" s="311">
        <v>46332</v>
      </c>
      <c r="AN129" s="311">
        <v>46338</v>
      </c>
      <c r="AO129" s="310" t="s">
        <v>40</v>
      </c>
      <c r="AP129" s="472">
        <v>0</v>
      </c>
      <c r="AQ129" s="301"/>
    </row>
    <row r="130" spans="1:43">
      <c r="A130" s="306" t="s">
        <v>437</v>
      </c>
      <c r="B130" s="305" t="s">
        <v>582</v>
      </c>
      <c r="C130" s="305">
        <v>1</v>
      </c>
      <c r="D130" s="380">
        <v>46190</v>
      </c>
      <c r="E130" s="380">
        <v>46195</v>
      </c>
      <c r="F130" s="308" t="s">
        <v>40</v>
      </c>
      <c r="G130" s="308" t="s">
        <v>436</v>
      </c>
      <c r="H130" s="381">
        <v>0</v>
      </c>
      <c r="I130" s="311">
        <v>46209</v>
      </c>
      <c r="J130" s="311">
        <v>46215</v>
      </c>
      <c r="K130" s="310" t="s">
        <v>40</v>
      </c>
      <c r="L130" s="310" t="s">
        <v>422</v>
      </c>
      <c r="M130" s="312">
        <v>0</v>
      </c>
      <c r="N130" s="314">
        <v>46209</v>
      </c>
      <c r="O130" s="314">
        <v>46215</v>
      </c>
      <c r="P130" s="315" t="s">
        <v>40</v>
      </c>
      <c r="Q130" s="315" t="s">
        <v>422</v>
      </c>
      <c r="R130" s="316">
        <v>0</v>
      </c>
      <c r="S130" s="318">
        <v>46228</v>
      </c>
      <c r="T130" s="318">
        <v>46234</v>
      </c>
      <c r="U130" s="319" t="s">
        <v>40</v>
      </c>
      <c r="V130" s="319" t="s">
        <v>422</v>
      </c>
      <c r="W130" s="320">
        <v>0</v>
      </c>
      <c r="X130" s="322">
        <v>46235</v>
      </c>
      <c r="Y130" s="322">
        <v>46237</v>
      </c>
      <c r="Z130" s="323" t="s">
        <v>40</v>
      </c>
      <c r="AA130" s="323" t="s">
        <v>422</v>
      </c>
      <c r="AB130" s="324">
        <v>0</v>
      </c>
      <c r="AC130" s="326">
        <v>46245</v>
      </c>
      <c r="AD130" s="326">
        <v>46250</v>
      </c>
      <c r="AE130" s="327" t="s">
        <v>40</v>
      </c>
      <c r="AF130" s="327" t="s">
        <v>422</v>
      </c>
      <c r="AG130" s="328">
        <v>0</v>
      </c>
      <c r="AH130" s="330">
        <v>46251</v>
      </c>
      <c r="AI130" s="330">
        <v>46254</v>
      </c>
      <c r="AJ130" s="331" t="s">
        <v>165</v>
      </c>
      <c r="AK130" s="331" t="s">
        <v>422</v>
      </c>
      <c r="AL130" s="332">
        <v>0</v>
      </c>
      <c r="AM130" s="311">
        <v>46332</v>
      </c>
      <c r="AN130" s="311">
        <v>46338</v>
      </c>
      <c r="AO130" s="310" t="s">
        <v>40</v>
      </c>
      <c r="AP130" s="472">
        <v>0</v>
      </c>
      <c r="AQ130" s="301"/>
    </row>
    <row r="131" spans="1:43">
      <c r="A131" s="306" t="s">
        <v>437</v>
      </c>
      <c r="B131" s="305" t="s">
        <v>583</v>
      </c>
      <c r="C131" s="305">
        <v>1</v>
      </c>
      <c r="D131" s="380">
        <v>46190</v>
      </c>
      <c r="E131" s="380">
        <v>46195</v>
      </c>
      <c r="F131" s="308" t="s">
        <v>40</v>
      </c>
      <c r="G131" s="308" t="s">
        <v>436</v>
      </c>
      <c r="H131" s="381">
        <v>0</v>
      </c>
      <c r="I131" s="311">
        <v>46209</v>
      </c>
      <c r="J131" s="311">
        <v>46215</v>
      </c>
      <c r="K131" s="310" t="s">
        <v>40</v>
      </c>
      <c r="L131" s="310" t="s">
        <v>422</v>
      </c>
      <c r="M131" s="312">
        <v>0</v>
      </c>
      <c r="N131" s="314">
        <v>46209</v>
      </c>
      <c r="O131" s="314">
        <v>46215</v>
      </c>
      <c r="P131" s="315" t="s">
        <v>40</v>
      </c>
      <c r="Q131" s="315" t="s">
        <v>422</v>
      </c>
      <c r="R131" s="316">
        <v>0</v>
      </c>
      <c r="S131" s="318">
        <v>46228</v>
      </c>
      <c r="T131" s="318">
        <v>46234</v>
      </c>
      <c r="U131" s="319" t="s">
        <v>40</v>
      </c>
      <c r="V131" s="319" t="s">
        <v>422</v>
      </c>
      <c r="W131" s="320">
        <v>0</v>
      </c>
      <c r="X131" s="322">
        <v>46235</v>
      </c>
      <c r="Y131" s="322">
        <v>46237</v>
      </c>
      <c r="Z131" s="323" t="s">
        <v>40</v>
      </c>
      <c r="AA131" s="323" t="s">
        <v>422</v>
      </c>
      <c r="AB131" s="324">
        <v>0</v>
      </c>
      <c r="AC131" s="326">
        <v>46245</v>
      </c>
      <c r="AD131" s="326">
        <v>46250</v>
      </c>
      <c r="AE131" s="327" t="s">
        <v>40</v>
      </c>
      <c r="AF131" s="327" t="s">
        <v>422</v>
      </c>
      <c r="AG131" s="328">
        <v>0</v>
      </c>
      <c r="AH131" s="330">
        <v>46251</v>
      </c>
      <c r="AI131" s="330">
        <v>46254</v>
      </c>
      <c r="AJ131" s="331" t="s">
        <v>165</v>
      </c>
      <c r="AK131" s="331" t="s">
        <v>422</v>
      </c>
      <c r="AL131" s="332">
        <v>0</v>
      </c>
      <c r="AM131" s="311">
        <v>46332</v>
      </c>
      <c r="AN131" s="311">
        <v>46338</v>
      </c>
      <c r="AO131" s="310" t="s">
        <v>40</v>
      </c>
      <c r="AP131" s="472">
        <v>0</v>
      </c>
      <c r="AQ131" s="301"/>
    </row>
    <row r="132" spans="1:43">
      <c r="A132" s="306" t="s">
        <v>437</v>
      </c>
      <c r="B132" s="305" t="s">
        <v>584</v>
      </c>
      <c r="C132" s="305">
        <v>1</v>
      </c>
      <c r="D132" s="380">
        <v>46190</v>
      </c>
      <c r="E132" s="380">
        <v>46195</v>
      </c>
      <c r="F132" s="308" t="s">
        <v>40</v>
      </c>
      <c r="G132" s="308" t="s">
        <v>436</v>
      </c>
      <c r="H132" s="381">
        <v>0</v>
      </c>
      <c r="I132" s="311">
        <v>46209</v>
      </c>
      <c r="J132" s="311">
        <v>46215</v>
      </c>
      <c r="K132" s="310" t="s">
        <v>40</v>
      </c>
      <c r="L132" s="310" t="s">
        <v>422</v>
      </c>
      <c r="M132" s="312">
        <v>0</v>
      </c>
      <c r="N132" s="314">
        <v>46209</v>
      </c>
      <c r="O132" s="314">
        <v>46215</v>
      </c>
      <c r="P132" s="315" t="s">
        <v>40</v>
      </c>
      <c r="Q132" s="315" t="s">
        <v>422</v>
      </c>
      <c r="R132" s="316">
        <v>0</v>
      </c>
      <c r="S132" s="318">
        <v>46228</v>
      </c>
      <c r="T132" s="318">
        <v>46234</v>
      </c>
      <c r="U132" s="319" t="s">
        <v>40</v>
      </c>
      <c r="V132" s="319" t="s">
        <v>422</v>
      </c>
      <c r="W132" s="320">
        <v>0</v>
      </c>
      <c r="X132" s="322">
        <v>46235</v>
      </c>
      <c r="Y132" s="322">
        <v>46237</v>
      </c>
      <c r="Z132" s="323" t="s">
        <v>40</v>
      </c>
      <c r="AA132" s="323" t="s">
        <v>422</v>
      </c>
      <c r="AB132" s="324">
        <v>0</v>
      </c>
      <c r="AC132" s="326">
        <v>46245</v>
      </c>
      <c r="AD132" s="326">
        <v>46250</v>
      </c>
      <c r="AE132" s="327" t="s">
        <v>40</v>
      </c>
      <c r="AF132" s="327" t="s">
        <v>422</v>
      </c>
      <c r="AG132" s="328">
        <v>0</v>
      </c>
      <c r="AH132" s="330">
        <v>46251</v>
      </c>
      <c r="AI132" s="330">
        <v>46254</v>
      </c>
      <c r="AJ132" s="331" t="s">
        <v>165</v>
      </c>
      <c r="AK132" s="331" t="s">
        <v>422</v>
      </c>
      <c r="AL132" s="332">
        <v>0</v>
      </c>
      <c r="AM132" s="311">
        <v>46332</v>
      </c>
      <c r="AN132" s="311">
        <v>46338</v>
      </c>
      <c r="AO132" s="310" t="s">
        <v>40</v>
      </c>
      <c r="AP132" s="472">
        <v>0</v>
      </c>
      <c r="AQ132" s="301"/>
    </row>
    <row r="133" spans="1:43">
      <c r="A133" s="306" t="s">
        <v>437</v>
      </c>
      <c r="B133" s="305" t="s">
        <v>585</v>
      </c>
      <c r="C133" s="305">
        <v>1</v>
      </c>
      <c r="D133" s="380">
        <v>46190</v>
      </c>
      <c r="E133" s="380">
        <v>46195</v>
      </c>
      <c r="F133" s="308" t="s">
        <v>40</v>
      </c>
      <c r="G133" s="308" t="s">
        <v>436</v>
      </c>
      <c r="H133" s="381">
        <v>0</v>
      </c>
      <c r="I133" s="311">
        <v>46209</v>
      </c>
      <c r="J133" s="311">
        <v>46215</v>
      </c>
      <c r="K133" s="310" t="s">
        <v>40</v>
      </c>
      <c r="L133" s="310" t="s">
        <v>422</v>
      </c>
      <c r="M133" s="312">
        <v>0</v>
      </c>
      <c r="N133" s="314">
        <v>46209</v>
      </c>
      <c r="O133" s="314">
        <v>46215</v>
      </c>
      <c r="P133" s="315" t="s">
        <v>40</v>
      </c>
      <c r="Q133" s="315" t="s">
        <v>422</v>
      </c>
      <c r="R133" s="316">
        <v>0</v>
      </c>
      <c r="S133" s="318">
        <v>46228</v>
      </c>
      <c r="T133" s="318">
        <v>46234</v>
      </c>
      <c r="U133" s="319" t="s">
        <v>40</v>
      </c>
      <c r="V133" s="319" t="s">
        <v>422</v>
      </c>
      <c r="W133" s="320">
        <v>0</v>
      </c>
      <c r="X133" s="322">
        <v>46235</v>
      </c>
      <c r="Y133" s="322">
        <v>46237</v>
      </c>
      <c r="Z133" s="323" t="s">
        <v>40</v>
      </c>
      <c r="AA133" s="323" t="s">
        <v>422</v>
      </c>
      <c r="AB133" s="324">
        <v>0</v>
      </c>
      <c r="AC133" s="326">
        <v>46245</v>
      </c>
      <c r="AD133" s="326">
        <v>46250</v>
      </c>
      <c r="AE133" s="327" t="s">
        <v>40</v>
      </c>
      <c r="AF133" s="327" t="s">
        <v>422</v>
      </c>
      <c r="AG133" s="328">
        <v>0</v>
      </c>
      <c r="AH133" s="330">
        <v>46251</v>
      </c>
      <c r="AI133" s="330">
        <v>46254</v>
      </c>
      <c r="AJ133" s="331" t="s">
        <v>165</v>
      </c>
      <c r="AK133" s="331" t="s">
        <v>422</v>
      </c>
      <c r="AL133" s="332">
        <v>0</v>
      </c>
      <c r="AM133" s="311">
        <v>46332</v>
      </c>
      <c r="AN133" s="311">
        <v>46338</v>
      </c>
      <c r="AO133" s="310" t="s">
        <v>40</v>
      </c>
      <c r="AP133" s="472">
        <v>0</v>
      </c>
      <c r="AQ133" s="301"/>
    </row>
    <row r="134" spans="1:43">
      <c r="A134" s="306" t="s">
        <v>437</v>
      </c>
      <c r="B134" s="305" t="s">
        <v>586</v>
      </c>
      <c r="C134" s="305">
        <v>1</v>
      </c>
      <c r="D134" s="380">
        <v>46190</v>
      </c>
      <c r="E134" s="380">
        <v>46195</v>
      </c>
      <c r="F134" s="308" t="s">
        <v>40</v>
      </c>
      <c r="G134" s="308" t="s">
        <v>436</v>
      </c>
      <c r="H134" s="381">
        <v>0</v>
      </c>
      <c r="I134" s="311">
        <v>46209</v>
      </c>
      <c r="J134" s="311">
        <v>46215</v>
      </c>
      <c r="K134" s="310" t="s">
        <v>40</v>
      </c>
      <c r="L134" s="310" t="s">
        <v>422</v>
      </c>
      <c r="M134" s="312">
        <v>0</v>
      </c>
      <c r="N134" s="314">
        <v>46209</v>
      </c>
      <c r="O134" s="314">
        <v>46215</v>
      </c>
      <c r="P134" s="315" t="s">
        <v>40</v>
      </c>
      <c r="Q134" s="315" t="s">
        <v>422</v>
      </c>
      <c r="R134" s="316">
        <v>0</v>
      </c>
      <c r="S134" s="318">
        <v>46228</v>
      </c>
      <c r="T134" s="318">
        <v>46234</v>
      </c>
      <c r="U134" s="319" t="s">
        <v>40</v>
      </c>
      <c r="V134" s="319" t="s">
        <v>422</v>
      </c>
      <c r="W134" s="320">
        <v>0</v>
      </c>
      <c r="X134" s="322">
        <v>46235</v>
      </c>
      <c r="Y134" s="322">
        <v>46237</v>
      </c>
      <c r="Z134" s="323" t="s">
        <v>40</v>
      </c>
      <c r="AA134" s="323" t="s">
        <v>422</v>
      </c>
      <c r="AB134" s="324">
        <v>0</v>
      </c>
      <c r="AC134" s="326">
        <v>46245</v>
      </c>
      <c r="AD134" s="326">
        <v>46250</v>
      </c>
      <c r="AE134" s="327" t="s">
        <v>40</v>
      </c>
      <c r="AF134" s="327" t="s">
        <v>422</v>
      </c>
      <c r="AG134" s="328">
        <v>0</v>
      </c>
      <c r="AH134" s="330">
        <v>46251</v>
      </c>
      <c r="AI134" s="330">
        <v>46254</v>
      </c>
      <c r="AJ134" s="331" t="s">
        <v>165</v>
      </c>
      <c r="AK134" s="331" t="s">
        <v>422</v>
      </c>
      <c r="AL134" s="332">
        <v>0</v>
      </c>
      <c r="AM134" s="311">
        <v>46332</v>
      </c>
      <c r="AN134" s="311">
        <v>46338</v>
      </c>
      <c r="AO134" s="310" t="s">
        <v>40</v>
      </c>
      <c r="AP134" s="472">
        <v>0</v>
      </c>
      <c r="AQ134" s="301"/>
    </row>
    <row r="135" spans="1:43">
      <c r="A135" s="306" t="s">
        <v>437</v>
      </c>
      <c r="B135" s="305" t="s">
        <v>587</v>
      </c>
      <c r="C135" s="305">
        <v>1</v>
      </c>
      <c r="D135" s="380">
        <v>46190</v>
      </c>
      <c r="E135" s="380">
        <v>46195</v>
      </c>
      <c r="F135" s="308" t="s">
        <v>40</v>
      </c>
      <c r="G135" s="308" t="s">
        <v>436</v>
      </c>
      <c r="H135" s="381">
        <v>0</v>
      </c>
      <c r="I135" s="311">
        <v>46209</v>
      </c>
      <c r="J135" s="311">
        <v>46215</v>
      </c>
      <c r="K135" s="310" t="s">
        <v>40</v>
      </c>
      <c r="L135" s="310" t="s">
        <v>422</v>
      </c>
      <c r="M135" s="312">
        <v>0</v>
      </c>
      <c r="N135" s="314">
        <v>46209</v>
      </c>
      <c r="O135" s="314">
        <v>46215</v>
      </c>
      <c r="P135" s="315" t="s">
        <v>40</v>
      </c>
      <c r="Q135" s="315" t="s">
        <v>422</v>
      </c>
      <c r="R135" s="316">
        <v>0</v>
      </c>
      <c r="S135" s="318">
        <v>46228</v>
      </c>
      <c r="T135" s="318">
        <v>46234</v>
      </c>
      <c r="U135" s="319" t="s">
        <v>40</v>
      </c>
      <c r="V135" s="319" t="s">
        <v>422</v>
      </c>
      <c r="W135" s="320">
        <v>0</v>
      </c>
      <c r="X135" s="322">
        <v>46235</v>
      </c>
      <c r="Y135" s="322">
        <v>46237</v>
      </c>
      <c r="Z135" s="323" t="s">
        <v>40</v>
      </c>
      <c r="AA135" s="323" t="s">
        <v>422</v>
      </c>
      <c r="AB135" s="324">
        <v>0</v>
      </c>
      <c r="AC135" s="326">
        <v>46245</v>
      </c>
      <c r="AD135" s="326">
        <v>46250</v>
      </c>
      <c r="AE135" s="327" t="s">
        <v>40</v>
      </c>
      <c r="AF135" s="327" t="s">
        <v>422</v>
      </c>
      <c r="AG135" s="328">
        <v>0</v>
      </c>
      <c r="AH135" s="330">
        <v>46251</v>
      </c>
      <c r="AI135" s="330">
        <v>46254</v>
      </c>
      <c r="AJ135" s="331" t="s">
        <v>165</v>
      </c>
      <c r="AK135" s="331" t="s">
        <v>422</v>
      </c>
      <c r="AL135" s="332">
        <v>0</v>
      </c>
      <c r="AM135" s="311">
        <v>46332</v>
      </c>
      <c r="AN135" s="311">
        <v>46338</v>
      </c>
      <c r="AO135" s="310" t="s">
        <v>40</v>
      </c>
      <c r="AP135" s="472">
        <v>0</v>
      </c>
      <c r="AQ135" s="301"/>
    </row>
    <row r="136" spans="1:43">
      <c r="A136" s="306" t="s">
        <v>437</v>
      </c>
      <c r="B136" s="305" t="s">
        <v>588</v>
      </c>
      <c r="C136" s="305">
        <v>1</v>
      </c>
      <c r="D136" s="380">
        <v>46190</v>
      </c>
      <c r="E136" s="380">
        <v>46195</v>
      </c>
      <c r="F136" s="308" t="s">
        <v>40</v>
      </c>
      <c r="G136" s="308" t="s">
        <v>436</v>
      </c>
      <c r="H136" s="381">
        <v>0</v>
      </c>
      <c r="I136" s="311">
        <v>46209</v>
      </c>
      <c r="J136" s="311">
        <v>46215</v>
      </c>
      <c r="K136" s="310" t="s">
        <v>40</v>
      </c>
      <c r="L136" s="310" t="s">
        <v>422</v>
      </c>
      <c r="M136" s="312">
        <v>0</v>
      </c>
      <c r="N136" s="314">
        <v>46209</v>
      </c>
      <c r="O136" s="314">
        <v>46215</v>
      </c>
      <c r="P136" s="315" t="s">
        <v>40</v>
      </c>
      <c r="Q136" s="315" t="s">
        <v>422</v>
      </c>
      <c r="R136" s="316">
        <v>0</v>
      </c>
      <c r="S136" s="318">
        <v>46228</v>
      </c>
      <c r="T136" s="318">
        <v>46234</v>
      </c>
      <c r="U136" s="319" t="s">
        <v>40</v>
      </c>
      <c r="V136" s="319" t="s">
        <v>422</v>
      </c>
      <c r="W136" s="320">
        <v>0</v>
      </c>
      <c r="X136" s="322">
        <v>46235</v>
      </c>
      <c r="Y136" s="322">
        <v>46237</v>
      </c>
      <c r="Z136" s="323" t="s">
        <v>40</v>
      </c>
      <c r="AA136" s="323" t="s">
        <v>422</v>
      </c>
      <c r="AB136" s="324">
        <v>0</v>
      </c>
      <c r="AC136" s="326">
        <v>46245</v>
      </c>
      <c r="AD136" s="326">
        <v>46250</v>
      </c>
      <c r="AE136" s="327" t="s">
        <v>40</v>
      </c>
      <c r="AF136" s="327" t="s">
        <v>422</v>
      </c>
      <c r="AG136" s="328">
        <v>0</v>
      </c>
      <c r="AH136" s="330">
        <v>46251</v>
      </c>
      <c r="AI136" s="330">
        <v>46254</v>
      </c>
      <c r="AJ136" s="331" t="s">
        <v>165</v>
      </c>
      <c r="AK136" s="331" t="s">
        <v>422</v>
      </c>
      <c r="AL136" s="332">
        <v>0</v>
      </c>
      <c r="AM136" s="310" t="s">
        <v>422</v>
      </c>
      <c r="AN136" s="310" t="s">
        <v>422</v>
      </c>
      <c r="AO136" s="310" t="s">
        <v>40</v>
      </c>
      <c r="AP136" s="472">
        <v>0</v>
      </c>
      <c r="AQ136" s="301"/>
    </row>
    <row r="137" spans="1:43">
      <c r="A137" s="306" t="s">
        <v>437</v>
      </c>
      <c r="B137" s="305" t="s">
        <v>589</v>
      </c>
      <c r="C137" s="305">
        <v>1</v>
      </c>
      <c r="D137" s="380">
        <v>46190</v>
      </c>
      <c r="E137" s="380">
        <v>46195</v>
      </c>
      <c r="F137" s="308" t="s">
        <v>40</v>
      </c>
      <c r="G137" s="308" t="s">
        <v>436</v>
      </c>
      <c r="H137" s="381">
        <v>0</v>
      </c>
      <c r="I137" s="311">
        <v>46209</v>
      </c>
      <c r="J137" s="311">
        <v>46215</v>
      </c>
      <c r="K137" s="310" t="s">
        <v>40</v>
      </c>
      <c r="L137" s="310" t="s">
        <v>422</v>
      </c>
      <c r="M137" s="312">
        <v>0</v>
      </c>
      <c r="N137" s="314">
        <v>46209</v>
      </c>
      <c r="O137" s="314">
        <v>46215</v>
      </c>
      <c r="P137" s="315" t="s">
        <v>40</v>
      </c>
      <c r="Q137" s="315" t="s">
        <v>422</v>
      </c>
      <c r="R137" s="316">
        <v>0</v>
      </c>
      <c r="S137" s="318">
        <v>46228</v>
      </c>
      <c r="T137" s="318">
        <v>46234</v>
      </c>
      <c r="U137" s="319" t="s">
        <v>40</v>
      </c>
      <c r="V137" s="319" t="s">
        <v>422</v>
      </c>
      <c r="W137" s="320">
        <v>0</v>
      </c>
      <c r="X137" s="322">
        <v>46235</v>
      </c>
      <c r="Y137" s="322">
        <v>46237</v>
      </c>
      <c r="Z137" s="323" t="s">
        <v>40</v>
      </c>
      <c r="AA137" s="323" t="s">
        <v>422</v>
      </c>
      <c r="AB137" s="324">
        <v>0</v>
      </c>
      <c r="AC137" s="326">
        <v>46245</v>
      </c>
      <c r="AD137" s="326">
        <v>46250</v>
      </c>
      <c r="AE137" s="327" t="s">
        <v>40</v>
      </c>
      <c r="AF137" s="327" t="s">
        <v>422</v>
      </c>
      <c r="AG137" s="328">
        <v>0</v>
      </c>
      <c r="AH137" s="330">
        <v>46251</v>
      </c>
      <c r="AI137" s="330">
        <v>46254</v>
      </c>
      <c r="AJ137" s="331" t="s">
        <v>165</v>
      </c>
      <c r="AK137" s="331" t="s">
        <v>422</v>
      </c>
      <c r="AL137" s="332">
        <v>0</v>
      </c>
      <c r="AM137" s="310" t="s">
        <v>422</v>
      </c>
      <c r="AN137" s="310" t="s">
        <v>422</v>
      </c>
      <c r="AO137" s="310" t="s">
        <v>40</v>
      </c>
      <c r="AP137" s="472">
        <v>0</v>
      </c>
      <c r="AQ137" s="301"/>
    </row>
    <row r="138" spans="1:43">
      <c r="A138" s="306" t="s">
        <v>437</v>
      </c>
      <c r="B138" s="305" t="s">
        <v>590</v>
      </c>
      <c r="C138" s="305">
        <v>1</v>
      </c>
      <c r="D138" s="380">
        <v>46190</v>
      </c>
      <c r="E138" s="380">
        <v>46195</v>
      </c>
      <c r="F138" s="308" t="s">
        <v>40</v>
      </c>
      <c r="G138" s="308" t="s">
        <v>436</v>
      </c>
      <c r="H138" s="381">
        <v>0</v>
      </c>
      <c r="I138" s="311">
        <v>46209</v>
      </c>
      <c r="J138" s="311">
        <v>46215</v>
      </c>
      <c r="K138" s="310" t="s">
        <v>40</v>
      </c>
      <c r="L138" s="310" t="s">
        <v>422</v>
      </c>
      <c r="M138" s="312">
        <v>0</v>
      </c>
      <c r="N138" s="314">
        <v>46209</v>
      </c>
      <c r="O138" s="314">
        <v>46215</v>
      </c>
      <c r="P138" s="315" t="s">
        <v>40</v>
      </c>
      <c r="Q138" s="315" t="s">
        <v>422</v>
      </c>
      <c r="R138" s="316">
        <v>0</v>
      </c>
      <c r="S138" s="318">
        <v>46228</v>
      </c>
      <c r="T138" s="318">
        <v>46234</v>
      </c>
      <c r="U138" s="319" t="s">
        <v>40</v>
      </c>
      <c r="V138" s="319" t="s">
        <v>422</v>
      </c>
      <c r="W138" s="320">
        <v>0</v>
      </c>
      <c r="X138" s="322">
        <v>46235</v>
      </c>
      <c r="Y138" s="322">
        <v>46237</v>
      </c>
      <c r="Z138" s="323" t="s">
        <v>40</v>
      </c>
      <c r="AA138" s="323" t="s">
        <v>422</v>
      </c>
      <c r="AB138" s="324">
        <v>0</v>
      </c>
      <c r="AC138" s="326">
        <v>46245</v>
      </c>
      <c r="AD138" s="326">
        <v>46250</v>
      </c>
      <c r="AE138" s="327" t="s">
        <v>40</v>
      </c>
      <c r="AF138" s="327" t="s">
        <v>422</v>
      </c>
      <c r="AG138" s="328">
        <v>0</v>
      </c>
      <c r="AH138" s="330">
        <v>46251</v>
      </c>
      <c r="AI138" s="330">
        <v>46254</v>
      </c>
      <c r="AJ138" s="331" t="s">
        <v>165</v>
      </c>
      <c r="AK138" s="331" t="s">
        <v>422</v>
      </c>
      <c r="AL138" s="332">
        <v>0</v>
      </c>
      <c r="AM138" s="310" t="s">
        <v>422</v>
      </c>
      <c r="AN138" s="310" t="s">
        <v>422</v>
      </c>
      <c r="AO138" s="310" t="s">
        <v>40</v>
      </c>
      <c r="AP138" s="472">
        <v>0</v>
      </c>
      <c r="AQ138" s="301"/>
    </row>
    <row r="139" spans="1:43">
      <c r="A139" s="306" t="s">
        <v>437</v>
      </c>
      <c r="B139" s="305" t="s">
        <v>591</v>
      </c>
      <c r="C139" s="305">
        <v>1</v>
      </c>
      <c r="D139" s="380">
        <v>46190</v>
      </c>
      <c r="E139" s="380">
        <v>46195</v>
      </c>
      <c r="F139" s="308" t="s">
        <v>40</v>
      </c>
      <c r="G139" s="308" t="s">
        <v>436</v>
      </c>
      <c r="H139" s="381">
        <v>0</v>
      </c>
      <c r="I139" s="311">
        <v>46209</v>
      </c>
      <c r="J139" s="311">
        <v>46215</v>
      </c>
      <c r="K139" s="310" t="s">
        <v>40</v>
      </c>
      <c r="L139" s="310" t="s">
        <v>422</v>
      </c>
      <c r="M139" s="312">
        <v>0</v>
      </c>
      <c r="N139" s="314">
        <v>46209</v>
      </c>
      <c r="O139" s="314">
        <v>46215</v>
      </c>
      <c r="P139" s="315" t="s">
        <v>40</v>
      </c>
      <c r="Q139" s="315" t="s">
        <v>422</v>
      </c>
      <c r="R139" s="316">
        <v>0</v>
      </c>
      <c r="S139" s="318">
        <v>46228</v>
      </c>
      <c r="T139" s="318">
        <v>46234</v>
      </c>
      <c r="U139" s="319" t="s">
        <v>40</v>
      </c>
      <c r="V139" s="319" t="s">
        <v>422</v>
      </c>
      <c r="W139" s="320">
        <v>0</v>
      </c>
      <c r="X139" s="322">
        <v>46235</v>
      </c>
      <c r="Y139" s="322">
        <v>46237</v>
      </c>
      <c r="Z139" s="323" t="s">
        <v>40</v>
      </c>
      <c r="AA139" s="323" t="s">
        <v>422</v>
      </c>
      <c r="AB139" s="324">
        <v>0</v>
      </c>
      <c r="AC139" s="326">
        <v>46245</v>
      </c>
      <c r="AD139" s="326">
        <v>46250</v>
      </c>
      <c r="AE139" s="327" t="s">
        <v>40</v>
      </c>
      <c r="AF139" s="327" t="s">
        <v>422</v>
      </c>
      <c r="AG139" s="328">
        <v>0</v>
      </c>
      <c r="AH139" s="330">
        <v>46251</v>
      </c>
      <c r="AI139" s="330">
        <v>46254</v>
      </c>
      <c r="AJ139" s="331" t="s">
        <v>165</v>
      </c>
      <c r="AK139" s="331" t="s">
        <v>422</v>
      </c>
      <c r="AL139" s="332">
        <v>0</v>
      </c>
      <c r="AM139" s="310" t="s">
        <v>422</v>
      </c>
      <c r="AN139" s="310" t="s">
        <v>422</v>
      </c>
      <c r="AO139" s="310" t="s">
        <v>40</v>
      </c>
      <c r="AP139" s="472">
        <v>0</v>
      </c>
      <c r="AQ139" s="301"/>
    </row>
    <row r="140" spans="1:43">
      <c r="A140" s="306" t="s">
        <v>437</v>
      </c>
      <c r="B140" s="305" t="s">
        <v>592</v>
      </c>
      <c r="C140" s="305">
        <v>1</v>
      </c>
      <c r="D140" s="380">
        <v>46190</v>
      </c>
      <c r="E140" s="380">
        <v>46195</v>
      </c>
      <c r="F140" s="308" t="s">
        <v>40</v>
      </c>
      <c r="G140" s="308" t="s">
        <v>436</v>
      </c>
      <c r="H140" s="381">
        <v>0</v>
      </c>
      <c r="I140" s="311">
        <v>46209</v>
      </c>
      <c r="J140" s="311">
        <v>46215</v>
      </c>
      <c r="K140" s="310" t="s">
        <v>40</v>
      </c>
      <c r="L140" s="310" t="s">
        <v>422</v>
      </c>
      <c r="M140" s="312">
        <v>0</v>
      </c>
      <c r="N140" s="314">
        <v>46209</v>
      </c>
      <c r="O140" s="314">
        <v>46215</v>
      </c>
      <c r="P140" s="315" t="s">
        <v>40</v>
      </c>
      <c r="Q140" s="315" t="s">
        <v>422</v>
      </c>
      <c r="R140" s="316">
        <v>0</v>
      </c>
      <c r="S140" s="318">
        <v>46228</v>
      </c>
      <c r="T140" s="318">
        <v>46234</v>
      </c>
      <c r="U140" s="319" t="s">
        <v>40</v>
      </c>
      <c r="V140" s="319" t="s">
        <v>422</v>
      </c>
      <c r="W140" s="320">
        <v>0</v>
      </c>
      <c r="X140" s="322">
        <v>46235</v>
      </c>
      <c r="Y140" s="322">
        <v>46237</v>
      </c>
      <c r="Z140" s="323" t="s">
        <v>40</v>
      </c>
      <c r="AA140" s="323" t="s">
        <v>422</v>
      </c>
      <c r="AB140" s="324">
        <v>0</v>
      </c>
      <c r="AC140" s="326">
        <v>46245</v>
      </c>
      <c r="AD140" s="326">
        <v>46250</v>
      </c>
      <c r="AE140" s="327" t="s">
        <v>40</v>
      </c>
      <c r="AF140" s="327" t="s">
        <v>422</v>
      </c>
      <c r="AG140" s="328">
        <v>0</v>
      </c>
      <c r="AH140" s="330">
        <v>46251</v>
      </c>
      <c r="AI140" s="330">
        <v>46254</v>
      </c>
      <c r="AJ140" s="331" t="s">
        <v>165</v>
      </c>
      <c r="AK140" s="331" t="s">
        <v>422</v>
      </c>
      <c r="AL140" s="332">
        <v>0</v>
      </c>
      <c r="AM140" s="310" t="s">
        <v>422</v>
      </c>
      <c r="AN140" s="310" t="s">
        <v>422</v>
      </c>
      <c r="AO140" s="310" t="s">
        <v>40</v>
      </c>
      <c r="AP140" s="472">
        <v>0</v>
      </c>
      <c r="AQ140" s="301"/>
    </row>
    <row r="141" spans="1:43">
      <c r="A141" s="306" t="s">
        <v>437</v>
      </c>
      <c r="B141" s="305" t="s">
        <v>593</v>
      </c>
      <c r="C141" s="305">
        <v>1</v>
      </c>
      <c r="D141" s="380">
        <v>46190</v>
      </c>
      <c r="E141" s="380">
        <v>46195</v>
      </c>
      <c r="F141" s="308" t="s">
        <v>40</v>
      </c>
      <c r="G141" s="308" t="s">
        <v>436</v>
      </c>
      <c r="H141" s="381">
        <v>0</v>
      </c>
      <c r="I141" s="311">
        <v>46209</v>
      </c>
      <c r="J141" s="311">
        <v>46215</v>
      </c>
      <c r="K141" s="310" t="s">
        <v>40</v>
      </c>
      <c r="L141" s="310" t="s">
        <v>422</v>
      </c>
      <c r="M141" s="312">
        <v>0</v>
      </c>
      <c r="N141" s="314">
        <v>46209</v>
      </c>
      <c r="O141" s="314">
        <v>46215</v>
      </c>
      <c r="P141" s="315" t="s">
        <v>40</v>
      </c>
      <c r="Q141" s="315" t="s">
        <v>422</v>
      </c>
      <c r="R141" s="316">
        <v>0</v>
      </c>
      <c r="S141" s="318">
        <v>46228</v>
      </c>
      <c r="T141" s="318">
        <v>46234</v>
      </c>
      <c r="U141" s="319" t="s">
        <v>40</v>
      </c>
      <c r="V141" s="319" t="s">
        <v>422</v>
      </c>
      <c r="W141" s="320">
        <v>0</v>
      </c>
      <c r="X141" s="322">
        <v>46235</v>
      </c>
      <c r="Y141" s="322">
        <v>46237</v>
      </c>
      <c r="Z141" s="323" t="s">
        <v>40</v>
      </c>
      <c r="AA141" s="323" t="s">
        <v>422</v>
      </c>
      <c r="AB141" s="324">
        <v>0</v>
      </c>
      <c r="AC141" s="326">
        <v>46245</v>
      </c>
      <c r="AD141" s="326">
        <v>46250</v>
      </c>
      <c r="AE141" s="327" t="s">
        <v>40</v>
      </c>
      <c r="AF141" s="327" t="s">
        <v>422</v>
      </c>
      <c r="AG141" s="328">
        <v>0</v>
      </c>
      <c r="AH141" s="330">
        <v>46251</v>
      </c>
      <c r="AI141" s="330">
        <v>46254</v>
      </c>
      <c r="AJ141" s="331" t="s">
        <v>165</v>
      </c>
      <c r="AK141" s="331" t="s">
        <v>422</v>
      </c>
      <c r="AL141" s="332">
        <v>0</v>
      </c>
      <c r="AM141" s="310" t="s">
        <v>422</v>
      </c>
      <c r="AN141" s="310" t="s">
        <v>422</v>
      </c>
      <c r="AO141" s="310" t="s">
        <v>40</v>
      </c>
      <c r="AP141" s="472">
        <v>0</v>
      </c>
      <c r="AQ141" s="301"/>
    </row>
    <row r="142" spans="1:43">
      <c r="A142" s="306" t="s">
        <v>437</v>
      </c>
      <c r="B142" s="305" t="s">
        <v>594</v>
      </c>
      <c r="C142" s="305">
        <v>1</v>
      </c>
      <c r="D142" s="380">
        <v>46190</v>
      </c>
      <c r="E142" s="380">
        <v>46195</v>
      </c>
      <c r="F142" s="308" t="s">
        <v>40</v>
      </c>
      <c r="G142" s="308" t="s">
        <v>436</v>
      </c>
      <c r="H142" s="381">
        <v>0</v>
      </c>
      <c r="I142" s="311">
        <v>46209</v>
      </c>
      <c r="J142" s="311">
        <v>46215</v>
      </c>
      <c r="K142" s="310" t="s">
        <v>40</v>
      </c>
      <c r="L142" s="310" t="s">
        <v>422</v>
      </c>
      <c r="M142" s="312">
        <v>0</v>
      </c>
      <c r="N142" s="314">
        <v>46209</v>
      </c>
      <c r="O142" s="314">
        <v>46215</v>
      </c>
      <c r="P142" s="315" t="s">
        <v>40</v>
      </c>
      <c r="Q142" s="315" t="s">
        <v>422</v>
      </c>
      <c r="R142" s="316">
        <v>0</v>
      </c>
      <c r="S142" s="318">
        <v>46228</v>
      </c>
      <c r="T142" s="318">
        <v>46234</v>
      </c>
      <c r="U142" s="319" t="s">
        <v>40</v>
      </c>
      <c r="V142" s="319" t="s">
        <v>422</v>
      </c>
      <c r="W142" s="320">
        <v>0</v>
      </c>
      <c r="X142" s="322">
        <v>46235</v>
      </c>
      <c r="Y142" s="322">
        <v>46237</v>
      </c>
      <c r="Z142" s="323" t="s">
        <v>40</v>
      </c>
      <c r="AA142" s="323" t="s">
        <v>422</v>
      </c>
      <c r="AB142" s="324">
        <v>0</v>
      </c>
      <c r="AC142" s="326">
        <v>46245</v>
      </c>
      <c r="AD142" s="326">
        <v>46250</v>
      </c>
      <c r="AE142" s="327" t="s">
        <v>40</v>
      </c>
      <c r="AF142" s="327" t="s">
        <v>422</v>
      </c>
      <c r="AG142" s="328">
        <v>0</v>
      </c>
      <c r="AH142" s="330">
        <v>46251</v>
      </c>
      <c r="AI142" s="330">
        <v>46254</v>
      </c>
      <c r="AJ142" s="331" t="s">
        <v>165</v>
      </c>
      <c r="AK142" s="331" t="s">
        <v>422</v>
      </c>
      <c r="AL142" s="332">
        <v>0</v>
      </c>
      <c r="AM142" s="310" t="s">
        <v>422</v>
      </c>
      <c r="AN142" s="310" t="s">
        <v>422</v>
      </c>
      <c r="AO142" s="310" t="s">
        <v>40</v>
      </c>
      <c r="AP142" s="472">
        <v>0</v>
      </c>
      <c r="AQ142" s="301"/>
    </row>
    <row r="143" spans="1:43">
      <c r="A143" s="306" t="s">
        <v>437</v>
      </c>
      <c r="B143" s="305" t="s">
        <v>595</v>
      </c>
      <c r="C143" s="305">
        <v>1</v>
      </c>
      <c r="D143" s="380">
        <v>46190</v>
      </c>
      <c r="E143" s="380">
        <v>46195</v>
      </c>
      <c r="F143" s="308" t="s">
        <v>40</v>
      </c>
      <c r="G143" s="308" t="s">
        <v>436</v>
      </c>
      <c r="H143" s="381">
        <v>0</v>
      </c>
      <c r="I143" s="311">
        <v>46209</v>
      </c>
      <c r="J143" s="311">
        <v>46215</v>
      </c>
      <c r="K143" s="310" t="s">
        <v>40</v>
      </c>
      <c r="L143" s="310" t="s">
        <v>422</v>
      </c>
      <c r="M143" s="312">
        <v>0</v>
      </c>
      <c r="N143" s="314">
        <v>46209</v>
      </c>
      <c r="O143" s="314">
        <v>46215</v>
      </c>
      <c r="P143" s="315" t="s">
        <v>40</v>
      </c>
      <c r="Q143" s="315" t="s">
        <v>422</v>
      </c>
      <c r="R143" s="316">
        <v>0</v>
      </c>
      <c r="S143" s="318">
        <v>46228</v>
      </c>
      <c r="T143" s="318">
        <v>46234</v>
      </c>
      <c r="U143" s="319" t="s">
        <v>40</v>
      </c>
      <c r="V143" s="319" t="s">
        <v>422</v>
      </c>
      <c r="W143" s="320">
        <v>0</v>
      </c>
      <c r="X143" s="322">
        <v>46235</v>
      </c>
      <c r="Y143" s="322">
        <v>46237</v>
      </c>
      <c r="Z143" s="323" t="s">
        <v>40</v>
      </c>
      <c r="AA143" s="323" t="s">
        <v>422</v>
      </c>
      <c r="AB143" s="324">
        <v>0</v>
      </c>
      <c r="AC143" s="326">
        <v>46245</v>
      </c>
      <c r="AD143" s="326">
        <v>46250</v>
      </c>
      <c r="AE143" s="327" t="s">
        <v>40</v>
      </c>
      <c r="AF143" s="327" t="s">
        <v>422</v>
      </c>
      <c r="AG143" s="328">
        <v>0</v>
      </c>
      <c r="AH143" s="330">
        <v>46251</v>
      </c>
      <c r="AI143" s="330">
        <v>46254</v>
      </c>
      <c r="AJ143" s="331" t="s">
        <v>165</v>
      </c>
      <c r="AK143" s="331" t="s">
        <v>422</v>
      </c>
      <c r="AL143" s="332">
        <v>0</v>
      </c>
      <c r="AM143" s="310" t="s">
        <v>422</v>
      </c>
      <c r="AN143" s="310" t="s">
        <v>422</v>
      </c>
      <c r="AO143" s="310" t="s">
        <v>40</v>
      </c>
      <c r="AP143" s="472">
        <v>0</v>
      </c>
      <c r="AQ143" s="301"/>
    </row>
    <row r="144" spans="1:43">
      <c r="A144" s="306" t="s">
        <v>437</v>
      </c>
      <c r="B144" s="305" t="s">
        <v>596</v>
      </c>
      <c r="C144" s="305">
        <v>1</v>
      </c>
      <c r="D144" s="380">
        <v>46190</v>
      </c>
      <c r="E144" s="380">
        <v>46195</v>
      </c>
      <c r="F144" s="308" t="s">
        <v>40</v>
      </c>
      <c r="G144" s="308" t="s">
        <v>436</v>
      </c>
      <c r="H144" s="381">
        <v>0</v>
      </c>
      <c r="I144" s="311">
        <v>46209</v>
      </c>
      <c r="J144" s="311">
        <v>46215</v>
      </c>
      <c r="K144" s="310" t="s">
        <v>40</v>
      </c>
      <c r="L144" s="310" t="s">
        <v>422</v>
      </c>
      <c r="M144" s="312">
        <v>0</v>
      </c>
      <c r="N144" s="314">
        <v>46209</v>
      </c>
      <c r="O144" s="314">
        <v>46215</v>
      </c>
      <c r="P144" s="315" t="s">
        <v>40</v>
      </c>
      <c r="Q144" s="315" t="s">
        <v>422</v>
      </c>
      <c r="R144" s="316">
        <v>0</v>
      </c>
      <c r="S144" s="318">
        <v>46228</v>
      </c>
      <c r="T144" s="318">
        <v>46234</v>
      </c>
      <c r="U144" s="319" t="s">
        <v>40</v>
      </c>
      <c r="V144" s="319" t="s">
        <v>422</v>
      </c>
      <c r="W144" s="320">
        <v>0</v>
      </c>
      <c r="X144" s="322">
        <v>46235</v>
      </c>
      <c r="Y144" s="322">
        <v>46237</v>
      </c>
      <c r="Z144" s="323" t="s">
        <v>40</v>
      </c>
      <c r="AA144" s="323" t="s">
        <v>422</v>
      </c>
      <c r="AB144" s="324">
        <v>0</v>
      </c>
      <c r="AC144" s="326">
        <v>46245</v>
      </c>
      <c r="AD144" s="326">
        <v>46250</v>
      </c>
      <c r="AE144" s="327" t="s">
        <v>40</v>
      </c>
      <c r="AF144" s="327" t="s">
        <v>422</v>
      </c>
      <c r="AG144" s="328">
        <v>0</v>
      </c>
      <c r="AH144" s="330">
        <v>46251</v>
      </c>
      <c r="AI144" s="330">
        <v>46254</v>
      </c>
      <c r="AJ144" s="331" t="s">
        <v>165</v>
      </c>
      <c r="AK144" s="331" t="s">
        <v>422</v>
      </c>
      <c r="AL144" s="332">
        <v>0</v>
      </c>
      <c r="AM144" s="310" t="s">
        <v>422</v>
      </c>
      <c r="AN144" s="310" t="s">
        <v>422</v>
      </c>
      <c r="AO144" s="310" t="s">
        <v>40</v>
      </c>
      <c r="AP144" s="472">
        <v>0</v>
      </c>
      <c r="AQ144" s="301"/>
    </row>
    <row r="145" spans="1:43">
      <c r="A145" s="306" t="s">
        <v>437</v>
      </c>
      <c r="B145" s="305" t="s">
        <v>597</v>
      </c>
      <c r="C145" s="305">
        <v>1</v>
      </c>
      <c r="D145" s="380">
        <v>46190</v>
      </c>
      <c r="E145" s="380">
        <v>46195</v>
      </c>
      <c r="F145" s="308" t="s">
        <v>40</v>
      </c>
      <c r="G145" s="308" t="s">
        <v>436</v>
      </c>
      <c r="H145" s="381">
        <v>0</v>
      </c>
      <c r="I145" s="311">
        <v>46209</v>
      </c>
      <c r="J145" s="311">
        <v>46215</v>
      </c>
      <c r="K145" s="310" t="s">
        <v>40</v>
      </c>
      <c r="L145" s="310" t="s">
        <v>422</v>
      </c>
      <c r="M145" s="312">
        <v>0</v>
      </c>
      <c r="N145" s="314">
        <v>46209</v>
      </c>
      <c r="O145" s="314">
        <v>46215</v>
      </c>
      <c r="P145" s="315" t="s">
        <v>40</v>
      </c>
      <c r="Q145" s="315" t="s">
        <v>422</v>
      </c>
      <c r="R145" s="316">
        <v>0</v>
      </c>
      <c r="S145" s="318">
        <v>46228</v>
      </c>
      <c r="T145" s="318">
        <v>46234</v>
      </c>
      <c r="U145" s="319" t="s">
        <v>40</v>
      </c>
      <c r="V145" s="319" t="s">
        <v>422</v>
      </c>
      <c r="W145" s="320">
        <v>0</v>
      </c>
      <c r="X145" s="322">
        <v>46235</v>
      </c>
      <c r="Y145" s="322">
        <v>46237</v>
      </c>
      <c r="Z145" s="323" t="s">
        <v>40</v>
      </c>
      <c r="AA145" s="323" t="s">
        <v>422</v>
      </c>
      <c r="AB145" s="324">
        <v>0</v>
      </c>
      <c r="AC145" s="326">
        <v>46245</v>
      </c>
      <c r="AD145" s="326">
        <v>46250</v>
      </c>
      <c r="AE145" s="327" t="s">
        <v>40</v>
      </c>
      <c r="AF145" s="327" t="s">
        <v>422</v>
      </c>
      <c r="AG145" s="328">
        <v>0</v>
      </c>
      <c r="AH145" s="330">
        <v>46251</v>
      </c>
      <c r="AI145" s="330">
        <v>46254</v>
      </c>
      <c r="AJ145" s="331" t="s">
        <v>165</v>
      </c>
      <c r="AK145" s="331" t="s">
        <v>422</v>
      </c>
      <c r="AL145" s="332">
        <v>0</v>
      </c>
      <c r="AM145" s="310" t="s">
        <v>422</v>
      </c>
      <c r="AN145" s="310" t="s">
        <v>422</v>
      </c>
      <c r="AO145" s="310" t="s">
        <v>40</v>
      </c>
      <c r="AP145" s="472">
        <v>0</v>
      </c>
      <c r="AQ145" s="301"/>
    </row>
    <row r="146" spans="1:43">
      <c r="A146" s="306" t="s">
        <v>437</v>
      </c>
      <c r="B146" s="305" t="s">
        <v>598</v>
      </c>
      <c r="C146" s="305">
        <v>1</v>
      </c>
      <c r="D146" s="380">
        <v>46190</v>
      </c>
      <c r="E146" s="380">
        <v>46195</v>
      </c>
      <c r="F146" s="308" t="s">
        <v>40</v>
      </c>
      <c r="G146" s="308" t="s">
        <v>436</v>
      </c>
      <c r="H146" s="381">
        <v>0</v>
      </c>
      <c r="I146" s="311">
        <v>46209</v>
      </c>
      <c r="J146" s="311">
        <v>46215</v>
      </c>
      <c r="K146" s="310" t="s">
        <v>40</v>
      </c>
      <c r="L146" s="310" t="s">
        <v>422</v>
      </c>
      <c r="M146" s="312">
        <v>0</v>
      </c>
      <c r="N146" s="314">
        <v>46209</v>
      </c>
      <c r="O146" s="314">
        <v>46215</v>
      </c>
      <c r="P146" s="315" t="s">
        <v>40</v>
      </c>
      <c r="Q146" s="315" t="s">
        <v>422</v>
      </c>
      <c r="R146" s="316">
        <v>0</v>
      </c>
      <c r="S146" s="318">
        <v>46228</v>
      </c>
      <c r="T146" s="318">
        <v>46234</v>
      </c>
      <c r="U146" s="319" t="s">
        <v>40</v>
      </c>
      <c r="V146" s="319" t="s">
        <v>422</v>
      </c>
      <c r="W146" s="320">
        <v>0</v>
      </c>
      <c r="X146" s="322">
        <v>46235</v>
      </c>
      <c r="Y146" s="322">
        <v>46237</v>
      </c>
      <c r="Z146" s="323" t="s">
        <v>40</v>
      </c>
      <c r="AA146" s="323" t="s">
        <v>422</v>
      </c>
      <c r="AB146" s="324">
        <v>0</v>
      </c>
      <c r="AC146" s="326">
        <v>46245</v>
      </c>
      <c r="AD146" s="326">
        <v>46250</v>
      </c>
      <c r="AE146" s="327" t="s">
        <v>40</v>
      </c>
      <c r="AF146" s="327" t="s">
        <v>422</v>
      </c>
      <c r="AG146" s="328">
        <v>0</v>
      </c>
      <c r="AH146" s="330">
        <v>46251</v>
      </c>
      <c r="AI146" s="330">
        <v>46254</v>
      </c>
      <c r="AJ146" s="331" t="s">
        <v>165</v>
      </c>
      <c r="AK146" s="331" t="s">
        <v>422</v>
      </c>
      <c r="AL146" s="332">
        <v>0</v>
      </c>
      <c r="AM146" s="310" t="s">
        <v>422</v>
      </c>
      <c r="AN146" s="310" t="s">
        <v>422</v>
      </c>
      <c r="AO146" s="310" t="s">
        <v>40</v>
      </c>
      <c r="AP146" s="472">
        <v>0</v>
      </c>
      <c r="AQ146" s="301"/>
    </row>
    <row r="147" spans="1:43">
      <c r="A147" s="306" t="s">
        <v>437</v>
      </c>
      <c r="B147" s="305" t="s">
        <v>599</v>
      </c>
      <c r="C147" s="305">
        <v>1</v>
      </c>
      <c r="D147" s="380">
        <v>46190</v>
      </c>
      <c r="E147" s="380">
        <v>46195</v>
      </c>
      <c r="F147" s="308" t="s">
        <v>40</v>
      </c>
      <c r="G147" s="308" t="s">
        <v>436</v>
      </c>
      <c r="H147" s="381">
        <v>0</v>
      </c>
      <c r="I147" s="311">
        <v>46209</v>
      </c>
      <c r="J147" s="311">
        <v>46215</v>
      </c>
      <c r="K147" s="310" t="s">
        <v>40</v>
      </c>
      <c r="L147" s="310" t="s">
        <v>422</v>
      </c>
      <c r="M147" s="312">
        <v>0</v>
      </c>
      <c r="N147" s="314">
        <v>46209</v>
      </c>
      <c r="O147" s="314">
        <v>46215</v>
      </c>
      <c r="P147" s="315" t="s">
        <v>40</v>
      </c>
      <c r="Q147" s="315" t="s">
        <v>422</v>
      </c>
      <c r="R147" s="316">
        <v>0</v>
      </c>
      <c r="S147" s="318">
        <v>46228</v>
      </c>
      <c r="T147" s="318">
        <v>46234</v>
      </c>
      <c r="U147" s="319" t="s">
        <v>40</v>
      </c>
      <c r="V147" s="319" t="s">
        <v>422</v>
      </c>
      <c r="W147" s="320">
        <v>0</v>
      </c>
      <c r="X147" s="322">
        <v>46235</v>
      </c>
      <c r="Y147" s="322">
        <v>46237</v>
      </c>
      <c r="Z147" s="323" t="s">
        <v>40</v>
      </c>
      <c r="AA147" s="323" t="s">
        <v>422</v>
      </c>
      <c r="AB147" s="324">
        <v>0</v>
      </c>
      <c r="AC147" s="326">
        <v>46245</v>
      </c>
      <c r="AD147" s="326">
        <v>46250</v>
      </c>
      <c r="AE147" s="327" t="s">
        <v>40</v>
      </c>
      <c r="AF147" s="327" t="s">
        <v>422</v>
      </c>
      <c r="AG147" s="328">
        <v>0</v>
      </c>
      <c r="AH147" s="330">
        <v>46251</v>
      </c>
      <c r="AI147" s="330">
        <v>46254</v>
      </c>
      <c r="AJ147" s="331" t="s">
        <v>165</v>
      </c>
      <c r="AK147" s="331" t="s">
        <v>422</v>
      </c>
      <c r="AL147" s="332">
        <v>0</v>
      </c>
      <c r="AM147" s="310" t="s">
        <v>422</v>
      </c>
      <c r="AN147" s="310" t="s">
        <v>422</v>
      </c>
      <c r="AO147" s="310" t="s">
        <v>40</v>
      </c>
      <c r="AP147" s="472">
        <v>0</v>
      </c>
      <c r="AQ147" s="301"/>
    </row>
    <row r="148" spans="1:43">
      <c r="A148" s="306" t="s">
        <v>437</v>
      </c>
      <c r="B148" s="305" t="s">
        <v>600</v>
      </c>
      <c r="C148" s="305">
        <v>1</v>
      </c>
      <c r="D148" s="380">
        <v>46190</v>
      </c>
      <c r="E148" s="380">
        <v>46195</v>
      </c>
      <c r="F148" s="308" t="s">
        <v>40</v>
      </c>
      <c r="G148" s="308" t="s">
        <v>436</v>
      </c>
      <c r="H148" s="381">
        <v>0</v>
      </c>
      <c r="I148" s="311">
        <v>46209</v>
      </c>
      <c r="J148" s="311">
        <v>46215</v>
      </c>
      <c r="K148" s="310" t="s">
        <v>40</v>
      </c>
      <c r="L148" s="310" t="s">
        <v>422</v>
      </c>
      <c r="M148" s="312">
        <v>0</v>
      </c>
      <c r="N148" s="314">
        <v>46209</v>
      </c>
      <c r="O148" s="314">
        <v>46215</v>
      </c>
      <c r="P148" s="315" t="s">
        <v>40</v>
      </c>
      <c r="Q148" s="315" t="s">
        <v>422</v>
      </c>
      <c r="R148" s="316">
        <v>0</v>
      </c>
      <c r="S148" s="318">
        <v>46228</v>
      </c>
      <c r="T148" s="318">
        <v>46234</v>
      </c>
      <c r="U148" s="319" t="s">
        <v>40</v>
      </c>
      <c r="V148" s="319" t="s">
        <v>422</v>
      </c>
      <c r="W148" s="320">
        <v>0</v>
      </c>
      <c r="X148" s="322">
        <v>46235</v>
      </c>
      <c r="Y148" s="322">
        <v>46237</v>
      </c>
      <c r="Z148" s="323" t="s">
        <v>40</v>
      </c>
      <c r="AA148" s="323" t="s">
        <v>422</v>
      </c>
      <c r="AB148" s="324">
        <v>0</v>
      </c>
      <c r="AC148" s="326">
        <v>46245</v>
      </c>
      <c r="AD148" s="326">
        <v>46250</v>
      </c>
      <c r="AE148" s="327" t="s">
        <v>40</v>
      </c>
      <c r="AF148" s="327" t="s">
        <v>422</v>
      </c>
      <c r="AG148" s="328">
        <v>0</v>
      </c>
      <c r="AH148" s="330">
        <v>46251</v>
      </c>
      <c r="AI148" s="330">
        <v>46254</v>
      </c>
      <c r="AJ148" s="331" t="s">
        <v>165</v>
      </c>
      <c r="AK148" s="331" t="s">
        <v>422</v>
      </c>
      <c r="AL148" s="332">
        <v>0</v>
      </c>
      <c r="AM148" s="310" t="s">
        <v>422</v>
      </c>
      <c r="AN148" s="310" t="s">
        <v>422</v>
      </c>
      <c r="AO148" s="310" t="s">
        <v>40</v>
      </c>
      <c r="AP148" s="472">
        <v>0</v>
      </c>
      <c r="AQ148" s="301"/>
    </row>
    <row r="149" spans="1:43">
      <c r="A149" s="306" t="s">
        <v>437</v>
      </c>
      <c r="B149" s="305" t="s">
        <v>601</v>
      </c>
      <c r="C149" s="305">
        <v>1</v>
      </c>
      <c r="D149" s="380">
        <v>46190</v>
      </c>
      <c r="E149" s="380">
        <v>46195</v>
      </c>
      <c r="F149" s="308" t="s">
        <v>40</v>
      </c>
      <c r="G149" s="308" t="s">
        <v>436</v>
      </c>
      <c r="H149" s="381">
        <v>0</v>
      </c>
      <c r="I149" s="311">
        <v>46209</v>
      </c>
      <c r="J149" s="311">
        <v>46215</v>
      </c>
      <c r="K149" s="310" t="s">
        <v>40</v>
      </c>
      <c r="L149" s="310" t="s">
        <v>422</v>
      </c>
      <c r="M149" s="312">
        <v>0</v>
      </c>
      <c r="N149" s="314">
        <v>46209</v>
      </c>
      <c r="O149" s="314">
        <v>46215</v>
      </c>
      <c r="P149" s="315" t="s">
        <v>40</v>
      </c>
      <c r="Q149" s="315" t="s">
        <v>422</v>
      </c>
      <c r="R149" s="316">
        <v>0</v>
      </c>
      <c r="S149" s="318">
        <v>46228</v>
      </c>
      <c r="T149" s="318">
        <v>46234</v>
      </c>
      <c r="U149" s="319" t="s">
        <v>40</v>
      </c>
      <c r="V149" s="319" t="s">
        <v>422</v>
      </c>
      <c r="W149" s="320">
        <v>0</v>
      </c>
      <c r="X149" s="322">
        <v>46235</v>
      </c>
      <c r="Y149" s="322">
        <v>46237</v>
      </c>
      <c r="Z149" s="323" t="s">
        <v>40</v>
      </c>
      <c r="AA149" s="323" t="s">
        <v>422</v>
      </c>
      <c r="AB149" s="324">
        <v>0</v>
      </c>
      <c r="AC149" s="326">
        <v>46245</v>
      </c>
      <c r="AD149" s="326">
        <v>46250</v>
      </c>
      <c r="AE149" s="327" t="s">
        <v>40</v>
      </c>
      <c r="AF149" s="327" t="s">
        <v>422</v>
      </c>
      <c r="AG149" s="328">
        <v>0</v>
      </c>
      <c r="AH149" s="330">
        <v>46251</v>
      </c>
      <c r="AI149" s="330">
        <v>46254</v>
      </c>
      <c r="AJ149" s="331" t="s">
        <v>165</v>
      </c>
      <c r="AK149" s="331" t="s">
        <v>422</v>
      </c>
      <c r="AL149" s="332">
        <v>0</v>
      </c>
      <c r="AM149" s="310" t="s">
        <v>422</v>
      </c>
      <c r="AN149" s="310" t="s">
        <v>422</v>
      </c>
      <c r="AO149" s="310" t="s">
        <v>40</v>
      </c>
      <c r="AP149" s="472">
        <v>0</v>
      </c>
      <c r="AQ149" s="301"/>
    </row>
    <row r="150" spans="1:43">
      <c r="A150" s="306" t="s">
        <v>437</v>
      </c>
      <c r="B150" s="305" t="s">
        <v>602</v>
      </c>
      <c r="C150" s="305">
        <v>1</v>
      </c>
      <c r="D150" s="380">
        <v>46190</v>
      </c>
      <c r="E150" s="380">
        <v>46195</v>
      </c>
      <c r="F150" s="308" t="s">
        <v>40</v>
      </c>
      <c r="G150" s="308" t="s">
        <v>436</v>
      </c>
      <c r="H150" s="381">
        <v>0</v>
      </c>
      <c r="I150" s="311">
        <v>46209</v>
      </c>
      <c r="J150" s="311">
        <v>46215</v>
      </c>
      <c r="K150" s="310" t="s">
        <v>40</v>
      </c>
      <c r="L150" s="310" t="s">
        <v>422</v>
      </c>
      <c r="M150" s="312">
        <v>0</v>
      </c>
      <c r="N150" s="314">
        <v>46209</v>
      </c>
      <c r="O150" s="314">
        <v>46215</v>
      </c>
      <c r="P150" s="315" t="s">
        <v>40</v>
      </c>
      <c r="Q150" s="315" t="s">
        <v>422</v>
      </c>
      <c r="R150" s="316">
        <v>0</v>
      </c>
      <c r="S150" s="318">
        <v>46228</v>
      </c>
      <c r="T150" s="318">
        <v>46234</v>
      </c>
      <c r="U150" s="319" t="s">
        <v>40</v>
      </c>
      <c r="V150" s="319" t="s">
        <v>422</v>
      </c>
      <c r="W150" s="320">
        <v>0</v>
      </c>
      <c r="X150" s="322">
        <v>46235</v>
      </c>
      <c r="Y150" s="322">
        <v>46237</v>
      </c>
      <c r="Z150" s="323" t="s">
        <v>40</v>
      </c>
      <c r="AA150" s="323" t="s">
        <v>422</v>
      </c>
      <c r="AB150" s="324">
        <v>0</v>
      </c>
      <c r="AC150" s="326">
        <v>46245</v>
      </c>
      <c r="AD150" s="326">
        <v>46250</v>
      </c>
      <c r="AE150" s="327" t="s">
        <v>40</v>
      </c>
      <c r="AF150" s="327" t="s">
        <v>422</v>
      </c>
      <c r="AG150" s="328">
        <v>0</v>
      </c>
      <c r="AH150" s="330">
        <v>46251</v>
      </c>
      <c r="AI150" s="330">
        <v>46254</v>
      </c>
      <c r="AJ150" s="331" t="s">
        <v>165</v>
      </c>
      <c r="AK150" s="331" t="s">
        <v>422</v>
      </c>
      <c r="AL150" s="332">
        <v>0</v>
      </c>
      <c r="AM150" s="310" t="s">
        <v>422</v>
      </c>
      <c r="AN150" s="310" t="s">
        <v>422</v>
      </c>
      <c r="AO150" s="310" t="s">
        <v>40</v>
      </c>
      <c r="AP150" s="472">
        <v>0</v>
      </c>
      <c r="AQ150" s="301"/>
    </row>
    <row r="151" spans="1:43">
      <c r="A151" s="306" t="s">
        <v>437</v>
      </c>
      <c r="B151" s="305" t="s">
        <v>603</v>
      </c>
      <c r="C151" s="305">
        <v>1</v>
      </c>
      <c r="D151" s="380">
        <v>46190</v>
      </c>
      <c r="E151" s="380">
        <v>46195</v>
      </c>
      <c r="F151" s="308" t="s">
        <v>40</v>
      </c>
      <c r="G151" s="308" t="s">
        <v>436</v>
      </c>
      <c r="H151" s="381">
        <v>0</v>
      </c>
      <c r="I151" s="311">
        <v>46209</v>
      </c>
      <c r="J151" s="311">
        <v>46215</v>
      </c>
      <c r="K151" s="310" t="s">
        <v>40</v>
      </c>
      <c r="L151" s="310" t="s">
        <v>422</v>
      </c>
      <c r="M151" s="312">
        <v>0</v>
      </c>
      <c r="N151" s="314">
        <v>46209</v>
      </c>
      <c r="O151" s="314">
        <v>46215</v>
      </c>
      <c r="P151" s="315" t="s">
        <v>40</v>
      </c>
      <c r="Q151" s="315" t="s">
        <v>422</v>
      </c>
      <c r="R151" s="316">
        <v>0</v>
      </c>
      <c r="S151" s="318">
        <v>46228</v>
      </c>
      <c r="T151" s="318">
        <v>46234</v>
      </c>
      <c r="U151" s="319" t="s">
        <v>40</v>
      </c>
      <c r="V151" s="319" t="s">
        <v>422</v>
      </c>
      <c r="W151" s="320">
        <v>0</v>
      </c>
      <c r="X151" s="322">
        <v>46235</v>
      </c>
      <c r="Y151" s="322">
        <v>46237</v>
      </c>
      <c r="Z151" s="323" t="s">
        <v>40</v>
      </c>
      <c r="AA151" s="323" t="s">
        <v>422</v>
      </c>
      <c r="AB151" s="324">
        <v>0</v>
      </c>
      <c r="AC151" s="326">
        <v>46245</v>
      </c>
      <c r="AD151" s="326">
        <v>46250</v>
      </c>
      <c r="AE151" s="327" t="s">
        <v>40</v>
      </c>
      <c r="AF151" s="327" t="s">
        <v>422</v>
      </c>
      <c r="AG151" s="328">
        <v>0</v>
      </c>
      <c r="AH151" s="330">
        <v>46251</v>
      </c>
      <c r="AI151" s="330">
        <v>46254</v>
      </c>
      <c r="AJ151" s="331" t="s">
        <v>165</v>
      </c>
      <c r="AK151" s="331" t="s">
        <v>422</v>
      </c>
      <c r="AL151" s="332">
        <v>0</v>
      </c>
      <c r="AM151" s="310" t="s">
        <v>422</v>
      </c>
      <c r="AN151" s="310" t="s">
        <v>422</v>
      </c>
      <c r="AO151" s="310" t="s">
        <v>40</v>
      </c>
      <c r="AP151" s="472">
        <v>0</v>
      </c>
      <c r="AQ151" s="301"/>
    </row>
    <row r="152" spans="1:43">
      <c r="A152" s="306" t="s">
        <v>437</v>
      </c>
      <c r="B152" s="305" t="s">
        <v>604</v>
      </c>
      <c r="C152" s="305">
        <v>1</v>
      </c>
      <c r="D152" s="380">
        <v>46190</v>
      </c>
      <c r="E152" s="380">
        <v>46195</v>
      </c>
      <c r="F152" s="308" t="s">
        <v>40</v>
      </c>
      <c r="G152" s="308" t="s">
        <v>436</v>
      </c>
      <c r="H152" s="381">
        <v>0</v>
      </c>
      <c r="I152" s="311">
        <v>46209</v>
      </c>
      <c r="J152" s="311">
        <v>46215</v>
      </c>
      <c r="K152" s="310" t="s">
        <v>40</v>
      </c>
      <c r="L152" s="310" t="s">
        <v>422</v>
      </c>
      <c r="M152" s="312">
        <v>0</v>
      </c>
      <c r="N152" s="314">
        <v>46209</v>
      </c>
      <c r="O152" s="314">
        <v>46215</v>
      </c>
      <c r="P152" s="315" t="s">
        <v>40</v>
      </c>
      <c r="Q152" s="315" t="s">
        <v>422</v>
      </c>
      <c r="R152" s="316">
        <v>0</v>
      </c>
      <c r="S152" s="318">
        <v>46228</v>
      </c>
      <c r="T152" s="318">
        <v>46234</v>
      </c>
      <c r="U152" s="319" t="s">
        <v>40</v>
      </c>
      <c r="V152" s="319" t="s">
        <v>422</v>
      </c>
      <c r="W152" s="320">
        <v>0</v>
      </c>
      <c r="X152" s="322">
        <v>46235</v>
      </c>
      <c r="Y152" s="322">
        <v>46237</v>
      </c>
      <c r="Z152" s="323" t="s">
        <v>40</v>
      </c>
      <c r="AA152" s="323" t="s">
        <v>422</v>
      </c>
      <c r="AB152" s="324">
        <v>0</v>
      </c>
      <c r="AC152" s="326">
        <v>46245</v>
      </c>
      <c r="AD152" s="326">
        <v>46250</v>
      </c>
      <c r="AE152" s="327" t="s">
        <v>40</v>
      </c>
      <c r="AF152" s="327" t="s">
        <v>422</v>
      </c>
      <c r="AG152" s="328">
        <v>0</v>
      </c>
      <c r="AH152" s="330">
        <v>46251</v>
      </c>
      <c r="AI152" s="330">
        <v>46254</v>
      </c>
      <c r="AJ152" s="331" t="s">
        <v>165</v>
      </c>
      <c r="AK152" s="331" t="s">
        <v>422</v>
      </c>
      <c r="AL152" s="332">
        <v>0</v>
      </c>
      <c r="AM152" s="310" t="s">
        <v>422</v>
      </c>
      <c r="AN152" s="310" t="s">
        <v>422</v>
      </c>
      <c r="AO152" s="310" t="s">
        <v>40</v>
      </c>
      <c r="AP152" s="472">
        <v>0</v>
      </c>
      <c r="AQ152" s="301"/>
    </row>
    <row r="153" spans="1:43">
      <c r="A153" s="306" t="s">
        <v>437</v>
      </c>
      <c r="B153" s="305" t="s">
        <v>605</v>
      </c>
      <c r="C153" s="305">
        <v>1</v>
      </c>
      <c r="D153" s="380">
        <v>46190</v>
      </c>
      <c r="E153" s="380">
        <v>46195</v>
      </c>
      <c r="F153" s="308" t="s">
        <v>40</v>
      </c>
      <c r="G153" s="308" t="s">
        <v>436</v>
      </c>
      <c r="H153" s="381">
        <v>0</v>
      </c>
      <c r="I153" s="311">
        <v>46209</v>
      </c>
      <c r="J153" s="311">
        <v>46215</v>
      </c>
      <c r="K153" s="310" t="s">
        <v>40</v>
      </c>
      <c r="L153" s="310" t="s">
        <v>422</v>
      </c>
      <c r="M153" s="312">
        <v>0</v>
      </c>
      <c r="N153" s="314">
        <v>46209</v>
      </c>
      <c r="O153" s="314">
        <v>46215</v>
      </c>
      <c r="P153" s="315" t="s">
        <v>40</v>
      </c>
      <c r="Q153" s="315" t="s">
        <v>422</v>
      </c>
      <c r="R153" s="316">
        <v>0</v>
      </c>
      <c r="S153" s="318">
        <v>46228</v>
      </c>
      <c r="T153" s="318">
        <v>46234</v>
      </c>
      <c r="U153" s="319" t="s">
        <v>40</v>
      </c>
      <c r="V153" s="319" t="s">
        <v>422</v>
      </c>
      <c r="W153" s="320">
        <v>0</v>
      </c>
      <c r="X153" s="322">
        <v>46235</v>
      </c>
      <c r="Y153" s="322">
        <v>46237</v>
      </c>
      <c r="Z153" s="323" t="s">
        <v>40</v>
      </c>
      <c r="AA153" s="323" t="s">
        <v>422</v>
      </c>
      <c r="AB153" s="324">
        <v>0</v>
      </c>
      <c r="AC153" s="326">
        <v>46245</v>
      </c>
      <c r="AD153" s="326">
        <v>46250</v>
      </c>
      <c r="AE153" s="327" t="s">
        <v>40</v>
      </c>
      <c r="AF153" s="327" t="s">
        <v>422</v>
      </c>
      <c r="AG153" s="328">
        <v>0</v>
      </c>
      <c r="AH153" s="330">
        <v>46251</v>
      </c>
      <c r="AI153" s="330">
        <v>46254</v>
      </c>
      <c r="AJ153" s="331" t="s">
        <v>165</v>
      </c>
      <c r="AK153" s="331" t="s">
        <v>422</v>
      </c>
      <c r="AL153" s="332">
        <v>0</v>
      </c>
      <c r="AM153" s="310" t="s">
        <v>422</v>
      </c>
      <c r="AN153" s="310" t="s">
        <v>422</v>
      </c>
      <c r="AO153" s="310" t="s">
        <v>40</v>
      </c>
      <c r="AP153" s="472">
        <v>0</v>
      </c>
      <c r="AQ153" s="301"/>
    </row>
    <row r="154" spans="1:43">
      <c r="A154" s="306" t="s">
        <v>437</v>
      </c>
      <c r="B154" s="305" t="s">
        <v>606</v>
      </c>
      <c r="C154" s="305">
        <v>1</v>
      </c>
      <c r="D154" s="380">
        <v>46190</v>
      </c>
      <c r="E154" s="380">
        <v>46195</v>
      </c>
      <c r="F154" s="308" t="s">
        <v>40</v>
      </c>
      <c r="G154" s="308" t="s">
        <v>436</v>
      </c>
      <c r="H154" s="381">
        <v>0</v>
      </c>
      <c r="I154" s="311">
        <v>46209</v>
      </c>
      <c r="J154" s="311">
        <v>46215</v>
      </c>
      <c r="K154" s="310" t="s">
        <v>40</v>
      </c>
      <c r="L154" s="310" t="s">
        <v>422</v>
      </c>
      <c r="M154" s="312">
        <v>0</v>
      </c>
      <c r="N154" s="314">
        <v>46209</v>
      </c>
      <c r="O154" s="314">
        <v>46215</v>
      </c>
      <c r="P154" s="315" t="s">
        <v>40</v>
      </c>
      <c r="Q154" s="315" t="s">
        <v>422</v>
      </c>
      <c r="R154" s="316">
        <v>0</v>
      </c>
      <c r="S154" s="318">
        <v>46228</v>
      </c>
      <c r="T154" s="318">
        <v>46234</v>
      </c>
      <c r="U154" s="319" t="s">
        <v>40</v>
      </c>
      <c r="V154" s="319" t="s">
        <v>422</v>
      </c>
      <c r="W154" s="320">
        <v>0</v>
      </c>
      <c r="X154" s="322">
        <v>46235</v>
      </c>
      <c r="Y154" s="322">
        <v>46237</v>
      </c>
      <c r="Z154" s="323" t="s">
        <v>40</v>
      </c>
      <c r="AA154" s="323" t="s">
        <v>422</v>
      </c>
      <c r="AB154" s="324">
        <v>0</v>
      </c>
      <c r="AC154" s="326">
        <v>46245</v>
      </c>
      <c r="AD154" s="326">
        <v>46250</v>
      </c>
      <c r="AE154" s="327" t="s">
        <v>40</v>
      </c>
      <c r="AF154" s="327" t="s">
        <v>422</v>
      </c>
      <c r="AG154" s="328">
        <v>0</v>
      </c>
      <c r="AH154" s="330">
        <v>46251</v>
      </c>
      <c r="AI154" s="330">
        <v>46254</v>
      </c>
      <c r="AJ154" s="331" t="s">
        <v>165</v>
      </c>
      <c r="AK154" s="331" t="s">
        <v>422</v>
      </c>
      <c r="AL154" s="332">
        <v>0</v>
      </c>
      <c r="AM154" s="310" t="s">
        <v>422</v>
      </c>
      <c r="AN154" s="310" t="s">
        <v>422</v>
      </c>
      <c r="AO154" s="310" t="s">
        <v>40</v>
      </c>
      <c r="AP154" s="472">
        <v>0</v>
      </c>
      <c r="AQ154" s="301"/>
    </row>
    <row r="155" spans="1:43">
      <c r="A155" s="306" t="s">
        <v>437</v>
      </c>
      <c r="B155" s="305" t="s">
        <v>607</v>
      </c>
      <c r="C155" s="305">
        <v>1</v>
      </c>
      <c r="D155" s="380">
        <v>46190</v>
      </c>
      <c r="E155" s="380">
        <v>46195</v>
      </c>
      <c r="F155" s="308" t="s">
        <v>40</v>
      </c>
      <c r="G155" s="308" t="s">
        <v>436</v>
      </c>
      <c r="H155" s="381">
        <v>0</v>
      </c>
      <c r="I155" s="311">
        <v>46209</v>
      </c>
      <c r="J155" s="311">
        <v>46215</v>
      </c>
      <c r="K155" s="310" t="s">
        <v>40</v>
      </c>
      <c r="L155" s="310" t="s">
        <v>422</v>
      </c>
      <c r="M155" s="312">
        <v>0</v>
      </c>
      <c r="N155" s="314">
        <v>46209</v>
      </c>
      <c r="O155" s="314">
        <v>46215</v>
      </c>
      <c r="P155" s="315" t="s">
        <v>40</v>
      </c>
      <c r="Q155" s="315" t="s">
        <v>422</v>
      </c>
      <c r="R155" s="316">
        <v>0</v>
      </c>
      <c r="S155" s="318">
        <v>46228</v>
      </c>
      <c r="T155" s="318">
        <v>46234</v>
      </c>
      <c r="U155" s="319" t="s">
        <v>40</v>
      </c>
      <c r="V155" s="319" t="s">
        <v>422</v>
      </c>
      <c r="W155" s="320">
        <v>0</v>
      </c>
      <c r="X155" s="322">
        <v>46235</v>
      </c>
      <c r="Y155" s="322">
        <v>46237</v>
      </c>
      <c r="Z155" s="323" t="s">
        <v>40</v>
      </c>
      <c r="AA155" s="323" t="s">
        <v>422</v>
      </c>
      <c r="AB155" s="324">
        <v>0</v>
      </c>
      <c r="AC155" s="326">
        <v>46245</v>
      </c>
      <c r="AD155" s="326">
        <v>46250</v>
      </c>
      <c r="AE155" s="327" t="s">
        <v>40</v>
      </c>
      <c r="AF155" s="327" t="s">
        <v>422</v>
      </c>
      <c r="AG155" s="328">
        <v>0</v>
      </c>
      <c r="AH155" s="330">
        <v>46251</v>
      </c>
      <c r="AI155" s="330">
        <v>46254</v>
      </c>
      <c r="AJ155" s="331" t="s">
        <v>165</v>
      </c>
      <c r="AK155" s="331" t="s">
        <v>422</v>
      </c>
      <c r="AL155" s="332">
        <v>0</v>
      </c>
      <c r="AM155" s="310" t="s">
        <v>422</v>
      </c>
      <c r="AN155" s="310" t="s">
        <v>422</v>
      </c>
      <c r="AO155" s="310" t="s">
        <v>40</v>
      </c>
      <c r="AP155" s="472">
        <v>0</v>
      </c>
      <c r="AQ155" s="301"/>
    </row>
    <row r="156" spans="1:43">
      <c r="A156" s="306" t="s">
        <v>437</v>
      </c>
      <c r="B156" s="305" t="s">
        <v>608</v>
      </c>
      <c r="C156" s="305">
        <v>1</v>
      </c>
      <c r="D156" s="380">
        <v>46190</v>
      </c>
      <c r="E156" s="380">
        <v>46195</v>
      </c>
      <c r="F156" s="308" t="s">
        <v>40</v>
      </c>
      <c r="G156" s="308" t="s">
        <v>436</v>
      </c>
      <c r="H156" s="381">
        <v>0</v>
      </c>
      <c r="I156" s="311">
        <v>46209</v>
      </c>
      <c r="J156" s="311">
        <v>46215</v>
      </c>
      <c r="K156" s="310" t="s">
        <v>40</v>
      </c>
      <c r="L156" s="310" t="s">
        <v>422</v>
      </c>
      <c r="M156" s="312">
        <v>0</v>
      </c>
      <c r="N156" s="314">
        <v>46209</v>
      </c>
      <c r="O156" s="314">
        <v>46215</v>
      </c>
      <c r="P156" s="315" t="s">
        <v>40</v>
      </c>
      <c r="Q156" s="315" t="s">
        <v>422</v>
      </c>
      <c r="R156" s="316">
        <v>0</v>
      </c>
      <c r="S156" s="318">
        <v>46228</v>
      </c>
      <c r="T156" s="318">
        <v>46234</v>
      </c>
      <c r="U156" s="319" t="s">
        <v>40</v>
      </c>
      <c r="V156" s="319" t="s">
        <v>422</v>
      </c>
      <c r="W156" s="320">
        <v>0</v>
      </c>
      <c r="X156" s="322">
        <v>46235</v>
      </c>
      <c r="Y156" s="322">
        <v>46237</v>
      </c>
      <c r="Z156" s="323" t="s">
        <v>40</v>
      </c>
      <c r="AA156" s="323" t="s">
        <v>422</v>
      </c>
      <c r="AB156" s="324">
        <v>0</v>
      </c>
      <c r="AC156" s="326">
        <v>46245</v>
      </c>
      <c r="AD156" s="326">
        <v>46250</v>
      </c>
      <c r="AE156" s="327" t="s">
        <v>40</v>
      </c>
      <c r="AF156" s="327" t="s">
        <v>422</v>
      </c>
      <c r="AG156" s="328">
        <v>0</v>
      </c>
      <c r="AH156" s="330">
        <v>46251</v>
      </c>
      <c r="AI156" s="330">
        <v>46254</v>
      </c>
      <c r="AJ156" s="331" t="s">
        <v>165</v>
      </c>
      <c r="AK156" s="331" t="s">
        <v>422</v>
      </c>
      <c r="AL156" s="332">
        <v>0</v>
      </c>
      <c r="AM156" s="310" t="s">
        <v>422</v>
      </c>
      <c r="AN156" s="310" t="s">
        <v>422</v>
      </c>
      <c r="AO156" s="310" t="s">
        <v>40</v>
      </c>
      <c r="AP156" s="472">
        <v>0</v>
      </c>
      <c r="AQ156" s="301"/>
    </row>
    <row r="157" spans="1:43">
      <c r="A157" s="306" t="s">
        <v>437</v>
      </c>
      <c r="B157" s="305" t="s">
        <v>609</v>
      </c>
      <c r="C157" s="305">
        <v>1</v>
      </c>
      <c r="D157" s="380">
        <v>46190</v>
      </c>
      <c r="E157" s="380">
        <v>46195</v>
      </c>
      <c r="F157" s="308" t="s">
        <v>40</v>
      </c>
      <c r="G157" s="308" t="s">
        <v>436</v>
      </c>
      <c r="H157" s="381">
        <v>0</v>
      </c>
      <c r="I157" s="311">
        <v>46209</v>
      </c>
      <c r="J157" s="311">
        <v>46215</v>
      </c>
      <c r="K157" s="310" t="s">
        <v>40</v>
      </c>
      <c r="L157" s="310" t="s">
        <v>422</v>
      </c>
      <c r="M157" s="312">
        <v>0</v>
      </c>
      <c r="N157" s="314">
        <v>46209</v>
      </c>
      <c r="O157" s="314">
        <v>46215</v>
      </c>
      <c r="P157" s="315" t="s">
        <v>40</v>
      </c>
      <c r="Q157" s="315" t="s">
        <v>422</v>
      </c>
      <c r="R157" s="316">
        <v>0</v>
      </c>
      <c r="S157" s="318">
        <v>46228</v>
      </c>
      <c r="T157" s="318">
        <v>46234</v>
      </c>
      <c r="U157" s="319" t="s">
        <v>40</v>
      </c>
      <c r="V157" s="319" t="s">
        <v>422</v>
      </c>
      <c r="W157" s="320">
        <v>0</v>
      </c>
      <c r="X157" s="322">
        <v>46235</v>
      </c>
      <c r="Y157" s="322">
        <v>46237</v>
      </c>
      <c r="Z157" s="323" t="s">
        <v>40</v>
      </c>
      <c r="AA157" s="323" t="s">
        <v>422</v>
      </c>
      <c r="AB157" s="324">
        <v>0</v>
      </c>
      <c r="AC157" s="326">
        <v>46245</v>
      </c>
      <c r="AD157" s="326">
        <v>46250</v>
      </c>
      <c r="AE157" s="327" t="s">
        <v>40</v>
      </c>
      <c r="AF157" s="327" t="s">
        <v>422</v>
      </c>
      <c r="AG157" s="328">
        <v>0</v>
      </c>
      <c r="AH157" s="330">
        <v>46251</v>
      </c>
      <c r="AI157" s="330">
        <v>46254</v>
      </c>
      <c r="AJ157" s="331" t="s">
        <v>165</v>
      </c>
      <c r="AK157" s="331" t="s">
        <v>422</v>
      </c>
      <c r="AL157" s="332">
        <v>0</v>
      </c>
      <c r="AM157" s="310" t="s">
        <v>422</v>
      </c>
      <c r="AN157" s="310" t="s">
        <v>422</v>
      </c>
      <c r="AO157" s="310" t="s">
        <v>40</v>
      </c>
      <c r="AP157" s="472">
        <v>0</v>
      </c>
      <c r="AQ157" s="301"/>
    </row>
    <row r="158" spans="1:43">
      <c r="A158" s="306" t="s">
        <v>437</v>
      </c>
      <c r="B158" s="305" t="s">
        <v>610</v>
      </c>
      <c r="C158" s="305">
        <v>1</v>
      </c>
      <c r="D158" s="380">
        <v>46190</v>
      </c>
      <c r="E158" s="380">
        <v>46195</v>
      </c>
      <c r="F158" s="308" t="s">
        <v>40</v>
      </c>
      <c r="G158" s="308" t="s">
        <v>436</v>
      </c>
      <c r="H158" s="381">
        <v>0</v>
      </c>
      <c r="I158" s="311">
        <v>46209</v>
      </c>
      <c r="J158" s="311">
        <v>46215</v>
      </c>
      <c r="K158" s="310" t="s">
        <v>40</v>
      </c>
      <c r="L158" s="310" t="s">
        <v>422</v>
      </c>
      <c r="M158" s="312">
        <v>0</v>
      </c>
      <c r="N158" s="314">
        <v>46209</v>
      </c>
      <c r="O158" s="314">
        <v>46215</v>
      </c>
      <c r="P158" s="315" t="s">
        <v>40</v>
      </c>
      <c r="Q158" s="315" t="s">
        <v>422</v>
      </c>
      <c r="R158" s="316">
        <v>0</v>
      </c>
      <c r="S158" s="318">
        <v>46228</v>
      </c>
      <c r="T158" s="318">
        <v>46234</v>
      </c>
      <c r="U158" s="319" t="s">
        <v>40</v>
      </c>
      <c r="V158" s="319" t="s">
        <v>422</v>
      </c>
      <c r="W158" s="320">
        <v>0</v>
      </c>
      <c r="X158" s="322">
        <v>46235</v>
      </c>
      <c r="Y158" s="322">
        <v>46237</v>
      </c>
      <c r="Z158" s="323" t="s">
        <v>40</v>
      </c>
      <c r="AA158" s="323" t="s">
        <v>422</v>
      </c>
      <c r="AB158" s="324">
        <v>0</v>
      </c>
      <c r="AC158" s="326">
        <v>46245</v>
      </c>
      <c r="AD158" s="326">
        <v>46250</v>
      </c>
      <c r="AE158" s="327" t="s">
        <v>40</v>
      </c>
      <c r="AF158" s="327" t="s">
        <v>422</v>
      </c>
      <c r="AG158" s="328">
        <v>0</v>
      </c>
      <c r="AH158" s="330">
        <v>46251</v>
      </c>
      <c r="AI158" s="330">
        <v>46254</v>
      </c>
      <c r="AJ158" s="331" t="s">
        <v>165</v>
      </c>
      <c r="AK158" s="331" t="s">
        <v>422</v>
      </c>
      <c r="AL158" s="332">
        <v>0</v>
      </c>
      <c r="AM158" s="310" t="s">
        <v>422</v>
      </c>
      <c r="AN158" s="310" t="s">
        <v>422</v>
      </c>
      <c r="AO158" s="310" t="s">
        <v>40</v>
      </c>
      <c r="AP158" s="472">
        <v>0</v>
      </c>
      <c r="AQ158" s="301"/>
    </row>
    <row r="159" spans="1:43">
      <c r="A159" s="306" t="s">
        <v>437</v>
      </c>
      <c r="B159" s="305" t="s">
        <v>611</v>
      </c>
      <c r="C159" s="305">
        <v>1</v>
      </c>
      <c r="D159" s="380">
        <v>46190</v>
      </c>
      <c r="E159" s="380">
        <v>46195</v>
      </c>
      <c r="F159" s="308" t="s">
        <v>40</v>
      </c>
      <c r="G159" s="308" t="s">
        <v>436</v>
      </c>
      <c r="H159" s="381">
        <v>0</v>
      </c>
      <c r="I159" s="311">
        <v>46209</v>
      </c>
      <c r="J159" s="311">
        <v>46215</v>
      </c>
      <c r="K159" s="310" t="s">
        <v>40</v>
      </c>
      <c r="L159" s="310" t="s">
        <v>422</v>
      </c>
      <c r="M159" s="312">
        <v>0</v>
      </c>
      <c r="N159" s="314">
        <v>46209</v>
      </c>
      <c r="O159" s="314">
        <v>46215</v>
      </c>
      <c r="P159" s="315" t="s">
        <v>40</v>
      </c>
      <c r="Q159" s="315" t="s">
        <v>422</v>
      </c>
      <c r="R159" s="316">
        <v>0</v>
      </c>
      <c r="S159" s="318">
        <v>46228</v>
      </c>
      <c r="T159" s="318">
        <v>46234</v>
      </c>
      <c r="U159" s="319" t="s">
        <v>40</v>
      </c>
      <c r="V159" s="319" t="s">
        <v>422</v>
      </c>
      <c r="W159" s="320">
        <v>0</v>
      </c>
      <c r="X159" s="322">
        <v>46235</v>
      </c>
      <c r="Y159" s="322">
        <v>46237</v>
      </c>
      <c r="Z159" s="323" t="s">
        <v>40</v>
      </c>
      <c r="AA159" s="323" t="s">
        <v>422</v>
      </c>
      <c r="AB159" s="324">
        <v>0</v>
      </c>
      <c r="AC159" s="326">
        <v>46245</v>
      </c>
      <c r="AD159" s="326">
        <v>46250</v>
      </c>
      <c r="AE159" s="327" t="s">
        <v>40</v>
      </c>
      <c r="AF159" s="327" t="s">
        <v>422</v>
      </c>
      <c r="AG159" s="328">
        <v>0</v>
      </c>
      <c r="AH159" s="330">
        <v>46251</v>
      </c>
      <c r="AI159" s="330">
        <v>46254</v>
      </c>
      <c r="AJ159" s="331" t="s">
        <v>165</v>
      </c>
      <c r="AK159" s="331" t="s">
        <v>422</v>
      </c>
      <c r="AL159" s="332">
        <v>0</v>
      </c>
      <c r="AM159" s="310" t="s">
        <v>422</v>
      </c>
      <c r="AN159" s="310" t="s">
        <v>422</v>
      </c>
      <c r="AO159" s="310" t="s">
        <v>40</v>
      </c>
      <c r="AP159" s="472">
        <v>0</v>
      </c>
      <c r="AQ159" s="301"/>
    </row>
    <row r="160" spans="1:43">
      <c r="A160" s="306" t="s">
        <v>437</v>
      </c>
      <c r="B160" s="305" t="s">
        <v>612</v>
      </c>
      <c r="C160" s="305">
        <v>1</v>
      </c>
      <c r="D160" s="380">
        <v>46190</v>
      </c>
      <c r="E160" s="380">
        <v>46195</v>
      </c>
      <c r="F160" s="308" t="s">
        <v>40</v>
      </c>
      <c r="G160" s="308" t="s">
        <v>436</v>
      </c>
      <c r="H160" s="381">
        <v>0</v>
      </c>
      <c r="I160" s="311">
        <v>46209</v>
      </c>
      <c r="J160" s="311">
        <v>46215</v>
      </c>
      <c r="K160" s="310" t="s">
        <v>40</v>
      </c>
      <c r="L160" s="310" t="s">
        <v>422</v>
      </c>
      <c r="M160" s="312">
        <v>0</v>
      </c>
      <c r="N160" s="314">
        <v>46209</v>
      </c>
      <c r="O160" s="314">
        <v>46215</v>
      </c>
      <c r="P160" s="315" t="s">
        <v>40</v>
      </c>
      <c r="Q160" s="315" t="s">
        <v>422</v>
      </c>
      <c r="R160" s="316">
        <v>0</v>
      </c>
      <c r="S160" s="318">
        <v>46228</v>
      </c>
      <c r="T160" s="318">
        <v>46234</v>
      </c>
      <c r="U160" s="319" t="s">
        <v>40</v>
      </c>
      <c r="V160" s="319" t="s">
        <v>422</v>
      </c>
      <c r="W160" s="320">
        <v>0</v>
      </c>
      <c r="X160" s="322">
        <v>46235</v>
      </c>
      <c r="Y160" s="322">
        <v>46237</v>
      </c>
      <c r="Z160" s="323" t="s">
        <v>40</v>
      </c>
      <c r="AA160" s="323" t="s">
        <v>422</v>
      </c>
      <c r="AB160" s="324">
        <v>0</v>
      </c>
      <c r="AC160" s="326">
        <v>46245</v>
      </c>
      <c r="AD160" s="326">
        <v>46250</v>
      </c>
      <c r="AE160" s="327" t="s">
        <v>40</v>
      </c>
      <c r="AF160" s="327" t="s">
        <v>422</v>
      </c>
      <c r="AG160" s="328">
        <v>0</v>
      </c>
      <c r="AH160" s="330">
        <v>46251</v>
      </c>
      <c r="AI160" s="330">
        <v>46254</v>
      </c>
      <c r="AJ160" s="331" t="s">
        <v>165</v>
      </c>
      <c r="AK160" s="331" t="s">
        <v>422</v>
      </c>
      <c r="AL160" s="332">
        <v>0</v>
      </c>
      <c r="AM160" s="310" t="s">
        <v>422</v>
      </c>
      <c r="AN160" s="310" t="s">
        <v>422</v>
      </c>
      <c r="AO160" s="310" t="s">
        <v>40</v>
      </c>
      <c r="AP160" s="472">
        <v>0</v>
      </c>
      <c r="AQ160" s="301"/>
    </row>
    <row r="161" spans="1:43">
      <c r="A161" s="306" t="s">
        <v>437</v>
      </c>
      <c r="B161" s="305" t="s">
        <v>613</v>
      </c>
      <c r="C161" s="305">
        <v>1</v>
      </c>
      <c r="D161" s="380">
        <v>46190</v>
      </c>
      <c r="E161" s="380">
        <v>46195</v>
      </c>
      <c r="F161" s="308" t="s">
        <v>40</v>
      </c>
      <c r="G161" s="308" t="s">
        <v>436</v>
      </c>
      <c r="H161" s="381">
        <v>0</v>
      </c>
      <c r="I161" s="311">
        <v>46209</v>
      </c>
      <c r="J161" s="311">
        <v>46215</v>
      </c>
      <c r="K161" s="310" t="s">
        <v>40</v>
      </c>
      <c r="L161" s="310" t="s">
        <v>422</v>
      </c>
      <c r="M161" s="312">
        <v>0</v>
      </c>
      <c r="N161" s="314">
        <v>46209</v>
      </c>
      <c r="O161" s="314">
        <v>46215</v>
      </c>
      <c r="P161" s="315" t="s">
        <v>40</v>
      </c>
      <c r="Q161" s="315" t="s">
        <v>422</v>
      </c>
      <c r="R161" s="316">
        <v>0</v>
      </c>
      <c r="S161" s="318">
        <v>46228</v>
      </c>
      <c r="T161" s="318">
        <v>46234</v>
      </c>
      <c r="U161" s="319" t="s">
        <v>40</v>
      </c>
      <c r="V161" s="319" t="s">
        <v>422</v>
      </c>
      <c r="W161" s="320">
        <v>0</v>
      </c>
      <c r="X161" s="322">
        <v>46235</v>
      </c>
      <c r="Y161" s="322">
        <v>46237</v>
      </c>
      <c r="Z161" s="323" t="s">
        <v>40</v>
      </c>
      <c r="AA161" s="323" t="s">
        <v>422</v>
      </c>
      <c r="AB161" s="324">
        <v>0</v>
      </c>
      <c r="AC161" s="326">
        <v>46245</v>
      </c>
      <c r="AD161" s="326">
        <v>46250</v>
      </c>
      <c r="AE161" s="327" t="s">
        <v>40</v>
      </c>
      <c r="AF161" s="327" t="s">
        <v>422</v>
      </c>
      <c r="AG161" s="328">
        <v>0</v>
      </c>
      <c r="AH161" s="330">
        <v>46251</v>
      </c>
      <c r="AI161" s="330">
        <v>46254</v>
      </c>
      <c r="AJ161" s="331" t="s">
        <v>165</v>
      </c>
      <c r="AK161" s="331" t="s">
        <v>422</v>
      </c>
      <c r="AL161" s="332">
        <v>0</v>
      </c>
      <c r="AM161" s="310" t="s">
        <v>422</v>
      </c>
      <c r="AN161" s="310" t="s">
        <v>422</v>
      </c>
      <c r="AO161" s="310" t="s">
        <v>40</v>
      </c>
      <c r="AP161" s="472">
        <v>0</v>
      </c>
      <c r="AQ161" s="301"/>
    </row>
    <row r="162" spans="1:43">
      <c r="A162" s="306" t="s">
        <v>437</v>
      </c>
      <c r="B162" s="305" t="s">
        <v>614</v>
      </c>
      <c r="C162" s="305">
        <v>1</v>
      </c>
      <c r="D162" s="380">
        <v>46190</v>
      </c>
      <c r="E162" s="380">
        <v>46195</v>
      </c>
      <c r="F162" s="308" t="s">
        <v>40</v>
      </c>
      <c r="G162" s="308" t="s">
        <v>436</v>
      </c>
      <c r="H162" s="381">
        <v>0</v>
      </c>
      <c r="I162" s="311">
        <v>46209</v>
      </c>
      <c r="J162" s="311">
        <v>46215</v>
      </c>
      <c r="K162" s="310" t="s">
        <v>40</v>
      </c>
      <c r="L162" s="310" t="s">
        <v>422</v>
      </c>
      <c r="M162" s="312">
        <v>0</v>
      </c>
      <c r="N162" s="314">
        <v>46209</v>
      </c>
      <c r="O162" s="314">
        <v>46215</v>
      </c>
      <c r="P162" s="315" t="s">
        <v>40</v>
      </c>
      <c r="Q162" s="315" t="s">
        <v>422</v>
      </c>
      <c r="R162" s="316">
        <v>0</v>
      </c>
      <c r="S162" s="318">
        <v>46228</v>
      </c>
      <c r="T162" s="318">
        <v>46234</v>
      </c>
      <c r="U162" s="319" t="s">
        <v>40</v>
      </c>
      <c r="V162" s="319" t="s">
        <v>422</v>
      </c>
      <c r="W162" s="320">
        <v>0</v>
      </c>
      <c r="X162" s="322">
        <v>46235</v>
      </c>
      <c r="Y162" s="322">
        <v>46237</v>
      </c>
      <c r="Z162" s="323" t="s">
        <v>40</v>
      </c>
      <c r="AA162" s="323" t="s">
        <v>422</v>
      </c>
      <c r="AB162" s="324">
        <v>0</v>
      </c>
      <c r="AC162" s="326">
        <v>46245</v>
      </c>
      <c r="AD162" s="326">
        <v>46250</v>
      </c>
      <c r="AE162" s="327" t="s">
        <v>40</v>
      </c>
      <c r="AF162" s="327" t="s">
        <v>422</v>
      </c>
      <c r="AG162" s="328">
        <v>0</v>
      </c>
      <c r="AH162" s="330">
        <v>46251</v>
      </c>
      <c r="AI162" s="330">
        <v>46254</v>
      </c>
      <c r="AJ162" s="331" t="s">
        <v>165</v>
      </c>
      <c r="AK162" s="331" t="s">
        <v>422</v>
      </c>
      <c r="AL162" s="332">
        <v>0</v>
      </c>
      <c r="AM162" s="310" t="s">
        <v>422</v>
      </c>
      <c r="AN162" s="310" t="s">
        <v>422</v>
      </c>
      <c r="AO162" s="310" t="s">
        <v>40</v>
      </c>
      <c r="AP162" s="472">
        <v>0</v>
      </c>
      <c r="AQ162" s="301"/>
    </row>
    <row r="163" spans="1:43">
      <c r="A163" s="306" t="s">
        <v>437</v>
      </c>
      <c r="B163" s="305" t="s">
        <v>615</v>
      </c>
      <c r="C163" s="305">
        <v>1</v>
      </c>
      <c r="D163" s="380">
        <v>46190</v>
      </c>
      <c r="E163" s="380">
        <v>46195</v>
      </c>
      <c r="F163" s="308" t="s">
        <v>40</v>
      </c>
      <c r="G163" s="308" t="s">
        <v>436</v>
      </c>
      <c r="H163" s="381">
        <v>0</v>
      </c>
      <c r="I163" s="311">
        <v>46209</v>
      </c>
      <c r="J163" s="311">
        <v>46215</v>
      </c>
      <c r="K163" s="310" t="s">
        <v>40</v>
      </c>
      <c r="L163" s="310" t="s">
        <v>422</v>
      </c>
      <c r="M163" s="312">
        <v>0</v>
      </c>
      <c r="N163" s="314">
        <v>46209</v>
      </c>
      <c r="O163" s="314">
        <v>46215</v>
      </c>
      <c r="P163" s="315" t="s">
        <v>40</v>
      </c>
      <c r="Q163" s="315" t="s">
        <v>422</v>
      </c>
      <c r="R163" s="316">
        <v>0</v>
      </c>
      <c r="S163" s="318">
        <v>46228</v>
      </c>
      <c r="T163" s="318">
        <v>46234</v>
      </c>
      <c r="U163" s="319" t="s">
        <v>40</v>
      </c>
      <c r="V163" s="319" t="s">
        <v>422</v>
      </c>
      <c r="W163" s="320">
        <v>0</v>
      </c>
      <c r="X163" s="322">
        <v>46235</v>
      </c>
      <c r="Y163" s="322">
        <v>46237</v>
      </c>
      <c r="Z163" s="323" t="s">
        <v>40</v>
      </c>
      <c r="AA163" s="323" t="s">
        <v>422</v>
      </c>
      <c r="AB163" s="324">
        <v>0</v>
      </c>
      <c r="AC163" s="326">
        <v>46245</v>
      </c>
      <c r="AD163" s="326">
        <v>46250</v>
      </c>
      <c r="AE163" s="327" t="s">
        <v>40</v>
      </c>
      <c r="AF163" s="327" t="s">
        <v>422</v>
      </c>
      <c r="AG163" s="328">
        <v>0</v>
      </c>
      <c r="AH163" s="330">
        <v>46251</v>
      </c>
      <c r="AI163" s="330">
        <v>46254</v>
      </c>
      <c r="AJ163" s="331" t="s">
        <v>165</v>
      </c>
      <c r="AK163" s="331" t="s">
        <v>422</v>
      </c>
      <c r="AL163" s="332">
        <v>0</v>
      </c>
      <c r="AM163" s="310" t="s">
        <v>422</v>
      </c>
      <c r="AN163" s="310" t="s">
        <v>422</v>
      </c>
      <c r="AO163" s="310" t="s">
        <v>40</v>
      </c>
      <c r="AP163" s="472">
        <v>0</v>
      </c>
      <c r="AQ163" s="301"/>
    </row>
    <row r="164" spans="1:43">
      <c r="A164" s="306" t="s">
        <v>437</v>
      </c>
      <c r="B164" s="305" t="s">
        <v>616</v>
      </c>
      <c r="C164" s="305">
        <v>1</v>
      </c>
      <c r="D164" s="380">
        <v>46190</v>
      </c>
      <c r="E164" s="380">
        <v>46195</v>
      </c>
      <c r="F164" s="308" t="s">
        <v>40</v>
      </c>
      <c r="G164" s="308" t="s">
        <v>436</v>
      </c>
      <c r="H164" s="381">
        <v>0</v>
      </c>
      <c r="I164" s="311">
        <v>46209</v>
      </c>
      <c r="J164" s="311">
        <v>46215</v>
      </c>
      <c r="K164" s="310" t="s">
        <v>40</v>
      </c>
      <c r="L164" s="310" t="s">
        <v>422</v>
      </c>
      <c r="M164" s="312">
        <v>0</v>
      </c>
      <c r="N164" s="314">
        <v>46209</v>
      </c>
      <c r="O164" s="314">
        <v>46215</v>
      </c>
      <c r="P164" s="315" t="s">
        <v>40</v>
      </c>
      <c r="Q164" s="315" t="s">
        <v>422</v>
      </c>
      <c r="R164" s="316">
        <v>0</v>
      </c>
      <c r="S164" s="318">
        <v>46228</v>
      </c>
      <c r="T164" s="318">
        <v>46234</v>
      </c>
      <c r="U164" s="319" t="s">
        <v>40</v>
      </c>
      <c r="V164" s="319" t="s">
        <v>422</v>
      </c>
      <c r="W164" s="320">
        <v>0</v>
      </c>
      <c r="X164" s="322">
        <v>46235</v>
      </c>
      <c r="Y164" s="322">
        <v>46237</v>
      </c>
      <c r="Z164" s="323" t="s">
        <v>40</v>
      </c>
      <c r="AA164" s="323" t="s">
        <v>422</v>
      </c>
      <c r="AB164" s="324">
        <v>0</v>
      </c>
      <c r="AC164" s="326">
        <v>46245</v>
      </c>
      <c r="AD164" s="326">
        <v>46250</v>
      </c>
      <c r="AE164" s="327" t="s">
        <v>40</v>
      </c>
      <c r="AF164" s="327" t="s">
        <v>422</v>
      </c>
      <c r="AG164" s="328">
        <v>0</v>
      </c>
      <c r="AH164" s="330">
        <v>46251</v>
      </c>
      <c r="AI164" s="330">
        <v>46254</v>
      </c>
      <c r="AJ164" s="331" t="s">
        <v>165</v>
      </c>
      <c r="AK164" s="331" t="s">
        <v>422</v>
      </c>
      <c r="AL164" s="332">
        <v>0</v>
      </c>
      <c r="AM164" s="310" t="s">
        <v>422</v>
      </c>
      <c r="AN164" s="310" t="s">
        <v>422</v>
      </c>
      <c r="AO164" s="310" t="s">
        <v>40</v>
      </c>
      <c r="AP164" s="472">
        <v>0</v>
      </c>
      <c r="AQ164" s="301"/>
    </row>
    <row r="165" spans="1:43">
      <c r="A165" s="306" t="s">
        <v>437</v>
      </c>
      <c r="B165" s="305" t="s">
        <v>617</v>
      </c>
      <c r="C165" s="305">
        <v>1</v>
      </c>
      <c r="D165" s="380">
        <v>46190</v>
      </c>
      <c r="E165" s="380">
        <v>46195</v>
      </c>
      <c r="F165" s="308" t="s">
        <v>40</v>
      </c>
      <c r="G165" s="308" t="s">
        <v>436</v>
      </c>
      <c r="H165" s="381">
        <v>0</v>
      </c>
      <c r="I165" s="311">
        <v>46209</v>
      </c>
      <c r="J165" s="311">
        <v>46215</v>
      </c>
      <c r="K165" s="310" t="s">
        <v>40</v>
      </c>
      <c r="L165" s="310" t="s">
        <v>422</v>
      </c>
      <c r="M165" s="312">
        <v>0</v>
      </c>
      <c r="N165" s="314">
        <v>46209</v>
      </c>
      <c r="O165" s="314">
        <v>46215</v>
      </c>
      <c r="P165" s="315" t="s">
        <v>40</v>
      </c>
      <c r="Q165" s="315" t="s">
        <v>422</v>
      </c>
      <c r="R165" s="316">
        <v>0</v>
      </c>
      <c r="S165" s="318">
        <v>46228</v>
      </c>
      <c r="T165" s="318">
        <v>46234</v>
      </c>
      <c r="U165" s="319" t="s">
        <v>40</v>
      </c>
      <c r="V165" s="319" t="s">
        <v>422</v>
      </c>
      <c r="W165" s="320">
        <v>0</v>
      </c>
      <c r="X165" s="322">
        <v>46235</v>
      </c>
      <c r="Y165" s="322">
        <v>46237</v>
      </c>
      <c r="Z165" s="323" t="s">
        <v>40</v>
      </c>
      <c r="AA165" s="323" t="s">
        <v>422</v>
      </c>
      <c r="AB165" s="324">
        <v>0</v>
      </c>
      <c r="AC165" s="326">
        <v>46245</v>
      </c>
      <c r="AD165" s="326">
        <v>46250</v>
      </c>
      <c r="AE165" s="327" t="s">
        <v>40</v>
      </c>
      <c r="AF165" s="327" t="s">
        <v>422</v>
      </c>
      <c r="AG165" s="328">
        <v>0</v>
      </c>
      <c r="AH165" s="330">
        <v>46251</v>
      </c>
      <c r="AI165" s="330">
        <v>46254</v>
      </c>
      <c r="AJ165" s="331" t="s">
        <v>165</v>
      </c>
      <c r="AK165" s="331" t="s">
        <v>422</v>
      </c>
      <c r="AL165" s="332">
        <v>0</v>
      </c>
      <c r="AM165" s="310" t="s">
        <v>422</v>
      </c>
      <c r="AN165" s="310" t="s">
        <v>422</v>
      </c>
      <c r="AO165" s="310" t="s">
        <v>40</v>
      </c>
      <c r="AP165" s="472">
        <v>0</v>
      </c>
      <c r="AQ165" s="301"/>
    </row>
    <row r="166" spans="1:43">
      <c r="A166" s="306" t="s">
        <v>437</v>
      </c>
      <c r="B166" s="305" t="s">
        <v>618</v>
      </c>
      <c r="C166" s="305">
        <v>1</v>
      </c>
      <c r="D166" s="380">
        <v>46190</v>
      </c>
      <c r="E166" s="380">
        <v>46195</v>
      </c>
      <c r="F166" s="308" t="s">
        <v>40</v>
      </c>
      <c r="G166" s="308" t="s">
        <v>436</v>
      </c>
      <c r="H166" s="381">
        <v>0</v>
      </c>
      <c r="I166" s="311">
        <v>46209</v>
      </c>
      <c r="J166" s="311">
        <v>46215</v>
      </c>
      <c r="K166" s="310" t="s">
        <v>40</v>
      </c>
      <c r="L166" s="310" t="s">
        <v>422</v>
      </c>
      <c r="M166" s="312">
        <v>0</v>
      </c>
      <c r="N166" s="314">
        <v>46209</v>
      </c>
      <c r="O166" s="314">
        <v>46215</v>
      </c>
      <c r="P166" s="315" t="s">
        <v>40</v>
      </c>
      <c r="Q166" s="315" t="s">
        <v>422</v>
      </c>
      <c r="R166" s="316">
        <v>0</v>
      </c>
      <c r="S166" s="318">
        <v>46228</v>
      </c>
      <c r="T166" s="318">
        <v>46234</v>
      </c>
      <c r="U166" s="319" t="s">
        <v>40</v>
      </c>
      <c r="V166" s="319" t="s">
        <v>422</v>
      </c>
      <c r="W166" s="320">
        <v>0</v>
      </c>
      <c r="X166" s="322">
        <v>46235</v>
      </c>
      <c r="Y166" s="322">
        <v>46237</v>
      </c>
      <c r="Z166" s="323" t="s">
        <v>40</v>
      </c>
      <c r="AA166" s="323" t="s">
        <v>422</v>
      </c>
      <c r="AB166" s="324">
        <v>0</v>
      </c>
      <c r="AC166" s="326">
        <v>46245</v>
      </c>
      <c r="AD166" s="326">
        <v>46250</v>
      </c>
      <c r="AE166" s="327" t="s">
        <v>40</v>
      </c>
      <c r="AF166" s="327" t="s">
        <v>422</v>
      </c>
      <c r="AG166" s="328">
        <v>0</v>
      </c>
      <c r="AH166" s="330">
        <v>46251</v>
      </c>
      <c r="AI166" s="330">
        <v>46254</v>
      </c>
      <c r="AJ166" s="331" t="s">
        <v>165</v>
      </c>
      <c r="AK166" s="331" t="s">
        <v>422</v>
      </c>
      <c r="AL166" s="332">
        <v>0</v>
      </c>
      <c r="AM166" s="310" t="s">
        <v>422</v>
      </c>
      <c r="AN166" s="310" t="s">
        <v>422</v>
      </c>
      <c r="AO166" s="310" t="s">
        <v>40</v>
      </c>
      <c r="AP166" s="472">
        <v>0</v>
      </c>
      <c r="AQ166" s="301"/>
    </row>
    <row r="167" spans="1:43">
      <c r="A167" s="306" t="s">
        <v>437</v>
      </c>
      <c r="B167" s="305" t="s">
        <v>619</v>
      </c>
      <c r="C167" s="305">
        <v>1</v>
      </c>
      <c r="D167" s="380">
        <v>46190</v>
      </c>
      <c r="E167" s="380">
        <v>46195</v>
      </c>
      <c r="F167" s="308" t="s">
        <v>40</v>
      </c>
      <c r="G167" s="308" t="s">
        <v>436</v>
      </c>
      <c r="H167" s="381">
        <v>0</v>
      </c>
      <c r="I167" s="311">
        <v>46209</v>
      </c>
      <c r="J167" s="311">
        <v>46215</v>
      </c>
      <c r="K167" s="310" t="s">
        <v>40</v>
      </c>
      <c r="L167" s="310" t="s">
        <v>422</v>
      </c>
      <c r="M167" s="312">
        <v>0</v>
      </c>
      <c r="N167" s="314">
        <v>46209</v>
      </c>
      <c r="O167" s="314">
        <v>46215</v>
      </c>
      <c r="P167" s="315" t="s">
        <v>40</v>
      </c>
      <c r="Q167" s="315" t="s">
        <v>422</v>
      </c>
      <c r="R167" s="316">
        <v>0</v>
      </c>
      <c r="S167" s="318">
        <v>46228</v>
      </c>
      <c r="T167" s="318">
        <v>46234</v>
      </c>
      <c r="U167" s="319" t="s">
        <v>40</v>
      </c>
      <c r="V167" s="319" t="s">
        <v>422</v>
      </c>
      <c r="W167" s="320">
        <v>0</v>
      </c>
      <c r="X167" s="322">
        <v>46235</v>
      </c>
      <c r="Y167" s="322">
        <v>46237</v>
      </c>
      <c r="Z167" s="323" t="s">
        <v>40</v>
      </c>
      <c r="AA167" s="323" t="s">
        <v>422</v>
      </c>
      <c r="AB167" s="324">
        <v>0</v>
      </c>
      <c r="AC167" s="326">
        <v>46245</v>
      </c>
      <c r="AD167" s="326">
        <v>46250</v>
      </c>
      <c r="AE167" s="327" t="s">
        <v>40</v>
      </c>
      <c r="AF167" s="327" t="s">
        <v>422</v>
      </c>
      <c r="AG167" s="328">
        <v>0</v>
      </c>
      <c r="AH167" s="330">
        <v>46251</v>
      </c>
      <c r="AI167" s="330">
        <v>46254</v>
      </c>
      <c r="AJ167" s="331" t="s">
        <v>165</v>
      </c>
      <c r="AK167" s="331" t="s">
        <v>422</v>
      </c>
      <c r="AL167" s="332">
        <v>0</v>
      </c>
      <c r="AM167" s="310" t="s">
        <v>422</v>
      </c>
      <c r="AN167" s="310" t="s">
        <v>422</v>
      </c>
      <c r="AO167" s="310" t="s">
        <v>40</v>
      </c>
      <c r="AP167" s="472">
        <v>0</v>
      </c>
      <c r="AQ167" s="301"/>
    </row>
    <row r="168" spans="1:43">
      <c r="A168" s="306" t="s">
        <v>437</v>
      </c>
      <c r="B168" s="305" t="s">
        <v>620</v>
      </c>
      <c r="C168" s="305">
        <v>1</v>
      </c>
      <c r="D168" s="380">
        <v>46190</v>
      </c>
      <c r="E168" s="380">
        <v>46195</v>
      </c>
      <c r="F168" s="308" t="s">
        <v>40</v>
      </c>
      <c r="G168" s="308" t="s">
        <v>436</v>
      </c>
      <c r="H168" s="381">
        <v>0</v>
      </c>
      <c r="I168" s="311">
        <v>46209</v>
      </c>
      <c r="J168" s="311">
        <v>46215</v>
      </c>
      <c r="K168" s="310" t="s">
        <v>40</v>
      </c>
      <c r="L168" s="310" t="s">
        <v>422</v>
      </c>
      <c r="M168" s="312">
        <v>0</v>
      </c>
      <c r="N168" s="314">
        <v>46209</v>
      </c>
      <c r="O168" s="314">
        <v>46215</v>
      </c>
      <c r="P168" s="315" t="s">
        <v>40</v>
      </c>
      <c r="Q168" s="315" t="s">
        <v>422</v>
      </c>
      <c r="R168" s="316">
        <v>0</v>
      </c>
      <c r="S168" s="318">
        <v>46228</v>
      </c>
      <c r="T168" s="318">
        <v>46234</v>
      </c>
      <c r="U168" s="319" t="s">
        <v>40</v>
      </c>
      <c r="V168" s="319" t="s">
        <v>422</v>
      </c>
      <c r="W168" s="320">
        <v>0</v>
      </c>
      <c r="X168" s="322">
        <v>46235</v>
      </c>
      <c r="Y168" s="322">
        <v>46237</v>
      </c>
      <c r="Z168" s="323" t="s">
        <v>40</v>
      </c>
      <c r="AA168" s="323" t="s">
        <v>422</v>
      </c>
      <c r="AB168" s="324">
        <v>0</v>
      </c>
      <c r="AC168" s="326">
        <v>46245</v>
      </c>
      <c r="AD168" s="326">
        <v>46250</v>
      </c>
      <c r="AE168" s="327" t="s">
        <v>40</v>
      </c>
      <c r="AF168" s="327" t="s">
        <v>422</v>
      </c>
      <c r="AG168" s="328">
        <v>0</v>
      </c>
      <c r="AH168" s="330">
        <v>46251</v>
      </c>
      <c r="AI168" s="330">
        <v>46254</v>
      </c>
      <c r="AJ168" s="331" t="s">
        <v>165</v>
      </c>
      <c r="AK168" s="331" t="s">
        <v>422</v>
      </c>
      <c r="AL168" s="332">
        <v>0</v>
      </c>
      <c r="AM168" s="310" t="s">
        <v>422</v>
      </c>
      <c r="AN168" s="310" t="s">
        <v>422</v>
      </c>
      <c r="AO168" s="310" t="s">
        <v>40</v>
      </c>
      <c r="AP168" s="472">
        <v>0</v>
      </c>
      <c r="AQ168" s="301"/>
    </row>
    <row r="169" spans="1:43">
      <c r="A169" s="306" t="s">
        <v>437</v>
      </c>
      <c r="B169" s="305" t="s">
        <v>621</v>
      </c>
      <c r="C169" s="305">
        <v>1</v>
      </c>
      <c r="D169" s="380">
        <v>46190</v>
      </c>
      <c r="E169" s="380">
        <v>46195</v>
      </c>
      <c r="F169" s="308" t="s">
        <v>40</v>
      </c>
      <c r="G169" s="308" t="s">
        <v>436</v>
      </c>
      <c r="H169" s="381">
        <v>0</v>
      </c>
      <c r="I169" s="311">
        <v>46216</v>
      </c>
      <c r="J169" s="311">
        <v>46221</v>
      </c>
      <c r="K169" s="310" t="s">
        <v>40</v>
      </c>
      <c r="L169" s="310" t="s">
        <v>422</v>
      </c>
      <c r="M169" s="312">
        <v>0</v>
      </c>
      <c r="N169" s="314">
        <v>46216</v>
      </c>
      <c r="O169" s="314">
        <v>46221</v>
      </c>
      <c r="P169" s="315" t="s">
        <v>40</v>
      </c>
      <c r="Q169" s="315" t="s">
        <v>422</v>
      </c>
      <c r="R169" s="316">
        <v>0</v>
      </c>
      <c r="S169" s="318">
        <v>46228</v>
      </c>
      <c r="T169" s="318">
        <v>46234</v>
      </c>
      <c r="U169" s="319" t="s">
        <v>40</v>
      </c>
      <c r="V169" s="319" t="s">
        <v>422</v>
      </c>
      <c r="W169" s="320">
        <v>0</v>
      </c>
      <c r="X169" s="322">
        <v>46235</v>
      </c>
      <c r="Y169" s="322">
        <v>46237</v>
      </c>
      <c r="Z169" s="323" t="s">
        <v>40</v>
      </c>
      <c r="AA169" s="323" t="s">
        <v>422</v>
      </c>
      <c r="AB169" s="324">
        <v>0</v>
      </c>
      <c r="AC169" s="326">
        <v>46245</v>
      </c>
      <c r="AD169" s="326">
        <v>46250</v>
      </c>
      <c r="AE169" s="327" t="s">
        <v>40</v>
      </c>
      <c r="AF169" s="327" t="s">
        <v>422</v>
      </c>
      <c r="AG169" s="328">
        <v>0</v>
      </c>
      <c r="AH169" s="330">
        <v>46251</v>
      </c>
      <c r="AI169" s="330">
        <v>46254</v>
      </c>
      <c r="AJ169" s="331" t="s">
        <v>165</v>
      </c>
      <c r="AK169" s="331" t="s">
        <v>422</v>
      </c>
      <c r="AL169" s="332">
        <v>0</v>
      </c>
      <c r="AM169" s="310" t="s">
        <v>422</v>
      </c>
      <c r="AN169" s="310" t="s">
        <v>422</v>
      </c>
      <c r="AO169" s="310" t="s">
        <v>40</v>
      </c>
      <c r="AP169" s="472">
        <v>0</v>
      </c>
      <c r="AQ169" s="301"/>
    </row>
    <row r="170" spans="1:43">
      <c r="A170" s="306" t="s">
        <v>437</v>
      </c>
      <c r="B170" s="305" t="s">
        <v>622</v>
      </c>
      <c r="C170" s="305">
        <v>1</v>
      </c>
      <c r="D170" s="380">
        <v>46190</v>
      </c>
      <c r="E170" s="380">
        <v>46195</v>
      </c>
      <c r="F170" s="308" t="s">
        <v>40</v>
      </c>
      <c r="G170" s="308" t="s">
        <v>436</v>
      </c>
      <c r="H170" s="381">
        <v>0</v>
      </c>
      <c r="I170" s="311">
        <v>46216</v>
      </c>
      <c r="J170" s="311">
        <v>46221</v>
      </c>
      <c r="K170" s="310" t="s">
        <v>40</v>
      </c>
      <c r="L170" s="310" t="s">
        <v>422</v>
      </c>
      <c r="M170" s="312">
        <v>0</v>
      </c>
      <c r="N170" s="314">
        <v>46216</v>
      </c>
      <c r="O170" s="314">
        <v>46221</v>
      </c>
      <c r="P170" s="315" t="s">
        <v>40</v>
      </c>
      <c r="Q170" s="315" t="s">
        <v>422</v>
      </c>
      <c r="R170" s="316">
        <v>0</v>
      </c>
      <c r="S170" s="318">
        <v>46228</v>
      </c>
      <c r="T170" s="318">
        <v>46234</v>
      </c>
      <c r="U170" s="319" t="s">
        <v>40</v>
      </c>
      <c r="V170" s="319" t="s">
        <v>422</v>
      </c>
      <c r="W170" s="320">
        <v>0</v>
      </c>
      <c r="X170" s="322">
        <v>46235</v>
      </c>
      <c r="Y170" s="322">
        <v>46237</v>
      </c>
      <c r="Z170" s="323" t="s">
        <v>40</v>
      </c>
      <c r="AA170" s="323" t="s">
        <v>422</v>
      </c>
      <c r="AB170" s="324">
        <v>0</v>
      </c>
      <c r="AC170" s="326">
        <v>46245</v>
      </c>
      <c r="AD170" s="326">
        <v>46250</v>
      </c>
      <c r="AE170" s="327" t="s">
        <v>40</v>
      </c>
      <c r="AF170" s="327" t="s">
        <v>422</v>
      </c>
      <c r="AG170" s="328">
        <v>0</v>
      </c>
      <c r="AH170" s="330">
        <v>46251</v>
      </c>
      <c r="AI170" s="330">
        <v>46254</v>
      </c>
      <c r="AJ170" s="331" t="s">
        <v>165</v>
      </c>
      <c r="AK170" s="331" t="s">
        <v>422</v>
      </c>
      <c r="AL170" s="332">
        <v>0</v>
      </c>
      <c r="AM170" s="310" t="s">
        <v>422</v>
      </c>
      <c r="AN170" s="310" t="s">
        <v>422</v>
      </c>
      <c r="AO170" s="310" t="s">
        <v>40</v>
      </c>
      <c r="AP170" s="472">
        <v>0</v>
      </c>
      <c r="AQ170" s="301"/>
    </row>
    <row r="171" spans="1:43">
      <c r="A171" s="306" t="s">
        <v>437</v>
      </c>
      <c r="B171" s="305" t="s">
        <v>623</v>
      </c>
      <c r="C171" s="305">
        <v>1</v>
      </c>
      <c r="D171" s="380">
        <v>46190</v>
      </c>
      <c r="E171" s="380">
        <v>46195</v>
      </c>
      <c r="F171" s="308" t="s">
        <v>40</v>
      </c>
      <c r="G171" s="308" t="s">
        <v>436</v>
      </c>
      <c r="H171" s="381">
        <v>0</v>
      </c>
      <c r="I171" s="311">
        <v>46216</v>
      </c>
      <c r="J171" s="311">
        <v>46221</v>
      </c>
      <c r="K171" s="310" t="s">
        <v>40</v>
      </c>
      <c r="L171" s="310" t="s">
        <v>422</v>
      </c>
      <c r="M171" s="312">
        <v>0</v>
      </c>
      <c r="N171" s="314">
        <v>46216</v>
      </c>
      <c r="O171" s="314">
        <v>46221</v>
      </c>
      <c r="P171" s="315" t="s">
        <v>40</v>
      </c>
      <c r="Q171" s="315" t="s">
        <v>422</v>
      </c>
      <c r="R171" s="316">
        <v>0</v>
      </c>
      <c r="S171" s="318">
        <v>46228</v>
      </c>
      <c r="T171" s="318">
        <v>46234</v>
      </c>
      <c r="U171" s="319" t="s">
        <v>40</v>
      </c>
      <c r="V171" s="319" t="s">
        <v>422</v>
      </c>
      <c r="W171" s="320">
        <v>0</v>
      </c>
      <c r="X171" s="322">
        <v>46235</v>
      </c>
      <c r="Y171" s="322">
        <v>46237</v>
      </c>
      <c r="Z171" s="323" t="s">
        <v>40</v>
      </c>
      <c r="AA171" s="323" t="s">
        <v>422</v>
      </c>
      <c r="AB171" s="324">
        <v>0</v>
      </c>
      <c r="AC171" s="326">
        <v>46245</v>
      </c>
      <c r="AD171" s="326">
        <v>46250</v>
      </c>
      <c r="AE171" s="327" t="s">
        <v>40</v>
      </c>
      <c r="AF171" s="327" t="s">
        <v>422</v>
      </c>
      <c r="AG171" s="328">
        <v>0</v>
      </c>
      <c r="AH171" s="330">
        <v>46251</v>
      </c>
      <c r="AI171" s="330">
        <v>46254</v>
      </c>
      <c r="AJ171" s="331" t="s">
        <v>165</v>
      </c>
      <c r="AK171" s="331" t="s">
        <v>422</v>
      </c>
      <c r="AL171" s="332">
        <v>0</v>
      </c>
      <c r="AM171" s="310" t="s">
        <v>422</v>
      </c>
      <c r="AN171" s="310" t="s">
        <v>422</v>
      </c>
      <c r="AO171" s="310" t="s">
        <v>40</v>
      </c>
      <c r="AP171" s="472">
        <v>0</v>
      </c>
      <c r="AQ171" s="301"/>
    </row>
    <row r="172" spans="1:43">
      <c r="A172" s="306" t="s">
        <v>437</v>
      </c>
      <c r="B172" s="305" t="s">
        <v>624</v>
      </c>
      <c r="C172" s="305">
        <v>1</v>
      </c>
      <c r="D172" s="380">
        <v>46190</v>
      </c>
      <c r="E172" s="380">
        <v>46195</v>
      </c>
      <c r="F172" s="308" t="s">
        <v>40</v>
      </c>
      <c r="G172" s="308" t="s">
        <v>436</v>
      </c>
      <c r="H172" s="381">
        <v>0</v>
      </c>
      <c r="I172" s="311">
        <v>46216</v>
      </c>
      <c r="J172" s="311">
        <v>46221</v>
      </c>
      <c r="K172" s="310" t="s">
        <v>40</v>
      </c>
      <c r="L172" s="310" t="s">
        <v>422</v>
      </c>
      <c r="M172" s="312">
        <v>0</v>
      </c>
      <c r="N172" s="314">
        <v>46216</v>
      </c>
      <c r="O172" s="314">
        <v>46221</v>
      </c>
      <c r="P172" s="315" t="s">
        <v>40</v>
      </c>
      <c r="Q172" s="315" t="s">
        <v>422</v>
      </c>
      <c r="R172" s="316">
        <v>0</v>
      </c>
      <c r="S172" s="318">
        <v>46228</v>
      </c>
      <c r="T172" s="318">
        <v>46234</v>
      </c>
      <c r="U172" s="319" t="s">
        <v>40</v>
      </c>
      <c r="V172" s="319" t="s">
        <v>422</v>
      </c>
      <c r="W172" s="320">
        <v>0</v>
      </c>
      <c r="X172" s="322">
        <v>46235</v>
      </c>
      <c r="Y172" s="322">
        <v>46237</v>
      </c>
      <c r="Z172" s="323" t="s">
        <v>40</v>
      </c>
      <c r="AA172" s="323" t="s">
        <v>422</v>
      </c>
      <c r="AB172" s="324">
        <v>0</v>
      </c>
      <c r="AC172" s="326">
        <v>46245</v>
      </c>
      <c r="AD172" s="326">
        <v>46250</v>
      </c>
      <c r="AE172" s="327" t="s">
        <v>40</v>
      </c>
      <c r="AF172" s="327" t="s">
        <v>422</v>
      </c>
      <c r="AG172" s="328">
        <v>0</v>
      </c>
      <c r="AH172" s="330">
        <v>46251</v>
      </c>
      <c r="AI172" s="330">
        <v>46254</v>
      </c>
      <c r="AJ172" s="331" t="s">
        <v>165</v>
      </c>
      <c r="AK172" s="331" t="s">
        <v>422</v>
      </c>
      <c r="AL172" s="332">
        <v>0</v>
      </c>
      <c r="AM172" s="310" t="s">
        <v>422</v>
      </c>
      <c r="AN172" s="310" t="s">
        <v>422</v>
      </c>
      <c r="AO172" s="310" t="s">
        <v>40</v>
      </c>
      <c r="AP172" s="472">
        <v>0</v>
      </c>
      <c r="AQ172" s="301"/>
    </row>
    <row r="173" spans="1:43">
      <c r="A173" s="306" t="s">
        <v>437</v>
      </c>
      <c r="B173" s="305" t="s">
        <v>625</v>
      </c>
      <c r="C173" s="305">
        <v>1</v>
      </c>
      <c r="D173" s="380">
        <v>46190</v>
      </c>
      <c r="E173" s="380">
        <v>46195</v>
      </c>
      <c r="F173" s="308" t="s">
        <v>40</v>
      </c>
      <c r="G173" s="308" t="s">
        <v>436</v>
      </c>
      <c r="H173" s="381">
        <v>0</v>
      </c>
      <c r="I173" s="311">
        <v>46216</v>
      </c>
      <c r="J173" s="311">
        <v>46221</v>
      </c>
      <c r="K173" s="310" t="s">
        <v>40</v>
      </c>
      <c r="L173" s="310" t="s">
        <v>422</v>
      </c>
      <c r="M173" s="312">
        <v>0</v>
      </c>
      <c r="N173" s="314">
        <v>46216</v>
      </c>
      <c r="O173" s="314">
        <v>46221</v>
      </c>
      <c r="P173" s="315" t="s">
        <v>40</v>
      </c>
      <c r="Q173" s="315" t="s">
        <v>422</v>
      </c>
      <c r="R173" s="316">
        <v>0</v>
      </c>
      <c r="S173" s="318">
        <v>46228</v>
      </c>
      <c r="T173" s="318">
        <v>46234</v>
      </c>
      <c r="U173" s="319" t="s">
        <v>40</v>
      </c>
      <c r="V173" s="319" t="s">
        <v>422</v>
      </c>
      <c r="W173" s="320">
        <v>0</v>
      </c>
      <c r="X173" s="322">
        <v>46235</v>
      </c>
      <c r="Y173" s="322">
        <v>46237</v>
      </c>
      <c r="Z173" s="323" t="s">
        <v>40</v>
      </c>
      <c r="AA173" s="323" t="s">
        <v>422</v>
      </c>
      <c r="AB173" s="324">
        <v>0</v>
      </c>
      <c r="AC173" s="326">
        <v>46245</v>
      </c>
      <c r="AD173" s="326">
        <v>46250</v>
      </c>
      <c r="AE173" s="327" t="s">
        <v>40</v>
      </c>
      <c r="AF173" s="327" t="s">
        <v>422</v>
      </c>
      <c r="AG173" s="328">
        <v>0</v>
      </c>
      <c r="AH173" s="330">
        <v>46251</v>
      </c>
      <c r="AI173" s="330">
        <v>46254</v>
      </c>
      <c r="AJ173" s="331" t="s">
        <v>165</v>
      </c>
      <c r="AK173" s="331" t="s">
        <v>422</v>
      </c>
      <c r="AL173" s="332">
        <v>0</v>
      </c>
      <c r="AM173" s="310" t="s">
        <v>422</v>
      </c>
      <c r="AN173" s="310" t="s">
        <v>422</v>
      </c>
      <c r="AO173" s="310" t="s">
        <v>40</v>
      </c>
      <c r="AP173" s="472">
        <v>0</v>
      </c>
      <c r="AQ173" s="301"/>
    </row>
    <row r="174" spans="1:43">
      <c r="A174" s="306" t="s">
        <v>437</v>
      </c>
      <c r="B174" s="305" t="s">
        <v>626</v>
      </c>
      <c r="C174" s="305">
        <v>1</v>
      </c>
      <c r="D174" s="380">
        <v>46190</v>
      </c>
      <c r="E174" s="380">
        <v>46195</v>
      </c>
      <c r="F174" s="308" t="s">
        <v>40</v>
      </c>
      <c r="G174" s="308" t="s">
        <v>436</v>
      </c>
      <c r="H174" s="381">
        <v>0</v>
      </c>
      <c r="I174" s="311">
        <v>46216</v>
      </c>
      <c r="J174" s="311">
        <v>46221</v>
      </c>
      <c r="K174" s="310" t="s">
        <v>40</v>
      </c>
      <c r="L174" s="310" t="s">
        <v>422</v>
      </c>
      <c r="M174" s="312">
        <v>0</v>
      </c>
      <c r="N174" s="314">
        <v>46216</v>
      </c>
      <c r="O174" s="314">
        <v>46221</v>
      </c>
      <c r="P174" s="315" t="s">
        <v>40</v>
      </c>
      <c r="Q174" s="315" t="s">
        <v>422</v>
      </c>
      <c r="R174" s="316">
        <v>0</v>
      </c>
      <c r="S174" s="318">
        <v>46228</v>
      </c>
      <c r="T174" s="318">
        <v>46234</v>
      </c>
      <c r="U174" s="319" t="s">
        <v>40</v>
      </c>
      <c r="V174" s="319" t="s">
        <v>422</v>
      </c>
      <c r="W174" s="320">
        <v>0</v>
      </c>
      <c r="X174" s="322">
        <v>46235</v>
      </c>
      <c r="Y174" s="322">
        <v>46237</v>
      </c>
      <c r="Z174" s="323" t="s">
        <v>40</v>
      </c>
      <c r="AA174" s="323" t="s">
        <v>422</v>
      </c>
      <c r="AB174" s="324">
        <v>0</v>
      </c>
      <c r="AC174" s="326">
        <v>46245</v>
      </c>
      <c r="AD174" s="326">
        <v>46250</v>
      </c>
      <c r="AE174" s="327" t="s">
        <v>40</v>
      </c>
      <c r="AF174" s="327" t="s">
        <v>422</v>
      </c>
      <c r="AG174" s="328">
        <v>0</v>
      </c>
      <c r="AH174" s="330">
        <v>46251</v>
      </c>
      <c r="AI174" s="330">
        <v>46254</v>
      </c>
      <c r="AJ174" s="331" t="s">
        <v>165</v>
      </c>
      <c r="AK174" s="331" t="s">
        <v>422</v>
      </c>
      <c r="AL174" s="332">
        <v>0</v>
      </c>
      <c r="AM174" s="310" t="s">
        <v>422</v>
      </c>
      <c r="AN174" s="310" t="s">
        <v>422</v>
      </c>
      <c r="AO174" s="310" t="s">
        <v>40</v>
      </c>
      <c r="AP174" s="472">
        <v>0</v>
      </c>
      <c r="AQ174" s="301"/>
    </row>
    <row r="175" spans="1:43">
      <c r="A175" s="306" t="s">
        <v>437</v>
      </c>
      <c r="B175" s="305" t="s">
        <v>627</v>
      </c>
      <c r="C175" s="305">
        <v>1</v>
      </c>
      <c r="D175" s="380">
        <v>46190</v>
      </c>
      <c r="E175" s="380">
        <v>46195</v>
      </c>
      <c r="F175" s="308" t="s">
        <v>40</v>
      </c>
      <c r="G175" s="308" t="s">
        <v>436</v>
      </c>
      <c r="H175" s="381">
        <v>0</v>
      </c>
      <c r="I175" s="311">
        <v>46216</v>
      </c>
      <c r="J175" s="311">
        <v>46221</v>
      </c>
      <c r="K175" s="310" t="s">
        <v>40</v>
      </c>
      <c r="L175" s="310" t="s">
        <v>422</v>
      </c>
      <c r="M175" s="312">
        <v>0</v>
      </c>
      <c r="N175" s="314">
        <v>46216</v>
      </c>
      <c r="O175" s="314">
        <v>46221</v>
      </c>
      <c r="P175" s="315" t="s">
        <v>40</v>
      </c>
      <c r="Q175" s="315" t="s">
        <v>422</v>
      </c>
      <c r="R175" s="316">
        <v>0</v>
      </c>
      <c r="S175" s="318">
        <v>46228</v>
      </c>
      <c r="T175" s="318">
        <v>46234</v>
      </c>
      <c r="U175" s="319" t="s">
        <v>40</v>
      </c>
      <c r="V175" s="319" t="s">
        <v>422</v>
      </c>
      <c r="W175" s="320">
        <v>0</v>
      </c>
      <c r="X175" s="322">
        <v>46235</v>
      </c>
      <c r="Y175" s="322">
        <v>46237</v>
      </c>
      <c r="Z175" s="323" t="s">
        <v>40</v>
      </c>
      <c r="AA175" s="323" t="s">
        <v>422</v>
      </c>
      <c r="AB175" s="324">
        <v>0</v>
      </c>
      <c r="AC175" s="326">
        <v>46245</v>
      </c>
      <c r="AD175" s="326">
        <v>46250</v>
      </c>
      <c r="AE175" s="327" t="s">
        <v>40</v>
      </c>
      <c r="AF175" s="327" t="s">
        <v>422</v>
      </c>
      <c r="AG175" s="328">
        <v>0</v>
      </c>
      <c r="AH175" s="330">
        <v>46251</v>
      </c>
      <c r="AI175" s="330">
        <v>46254</v>
      </c>
      <c r="AJ175" s="331" t="s">
        <v>165</v>
      </c>
      <c r="AK175" s="331" t="s">
        <v>422</v>
      </c>
      <c r="AL175" s="332">
        <v>0</v>
      </c>
      <c r="AM175" s="310" t="s">
        <v>422</v>
      </c>
      <c r="AN175" s="310" t="s">
        <v>422</v>
      </c>
      <c r="AO175" s="310" t="s">
        <v>40</v>
      </c>
      <c r="AP175" s="472">
        <v>0</v>
      </c>
      <c r="AQ175" s="301"/>
    </row>
    <row r="176" spans="1:43">
      <c r="A176" s="306" t="s">
        <v>437</v>
      </c>
      <c r="B176" s="305" t="s">
        <v>628</v>
      </c>
      <c r="C176" s="305">
        <v>1</v>
      </c>
      <c r="D176" s="380">
        <v>46190</v>
      </c>
      <c r="E176" s="380">
        <v>46195</v>
      </c>
      <c r="F176" s="308" t="s">
        <v>40</v>
      </c>
      <c r="G176" s="308" t="s">
        <v>436</v>
      </c>
      <c r="H176" s="381">
        <v>0</v>
      </c>
      <c r="I176" s="311">
        <v>46216</v>
      </c>
      <c r="J176" s="311">
        <v>46221</v>
      </c>
      <c r="K176" s="310" t="s">
        <v>40</v>
      </c>
      <c r="L176" s="310" t="s">
        <v>422</v>
      </c>
      <c r="M176" s="312">
        <v>0</v>
      </c>
      <c r="N176" s="314">
        <v>46216</v>
      </c>
      <c r="O176" s="314">
        <v>46221</v>
      </c>
      <c r="P176" s="315" t="s">
        <v>40</v>
      </c>
      <c r="Q176" s="315" t="s">
        <v>422</v>
      </c>
      <c r="R176" s="316">
        <v>0</v>
      </c>
      <c r="S176" s="318">
        <v>46228</v>
      </c>
      <c r="T176" s="318">
        <v>46234</v>
      </c>
      <c r="U176" s="319" t="s">
        <v>40</v>
      </c>
      <c r="V176" s="319" t="s">
        <v>422</v>
      </c>
      <c r="W176" s="320">
        <v>0</v>
      </c>
      <c r="X176" s="322">
        <v>46235</v>
      </c>
      <c r="Y176" s="322">
        <v>46237</v>
      </c>
      <c r="Z176" s="323" t="s">
        <v>40</v>
      </c>
      <c r="AA176" s="323" t="s">
        <v>422</v>
      </c>
      <c r="AB176" s="324">
        <v>0</v>
      </c>
      <c r="AC176" s="326">
        <v>46245</v>
      </c>
      <c r="AD176" s="326">
        <v>46250</v>
      </c>
      <c r="AE176" s="327" t="s">
        <v>40</v>
      </c>
      <c r="AF176" s="327" t="s">
        <v>422</v>
      </c>
      <c r="AG176" s="328">
        <v>0</v>
      </c>
      <c r="AH176" s="330">
        <v>46251</v>
      </c>
      <c r="AI176" s="330">
        <v>46254</v>
      </c>
      <c r="AJ176" s="331" t="s">
        <v>165</v>
      </c>
      <c r="AK176" s="331" t="s">
        <v>422</v>
      </c>
      <c r="AL176" s="332">
        <v>0</v>
      </c>
      <c r="AM176" s="310" t="s">
        <v>422</v>
      </c>
      <c r="AN176" s="310" t="s">
        <v>422</v>
      </c>
      <c r="AO176" s="310" t="s">
        <v>40</v>
      </c>
      <c r="AP176" s="472">
        <v>0</v>
      </c>
      <c r="AQ176" s="301"/>
    </row>
    <row r="177" spans="1:43">
      <c r="A177" s="306" t="s">
        <v>437</v>
      </c>
      <c r="B177" s="305" t="s">
        <v>629</v>
      </c>
      <c r="C177" s="305">
        <v>1</v>
      </c>
      <c r="D177" s="380">
        <v>46190</v>
      </c>
      <c r="E177" s="380">
        <v>46195</v>
      </c>
      <c r="F177" s="308" t="s">
        <v>40</v>
      </c>
      <c r="G177" s="308" t="s">
        <v>436</v>
      </c>
      <c r="H177" s="381">
        <v>0</v>
      </c>
      <c r="I177" s="311">
        <v>46216</v>
      </c>
      <c r="J177" s="311">
        <v>46221</v>
      </c>
      <c r="K177" s="310" t="s">
        <v>40</v>
      </c>
      <c r="L177" s="310" t="s">
        <v>422</v>
      </c>
      <c r="M177" s="312">
        <v>0</v>
      </c>
      <c r="N177" s="314">
        <v>46216</v>
      </c>
      <c r="O177" s="314">
        <v>46221</v>
      </c>
      <c r="P177" s="315" t="s">
        <v>40</v>
      </c>
      <c r="Q177" s="315" t="s">
        <v>422</v>
      </c>
      <c r="R177" s="316">
        <v>0</v>
      </c>
      <c r="S177" s="318">
        <v>46228</v>
      </c>
      <c r="T177" s="318">
        <v>46234</v>
      </c>
      <c r="U177" s="319" t="s">
        <v>40</v>
      </c>
      <c r="V177" s="319" t="s">
        <v>422</v>
      </c>
      <c r="W177" s="320">
        <v>0</v>
      </c>
      <c r="X177" s="322">
        <v>46235</v>
      </c>
      <c r="Y177" s="322">
        <v>46237</v>
      </c>
      <c r="Z177" s="323" t="s">
        <v>40</v>
      </c>
      <c r="AA177" s="323" t="s">
        <v>422</v>
      </c>
      <c r="AB177" s="324">
        <v>0</v>
      </c>
      <c r="AC177" s="326">
        <v>46245</v>
      </c>
      <c r="AD177" s="326">
        <v>46250</v>
      </c>
      <c r="AE177" s="327" t="s">
        <v>40</v>
      </c>
      <c r="AF177" s="327" t="s">
        <v>422</v>
      </c>
      <c r="AG177" s="328">
        <v>0</v>
      </c>
      <c r="AH177" s="330">
        <v>46251</v>
      </c>
      <c r="AI177" s="330">
        <v>46254</v>
      </c>
      <c r="AJ177" s="331" t="s">
        <v>165</v>
      </c>
      <c r="AK177" s="331" t="s">
        <v>422</v>
      </c>
      <c r="AL177" s="332">
        <v>0</v>
      </c>
      <c r="AM177" s="310" t="s">
        <v>422</v>
      </c>
      <c r="AN177" s="310" t="s">
        <v>422</v>
      </c>
      <c r="AO177" s="310" t="s">
        <v>40</v>
      </c>
      <c r="AP177" s="472">
        <v>0</v>
      </c>
      <c r="AQ177" s="301"/>
    </row>
    <row r="178" spans="1:43">
      <c r="A178" s="306" t="s">
        <v>437</v>
      </c>
      <c r="B178" s="305" t="s">
        <v>630</v>
      </c>
      <c r="C178" s="305">
        <v>1</v>
      </c>
      <c r="D178" s="380">
        <v>46190</v>
      </c>
      <c r="E178" s="380">
        <v>46195</v>
      </c>
      <c r="F178" s="308" t="s">
        <v>40</v>
      </c>
      <c r="G178" s="308" t="s">
        <v>436</v>
      </c>
      <c r="H178" s="381">
        <v>0</v>
      </c>
      <c r="I178" s="311">
        <v>46216</v>
      </c>
      <c r="J178" s="311">
        <v>46221</v>
      </c>
      <c r="K178" s="310" t="s">
        <v>40</v>
      </c>
      <c r="L178" s="310" t="s">
        <v>422</v>
      </c>
      <c r="M178" s="312">
        <v>0</v>
      </c>
      <c r="N178" s="314">
        <v>46216</v>
      </c>
      <c r="O178" s="314">
        <v>46221</v>
      </c>
      <c r="P178" s="315" t="s">
        <v>40</v>
      </c>
      <c r="Q178" s="315" t="s">
        <v>422</v>
      </c>
      <c r="R178" s="316">
        <v>0</v>
      </c>
      <c r="S178" s="318">
        <v>46228</v>
      </c>
      <c r="T178" s="318">
        <v>46234</v>
      </c>
      <c r="U178" s="319" t="s">
        <v>40</v>
      </c>
      <c r="V178" s="319" t="s">
        <v>422</v>
      </c>
      <c r="W178" s="320">
        <v>0</v>
      </c>
      <c r="X178" s="322">
        <v>46235</v>
      </c>
      <c r="Y178" s="322">
        <v>46237</v>
      </c>
      <c r="Z178" s="323" t="s">
        <v>40</v>
      </c>
      <c r="AA178" s="323" t="s">
        <v>422</v>
      </c>
      <c r="AB178" s="324">
        <v>0</v>
      </c>
      <c r="AC178" s="326">
        <v>46245</v>
      </c>
      <c r="AD178" s="326">
        <v>46250</v>
      </c>
      <c r="AE178" s="327" t="s">
        <v>40</v>
      </c>
      <c r="AF178" s="327" t="s">
        <v>422</v>
      </c>
      <c r="AG178" s="328">
        <v>0</v>
      </c>
      <c r="AH178" s="330">
        <v>46251</v>
      </c>
      <c r="AI178" s="330">
        <v>46254</v>
      </c>
      <c r="AJ178" s="331" t="s">
        <v>165</v>
      </c>
      <c r="AK178" s="331" t="s">
        <v>422</v>
      </c>
      <c r="AL178" s="332">
        <v>0</v>
      </c>
      <c r="AM178" s="310" t="s">
        <v>422</v>
      </c>
      <c r="AN178" s="310" t="s">
        <v>422</v>
      </c>
      <c r="AO178" s="310" t="s">
        <v>40</v>
      </c>
      <c r="AP178" s="472">
        <v>0</v>
      </c>
      <c r="AQ178" s="301"/>
    </row>
    <row r="179" spans="1:43">
      <c r="A179" s="306" t="s">
        <v>437</v>
      </c>
      <c r="B179" s="305" t="s">
        <v>631</v>
      </c>
      <c r="C179" s="305">
        <v>1</v>
      </c>
      <c r="D179" s="380">
        <v>46190</v>
      </c>
      <c r="E179" s="380">
        <v>46195</v>
      </c>
      <c r="F179" s="308" t="s">
        <v>40</v>
      </c>
      <c r="G179" s="308" t="s">
        <v>436</v>
      </c>
      <c r="H179" s="381">
        <v>0</v>
      </c>
      <c r="I179" s="311">
        <v>46216</v>
      </c>
      <c r="J179" s="311">
        <v>46221</v>
      </c>
      <c r="K179" s="310" t="s">
        <v>40</v>
      </c>
      <c r="L179" s="310" t="s">
        <v>422</v>
      </c>
      <c r="M179" s="312">
        <v>0</v>
      </c>
      <c r="N179" s="314">
        <v>46216</v>
      </c>
      <c r="O179" s="314">
        <v>46221</v>
      </c>
      <c r="P179" s="315" t="s">
        <v>40</v>
      </c>
      <c r="Q179" s="315" t="s">
        <v>422</v>
      </c>
      <c r="R179" s="316">
        <v>0</v>
      </c>
      <c r="S179" s="318">
        <v>46228</v>
      </c>
      <c r="T179" s="318">
        <v>46234</v>
      </c>
      <c r="U179" s="319" t="s">
        <v>40</v>
      </c>
      <c r="V179" s="319" t="s">
        <v>422</v>
      </c>
      <c r="W179" s="320">
        <v>0</v>
      </c>
      <c r="X179" s="322">
        <v>46235</v>
      </c>
      <c r="Y179" s="322">
        <v>46237</v>
      </c>
      <c r="Z179" s="323" t="s">
        <v>40</v>
      </c>
      <c r="AA179" s="323" t="s">
        <v>422</v>
      </c>
      <c r="AB179" s="324">
        <v>0</v>
      </c>
      <c r="AC179" s="326">
        <v>46245</v>
      </c>
      <c r="AD179" s="326">
        <v>46250</v>
      </c>
      <c r="AE179" s="327" t="s">
        <v>40</v>
      </c>
      <c r="AF179" s="327" t="s">
        <v>422</v>
      </c>
      <c r="AG179" s="328">
        <v>0</v>
      </c>
      <c r="AH179" s="330">
        <v>46251</v>
      </c>
      <c r="AI179" s="330">
        <v>46254</v>
      </c>
      <c r="AJ179" s="331" t="s">
        <v>165</v>
      </c>
      <c r="AK179" s="331" t="s">
        <v>422</v>
      </c>
      <c r="AL179" s="332">
        <v>0</v>
      </c>
      <c r="AM179" s="310" t="s">
        <v>422</v>
      </c>
      <c r="AN179" s="310" t="s">
        <v>422</v>
      </c>
      <c r="AO179" s="310" t="s">
        <v>40</v>
      </c>
      <c r="AP179" s="472">
        <v>0</v>
      </c>
      <c r="AQ179" s="301"/>
    </row>
    <row r="180" spans="1:43">
      <c r="A180" s="306" t="s">
        <v>437</v>
      </c>
      <c r="B180" s="305" t="s">
        <v>632</v>
      </c>
      <c r="C180" s="305">
        <v>1</v>
      </c>
      <c r="D180" s="380">
        <v>46190</v>
      </c>
      <c r="E180" s="380">
        <v>46195</v>
      </c>
      <c r="F180" s="308" t="s">
        <v>40</v>
      </c>
      <c r="G180" s="308" t="s">
        <v>436</v>
      </c>
      <c r="H180" s="381">
        <v>0</v>
      </c>
      <c r="I180" s="311">
        <v>46216</v>
      </c>
      <c r="J180" s="311">
        <v>46221</v>
      </c>
      <c r="K180" s="310" t="s">
        <v>40</v>
      </c>
      <c r="L180" s="310" t="s">
        <v>422</v>
      </c>
      <c r="M180" s="312">
        <v>0</v>
      </c>
      <c r="N180" s="314">
        <v>46216</v>
      </c>
      <c r="O180" s="314">
        <v>46221</v>
      </c>
      <c r="P180" s="315" t="s">
        <v>40</v>
      </c>
      <c r="Q180" s="315" t="s">
        <v>422</v>
      </c>
      <c r="R180" s="316">
        <v>0</v>
      </c>
      <c r="S180" s="318">
        <v>46228</v>
      </c>
      <c r="T180" s="318">
        <v>46234</v>
      </c>
      <c r="U180" s="319" t="s">
        <v>40</v>
      </c>
      <c r="V180" s="319" t="s">
        <v>422</v>
      </c>
      <c r="W180" s="320">
        <v>0</v>
      </c>
      <c r="X180" s="322">
        <v>46235</v>
      </c>
      <c r="Y180" s="322">
        <v>46237</v>
      </c>
      <c r="Z180" s="323" t="s">
        <v>40</v>
      </c>
      <c r="AA180" s="323" t="s">
        <v>422</v>
      </c>
      <c r="AB180" s="324">
        <v>0</v>
      </c>
      <c r="AC180" s="326">
        <v>46245</v>
      </c>
      <c r="AD180" s="326">
        <v>46250</v>
      </c>
      <c r="AE180" s="327" t="s">
        <v>40</v>
      </c>
      <c r="AF180" s="327" t="s">
        <v>422</v>
      </c>
      <c r="AG180" s="328">
        <v>0</v>
      </c>
      <c r="AH180" s="330">
        <v>46251</v>
      </c>
      <c r="AI180" s="330">
        <v>46254</v>
      </c>
      <c r="AJ180" s="331" t="s">
        <v>165</v>
      </c>
      <c r="AK180" s="331" t="s">
        <v>422</v>
      </c>
      <c r="AL180" s="332">
        <v>0</v>
      </c>
      <c r="AM180" s="310" t="s">
        <v>422</v>
      </c>
      <c r="AN180" s="310" t="s">
        <v>422</v>
      </c>
      <c r="AO180" s="310" t="s">
        <v>40</v>
      </c>
      <c r="AP180" s="472">
        <v>0</v>
      </c>
      <c r="AQ180" s="301"/>
    </row>
    <row r="181" spans="1:43">
      <c r="A181" s="306" t="s">
        <v>437</v>
      </c>
      <c r="B181" s="305" t="s">
        <v>633</v>
      </c>
      <c r="C181" s="305">
        <v>1</v>
      </c>
      <c r="D181" s="380">
        <v>46190</v>
      </c>
      <c r="E181" s="380">
        <v>46195</v>
      </c>
      <c r="F181" s="308" t="s">
        <v>40</v>
      </c>
      <c r="G181" s="308" t="s">
        <v>436</v>
      </c>
      <c r="H181" s="381">
        <v>0</v>
      </c>
      <c r="I181" s="311">
        <v>46216</v>
      </c>
      <c r="J181" s="311">
        <v>46221</v>
      </c>
      <c r="K181" s="310" t="s">
        <v>40</v>
      </c>
      <c r="L181" s="310" t="s">
        <v>422</v>
      </c>
      <c r="M181" s="312">
        <v>0</v>
      </c>
      <c r="N181" s="314">
        <v>46216</v>
      </c>
      <c r="O181" s="314">
        <v>46221</v>
      </c>
      <c r="P181" s="315" t="s">
        <v>40</v>
      </c>
      <c r="Q181" s="315" t="s">
        <v>422</v>
      </c>
      <c r="R181" s="316">
        <v>0</v>
      </c>
      <c r="S181" s="318">
        <v>46228</v>
      </c>
      <c r="T181" s="318">
        <v>46234</v>
      </c>
      <c r="U181" s="319" t="s">
        <v>40</v>
      </c>
      <c r="V181" s="319" t="s">
        <v>422</v>
      </c>
      <c r="W181" s="320">
        <v>0</v>
      </c>
      <c r="X181" s="322">
        <v>46235</v>
      </c>
      <c r="Y181" s="322">
        <v>46237</v>
      </c>
      <c r="Z181" s="323" t="s">
        <v>40</v>
      </c>
      <c r="AA181" s="323" t="s">
        <v>422</v>
      </c>
      <c r="AB181" s="324">
        <v>0</v>
      </c>
      <c r="AC181" s="326">
        <v>46245</v>
      </c>
      <c r="AD181" s="326">
        <v>46250</v>
      </c>
      <c r="AE181" s="327" t="s">
        <v>40</v>
      </c>
      <c r="AF181" s="327" t="s">
        <v>422</v>
      </c>
      <c r="AG181" s="328">
        <v>0</v>
      </c>
      <c r="AH181" s="330">
        <v>46251</v>
      </c>
      <c r="AI181" s="330">
        <v>46254</v>
      </c>
      <c r="AJ181" s="331" t="s">
        <v>165</v>
      </c>
      <c r="AK181" s="331" t="s">
        <v>422</v>
      </c>
      <c r="AL181" s="332">
        <v>0</v>
      </c>
      <c r="AM181" s="310" t="s">
        <v>422</v>
      </c>
      <c r="AN181" s="310" t="s">
        <v>422</v>
      </c>
      <c r="AO181" s="310" t="s">
        <v>40</v>
      </c>
      <c r="AP181" s="472">
        <v>0</v>
      </c>
      <c r="AQ181" s="301"/>
    </row>
    <row r="182" spans="1:43">
      <c r="A182" s="306" t="s">
        <v>437</v>
      </c>
      <c r="B182" s="305" t="s">
        <v>634</v>
      </c>
      <c r="C182" s="305">
        <v>1</v>
      </c>
      <c r="D182" s="380">
        <v>46190</v>
      </c>
      <c r="E182" s="380">
        <v>46195</v>
      </c>
      <c r="F182" s="308" t="s">
        <v>40</v>
      </c>
      <c r="G182" s="308" t="s">
        <v>436</v>
      </c>
      <c r="H182" s="381">
        <v>0</v>
      </c>
      <c r="I182" s="311">
        <v>46216</v>
      </c>
      <c r="J182" s="311">
        <v>46221</v>
      </c>
      <c r="K182" s="310" t="s">
        <v>40</v>
      </c>
      <c r="L182" s="310" t="s">
        <v>422</v>
      </c>
      <c r="M182" s="312">
        <v>0</v>
      </c>
      <c r="N182" s="314">
        <v>46216</v>
      </c>
      <c r="O182" s="314">
        <v>46221</v>
      </c>
      <c r="P182" s="315" t="s">
        <v>40</v>
      </c>
      <c r="Q182" s="315" t="s">
        <v>422</v>
      </c>
      <c r="R182" s="316">
        <v>0</v>
      </c>
      <c r="S182" s="318">
        <v>46228</v>
      </c>
      <c r="T182" s="318">
        <v>46234</v>
      </c>
      <c r="U182" s="319" t="s">
        <v>40</v>
      </c>
      <c r="V182" s="319" t="s">
        <v>422</v>
      </c>
      <c r="W182" s="320">
        <v>0</v>
      </c>
      <c r="X182" s="322">
        <v>46235</v>
      </c>
      <c r="Y182" s="322">
        <v>46237</v>
      </c>
      <c r="Z182" s="323" t="s">
        <v>40</v>
      </c>
      <c r="AA182" s="323" t="s">
        <v>422</v>
      </c>
      <c r="AB182" s="324">
        <v>0</v>
      </c>
      <c r="AC182" s="326">
        <v>46245</v>
      </c>
      <c r="AD182" s="326">
        <v>46250</v>
      </c>
      <c r="AE182" s="327" t="s">
        <v>40</v>
      </c>
      <c r="AF182" s="327" t="s">
        <v>422</v>
      </c>
      <c r="AG182" s="328">
        <v>0</v>
      </c>
      <c r="AH182" s="330">
        <v>46251</v>
      </c>
      <c r="AI182" s="330">
        <v>46254</v>
      </c>
      <c r="AJ182" s="331" t="s">
        <v>165</v>
      </c>
      <c r="AK182" s="331" t="s">
        <v>422</v>
      </c>
      <c r="AL182" s="332">
        <v>0</v>
      </c>
      <c r="AM182" s="310" t="s">
        <v>422</v>
      </c>
      <c r="AN182" s="310" t="s">
        <v>422</v>
      </c>
      <c r="AO182" s="310" t="s">
        <v>40</v>
      </c>
      <c r="AP182" s="472">
        <v>0</v>
      </c>
      <c r="AQ182" s="301"/>
    </row>
    <row r="183" spans="1:43">
      <c r="A183" s="306" t="s">
        <v>437</v>
      </c>
      <c r="B183" s="305" t="s">
        <v>635</v>
      </c>
      <c r="C183" s="305">
        <v>1</v>
      </c>
      <c r="D183" s="380">
        <v>46190</v>
      </c>
      <c r="E183" s="380">
        <v>46195</v>
      </c>
      <c r="F183" s="308" t="s">
        <v>40</v>
      </c>
      <c r="G183" s="308" t="s">
        <v>436</v>
      </c>
      <c r="H183" s="381">
        <v>0</v>
      </c>
      <c r="I183" s="311">
        <v>46216</v>
      </c>
      <c r="J183" s="311">
        <v>46221</v>
      </c>
      <c r="K183" s="310" t="s">
        <v>40</v>
      </c>
      <c r="L183" s="310" t="s">
        <v>422</v>
      </c>
      <c r="M183" s="312">
        <v>0</v>
      </c>
      <c r="N183" s="314">
        <v>46216</v>
      </c>
      <c r="O183" s="314">
        <v>46221</v>
      </c>
      <c r="P183" s="315" t="s">
        <v>40</v>
      </c>
      <c r="Q183" s="315" t="s">
        <v>422</v>
      </c>
      <c r="R183" s="316">
        <v>0</v>
      </c>
      <c r="S183" s="318">
        <v>46228</v>
      </c>
      <c r="T183" s="318">
        <v>46234</v>
      </c>
      <c r="U183" s="319" t="s">
        <v>40</v>
      </c>
      <c r="V183" s="319" t="s">
        <v>422</v>
      </c>
      <c r="W183" s="320">
        <v>0</v>
      </c>
      <c r="X183" s="322">
        <v>46235</v>
      </c>
      <c r="Y183" s="322">
        <v>46237</v>
      </c>
      <c r="Z183" s="323" t="s">
        <v>40</v>
      </c>
      <c r="AA183" s="323" t="s">
        <v>422</v>
      </c>
      <c r="AB183" s="324">
        <v>0</v>
      </c>
      <c r="AC183" s="326">
        <v>46245</v>
      </c>
      <c r="AD183" s="326">
        <v>46250</v>
      </c>
      <c r="AE183" s="327" t="s">
        <v>40</v>
      </c>
      <c r="AF183" s="327" t="s">
        <v>422</v>
      </c>
      <c r="AG183" s="328">
        <v>0</v>
      </c>
      <c r="AH183" s="330">
        <v>46251</v>
      </c>
      <c r="AI183" s="330">
        <v>46254</v>
      </c>
      <c r="AJ183" s="331" t="s">
        <v>165</v>
      </c>
      <c r="AK183" s="331" t="s">
        <v>422</v>
      </c>
      <c r="AL183" s="332">
        <v>0</v>
      </c>
      <c r="AM183" s="310" t="s">
        <v>422</v>
      </c>
      <c r="AN183" s="310" t="s">
        <v>422</v>
      </c>
      <c r="AO183" s="310" t="s">
        <v>40</v>
      </c>
      <c r="AP183" s="472">
        <v>0</v>
      </c>
      <c r="AQ183" s="301"/>
    </row>
    <row r="184" spans="1:43">
      <c r="A184" s="306" t="s">
        <v>437</v>
      </c>
      <c r="B184" s="305" t="s">
        <v>636</v>
      </c>
      <c r="C184" s="305">
        <v>1</v>
      </c>
      <c r="D184" s="380">
        <v>46190</v>
      </c>
      <c r="E184" s="380">
        <v>46195</v>
      </c>
      <c r="F184" s="308" t="s">
        <v>40</v>
      </c>
      <c r="G184" s="308" t="s">
        <v>436</v>
      </c>
      <c r="H184" s="381">
        <v>0</v>
      </c>
      <c r="I184" s="311">
        <v>46216</v>
      </c>
      <c r="J184" s="311">
        <v>46221</v>
      </c>
      <c r="K184" s="310" t="s">
        <v>40</v>
      </c>
      <c r="L184" s="310" t="s">
        <v>422</v>
      </c>
      <c r="M184" s="312">
        <v>0</v>
      </c>
      <c r="N184" s="314">
        <v>46216</v>
      </c>
      <c r="O184" s="314">
        <v>46221</v>
      </c>
      <c r="P184" s="315" t="s">
        <v>40</v>
      </c>
      <c r="Q184" s="315" t="s">
        <v>422</v>
      </c>
      <c r="R184" s="316">
        <v>0</v>
      </c>
      <c r="S184" s="318">
        <v>46228</v>
      </c>
      <c r="T184" s="318">
        <v>46234</v>
      </c>
      <c r="U184" s="319" t="s">
        <v>40</v>
      </c>
      <c r="V184" s="319" t="s">
        <v>422</v>
      </c>
      <c r="W184" s="320">
        <v>0</v>
      </c>
      <c r="X184" s="322">
        <v>46235</v>
      </c>
      <c r="Y184" s="322">
        <v>46237</v>
      </c>
      <c r="Z184" s="323" t="s">
        <v>40</v>
      </c>
      <c r="AA184" s="323" t="s">
        <v>422</v>
      </c>
      <c r="AB184" s="324">
        <v>0</v>
      </c>
      <c r="AC184" s="326">
        <v>46245</v>
      </c>
      <c r="AD184" s="326">
        <v>46250</v>
      </c>
      <c r="AE184" s="327" t="s">
        <v>40</v>
      </c>
      <c r="AF184" s="327" t="s">
        <v>422</v>
      </c>
      <c r="AG184" s="328">
        <v>0</v>
      </c>
      <c r="AH184" s="330">
        <v>46251</v>
      </c>
      <c r="AI184" s="330">
        <v>46254</v>
      </c>
      <c r="AJ184" s="331" t="s">
        <v>165</v>
      </c>
      <c r="AK184" s="331" t="s">
        <v>422</v>
      </c>
      <c r="AL184" s="332">
        <v>0</v>
      </c>
      <c r="AM184" s="310" t="s">
        <v>422</v>
      </c>
      <c r="AN184" s="310" t="s">
        <v>422</v>
      </c>
      <c r="AO184" s="310" t="s">
        <v>40</v>
      </c>
      <c r="AP184" s="472">
        <v>0</v>
      </c>
      <c r="AQ184" s="301"/>
    </row>
    <row r="185" spans="1:43">
      <c r="A185" s="306" t="s">
        <v>437</v>
      </c>
      <c r="B185" s="305" t="s">
        <v>637</v>
      </c>
      <c r="C185" s="305">
        <v>1</v>
      </c>
      <c r="D185" s="380">
        <v>46190</v>
      </c>
      <c r="E185" s="380">
        <v>46195</v>
      </c>
      <c r="F185" s="308" t="s">
        <v>40</v>
      </c>
      <c r="G185" s="308" t="s">
        <v>436</v>
      </c>
      <c r="H185" s="381">
        <v>0</v>
      </c>
      <c r="I185" s="311">
        <v>46216</v>
      </c>
      <c r="J185" s="311">
        <v>46221</v>
      </c>
      <c r="K185" s="310" t="s">
        <v>40</v>
      </c>
      <c r="L185" s="310" t="s">
        <v>422</v>
      </c>
      <c r="M185" s="312">
        <v>0</v>
      </c>
      <c r="N185" s="314">
        <v>46216</v>
      </c>
      <c r="O185" s="314">
        <v>46221</v>
      </c>
      <c r="P185" s="315" t="s">
        <v>40</v>
      </c>
      <c r="Q185" s="315" t="s">
        <v>422</v>
      </c>
      <c r="R185" s="316">
        <v>0</v>
      </c>
      <c r="S185" s="318">
        <v>46228</v>
      </c>
      <c r="T185" s="318">
        <v>46234</v>
      </c>
      <c r="U185" s="319" t="s">
        <v>40</v>
      </c>
      <c r="V185" s="319" t="s">
        <v>422</v>
      </c>
      <c r="W185" s="320">
        <v>0</v>
      </c>
      <c r="X185" s="322">
        <v>46235</v>
      </c>
      <c r="Y185" s="322">
        <v>46237</v>
      </c>
      <c r="Z185" s="323" t="s">
        <v>40</v>
      </c>
      <c r="AA185" s="323" t="s">
        <v>422</v>
      </c>
      <c r="AB185" s="324">
        <v>0</v>
      </c>
      <c r="AC185" s="326">
        <v>46245</v>
      </c>
      <c r="AD185" s="326">
        <v>46250</v>
      </c>
      <c r="AE185" s="327" t="s">
        <v>40</v>
      </c>
      <c r="AF185" s="327" t="s">
        <v>422</v>
      </c>
      <c r="AG185" s="328">
        <v>0</v>
      </c>
      <c r="AH185" s="330">
        <v>46251</v>
      </c>
      <c r="AI185" s="330">
        <v>46254</v>
      </c>
      <c r="AJ185" s="331" t="s">
        <v>165</v>
      </c>
      <c r="AK185" s="331" t="s">
        <v>422</v>
      </c>
      <c r="AL185" s="332">
        <v>0</v>
      </c>
      <c r="AM185" s="310" t="s">
        <v>422</v>
      </c>
      <c r="AN185" s="310" t="s">
        <v>422</v>
      </c>
      <c r="AO185" s="310" t="s">
        <v>40</v>
      </c>
      <c r="AP185" s="472">
        <v>0</v>
      </c>
      <c r="AQ185" s="301"/>
    </row>
    <row r="186" spans="1:43">
      <c r="A186" s="306" t="s">
        <v>437</v>
      </c>
      <c r="B186" s="305" t="s">
        <v>638</v>
      </c>
      <c r="C186" s="305">
        <v>1</v>
      </c>
      <c r="D186" s="380">
        <v>46190</v>
      </c>
      <c r="E186" s="380">
        <v>46195</v>
      </c>
      <c r="F186" s="308" t="s">
        <v>40</v>
      </c>
      <c r="G186" s="308" t="s">
        <v>436</v>
      </c>
      <c r="H186" s="381">
        <v>0</v>
      </c>
      <c r="I186" s="311">
        <v>46216</v>
      </c>
      <c r="J186" s="311">
        <v>46221</v>
      </c>
      <c r="K186" s="310" t="s">
        <v>40</v>
      </c>
      <c r="L186" s="310" t="s">
        <v>422</v>
      </c>
      <c r="M186" s="312">
        <v>0</v>
      </c>
      <c r="N186" s="314">
        <v>46216</v>
      </c>
      <c r="O186" s="314">
        <v>46221</v>
      </c>
      <c r="P186" s="315" t="s">
        <v>40</v>
      </c>
      <c r="Q186" s="315" t="s">
        <v>422</v>
      </c>
      <c r="R186" s="316">
        <v>0</v>
      </c>
      <c r="S186" s="318">
        <v>46228</v>
      </c>
      <c r="T186" s="318">
        <v>46234</v>
      </c>
      <c r="U186" s="319" t="s">
        <v>40</v>
      </c>
      <c r="V186" s="319" t="s">
        <v>422</v>
      </c>
      <c r="W186" s="320">
        <v>0</v>
      </c>
      <c r="X186" s="322">
        <v>46235</v>
      </c>
      <c r="Y186" s="322">
        <v>46237</v>
      </c>
      <c r="Z186" s="323" t="s">
        <v>40</v>
      </c>
      <c r="AA186" s="323" t="s">
        <v>422</v>
      </c>
      <c r="AB186" s="324">
        <v>0</v>
      </c>
      <c r="AC186" s="326">
        <v>46245</v>
      </c>
      <c r="AD186" s="326">
        <v>46250</v>
      </c>
      <c r="AE186" s="327" t="s">
        <v>40</v>
      </c>
      <c r="AF186" s="327" t="s">
        <v>422</v>
      </c>
      <c r="AG186" s="328">
        <v>0</v>
      </c>
      <c r="AH186" s="330">
        <v>46251</v>
      </c>
      <c r="AI186" s="330">
        <v>46254</v>
      </c>
      <c r="AJ186" s="331" t="s">
        <v>165</v>
      </c>
      <c r="AK186" s="331" t="s">
        <v>422</v>
      </c>
      <c r="AL186" s="332">
        <v>0</v>
      </c>
      <c r="AM186" s="310" t="s">
        <v>422</v>
      </c>
      <c r="AN186" s="310" t="s">
        <v>422</v>
      </c>
      <c r="AO186" s="310" t="s">
        <v>40</v>
      </c>
      <c r="AP186" s="472">
        <v>0</v>
      </c>
      <c r="AQ186" s="301"/>
    </row>
    <row r="187" spans="1:43">
      <c r="A187" s="306" t="s">
        <v>437</v>
      </c>
      <c r="B187" s="305" t="s">
        <v>639</v>
      </c>
      <c r="C187" s="305">
        <v>1</v>
      </c>
      <c r="D187" s="380">
        <v>46190</v>
      </c>
      <c r="E187" s="380">
        <v>46195</v>
      </c>
      <c r="F187" s="308" t="s">
        <v>40</v>
      </c>
      <c r="G187" s="308" t="s">
        <v>436</v>
      </c>
      <c r="H187" s="381">
        <v>0</v>
      </c>
      <c r="I187" s="311">
        <v>46216</v>
      </c>
      <c r="J187" s="311">
        <v>46221</v>
      </c>
      <c r="K187" s="310" t="s">
        <v>40</v>
      </c>
      <c r="L187" s="310" t="s">
        <v>422</v>
      </c>
      <c r="M187" s="312">
        <v>0</v>
      </c>
      <c r="N187" s="314">
        <v>46216</v>
      </c>
      <c r="O187" s="314">
        <v>46221</v>
      </c>
      <c r="P187" s="315" t="s">
        <v>40</v>
      </c>
      <c r="Q187" s="315" t="s">
        <v>422</v>
      </c>
      <c r="R187" s="316">
        <v>0</v>
      </c>
      <c r="S187" s="318">
        <v>46228</v>
      </c>
      <c r="T187" s="318">
        <v>46234</v>
      </c>
      <c r="U187" s="319" t="s">
        <v>40</v>
      </c>
      <c r="V187" s="319" t="s">
        <v>422</v>
      </c>
      <c r="W187" s="320">
        <v>0</v>
      </c>
      <c r="X187" s="322">
        <v>46235</v>
      </c>
      <c r="Y187" s="322">
        <v>46237</v>
      </c>
      <c r="Z187" s="323" t="s">
        <v>40</v>
      </c>
      <c r="AA187" s="323" t="s">
        <v>422</v>
      </c>
      <c r="AB187" s="324">
        <v>0</v>
      </c>
      <c r="AC187" s="326">
        <v>46245</v>
      </c>
      <c r="AD187" s="326">
        <v>46250</v>
      </c>
      <c r="AE187" s="327" t="s">
        <v>40</v>
      </c>
      <c r="AF187" s="327" t="s">
        <v>422</v>
      </c>
      <c r="AG187" s="328">
        <v>0</v>
      </c>
      <c r="AH187" s="330">
        <v>46251</v>
      </c>
      <c r="AI187" s="330">
        <v>46254</v>
      </c>
      <c r="AJ187" s="331" t="s">
        <v>165</v>
      </c>
      <c r="AK187" s="331" t="s">
        <v>422</v>
      </c>
      <c r="AL187" s="332">
        <v>0</v>
      </c>
      <c r="AM187" s="310" t="s">
        <v>422</v>
      </c>
      <c r="AN187" s="310" t="s">
        <v>422</v>
      </c>
      <c r="AO187" s="310" t="s">
        <v>40</v>
      </c>
      <c r="AP187" s="472">
        <v>0</v>
      </c>
      <c r="AQ187" s="301"/>
    </row>
    <row r="188" spans="1:43">
      <c r="A188" s="306" t="s">
        <v>437</v>
      </c>
      <c r="B188" s="305" t="s">
        <v>640</v>
      </c>
      <c r="C188" s="305">
        <v>1</v>
      </c>
      <c r="D188" s="380">
        <v>46190</v>
      </c>
      <c r="E188" s="380">
        <v>46195</v>
      </c>
      <c r="F188" s="308" t="s">
        <v>40</v>
      </c>
      <c r="G188" s="308" t="s">
        <v>436</v>
      </c>
      <c r="H188" s="381">
        <v>0</v>
      </c>
      <c r="I188" s="311">
        <v>46216</v>
      </c>
      <c r="J188" s="311">
        <v>46221</v>
      </c>
      <c r="K188" s="310" t="s">
        <v>40</v>
      </c>
      <c r="L188" s="310" t="s">
        <v>422</v>
      </c>
      <c r="M188" s="312">
        <v>0</v>
      </c>
      <c r="N188" s="314">
        <v>46216</v>
      </c>
      <c r="O188" s="314">
        <v>46221</v>
      </c>
      <c r="P188" s="315" t="s">
        <v>40</v>
      </c>
      <c r="Q188" s="315" t="s">
        <v>422</v>
      </c>
      <c r="R188" s="316">
        <v>0</v>
      </c>
      <c r="S188" s="318">
        <v>46228</v>
      </c>
      <c r="T188" s="318">
        <v>46234</v>
      </c>
      <c r="U188" s="319" t="s">
        <v>40</v>
      </c>
      <c r="V188" s="319" t="s">
        <v>422</v>
      </c>
      <c r="W188" s="320">
        <v>0</v>
      </c>
      <c r="X188" s="322">
        <v>46235</v>
      </c>
      <c r="Y188" s="322">
        <v>46237</v>
      </c>
      <c r="Z188" s="323" t="s">
        <v>40</v>
      </c>
      <c r="AA188" s="323" t="s">
        <v>422</v>
      </c>
      <c r="AB188" s="324">
        <v>0</v>
      </c>
      <c r="AC188" s="326">
        <v>46245</v>
      </c>
      <c r="AD188" s="326">
        <v>46250</v>
      </c>
      <c r="AE188" s="327" t="s">
        <v>40</v>
      </c>
      <c r="AF188" s="327" t="s">
        <v>422</v>
      </c>
      <c r="AG188" s="328">
        <v>0</v>
      </c>
      <c r="AH188" s="330">
        <v>46251</v>
      </c>
      <c r="AI188" s="330">
        <v>46254</v>
      </c>
      <c r="AJ188" s="331" t="s">
        <v>165</v>
      </c>
      <c r="AK188" s="331" t="s">
        <v>422</v>
      </c>
      <c r="AL188" s="332">
        <v>0</v>
      </c>
      <c r="AM188" s="310" t="s">
        <v>422</v>
      </c>
      <c r="AN188" s="310" t="s">
        <v>422</v>
      </c>
      <c r="AO188" s="310" t="s">
        <v>40</v>
      </c>
      <c r="AP188" s="472">
        <v>0</v>
      </c>
      <c r="AQ188" s="301"/>
    </row>
    <row r="189" spans="1:43">
      <c r="A189" s="306" t="s">
        <v>437</v>
      </c>
      <c r="B189" s="305" t="s">
        <v>641</v>
      </c>
      <c r="C189" s="305">
        <v>1</v>
      </c>
      <c r="D189" s="380">
        <v>46190</v>
      </c>
      <c r="E189" s="380">
        <v>46195</v>
      </c>
      <c r="F189" s="308" t="s">
        <v>40</v>
      </c>
      <c r="G189" s="308" t="s">
        <v>436</v>
      </c>
      <c r="H189" s="381">
        <v>0</v>
      </c>
      <c r="I189" s="311">
        <v>46216</v>
      </c>
      <c r="J189" s="311">
        <v>46221</v>
      </c>
      <c r="K189" s="310" t="s">
        <v>40</v>
      </c>
      <c r="L189" s="310" t="s">
        <v>422</v>
      </c>
      <c r="M189" s="312">
        <v>0</v>
      </c>
      <c r="N189" s="314">
        <v>46216</v>
      </c>
      <c r="O189" s="314">
        <v>46221</v>
      </c>
      <c r="P189" s="315" t="s">
        <v>40</v>
      </c>
      <c r="Q189" s="315" t="s">
        <v>422</v>
      </c>
      <c r="R189" s="316">
        <v>0</v>
      </c>
      <c r="S189" s="318">
        <v>46228</v>
      </c>
      <c r="T189" s="318">
        <v>46234</v>
      </c>
      <c r="U189" s="319" t="s">
        <v>40</v>
      </c>
      <c r="V189" s="319" t="s">
        <v>422</v>
      </c>
      <c r="W189" s="320">
        <v>0</v>
      </c>
      <c r="X189" s="322">
        <v>46235</v>
      </c>
      <c r="Y189" s="322">
        <v>46237</v>
      </c>
      <c r="Z189" s="323" t="s">
        <v>40</v>
      </c>
      <c r="AA189" s="323" t="s">
        <v>422</v>
      </c>
      <c r="AB189" s="324">
        <v>0</v>
      </c>
      <c r="AC189" s="326">
        <v>46245</v>
      </c>
      <c r="AD189" s="326">
        <v>46250</v>
      </c>
      <c r="AE189" s="327" t="s">
        <v>40</v>
      </c>
      <c r="AF189" s="327" t="s">
        <v>422</v>
      </c>
      <c r="AG189" s="328">
        <v>0</v>
      </c>
      <c r="AH189" s="330">
        <v>46251</v>
      </c>
      <c r="AI189" s="330">
        <v>46254</v>
      </c>
      <c r="AJ189" s="331" t="s">
        <v>165</v>
      </c>
      <c r="AK189" s="331" t="s">
        <v>422</v>
      </c>
      <c r="AL189" s="332">
        <v>0</v>
      </c>
      <c r="AM189" s="310" t="s">
        <v>422</v>
      </c>
      <c r="AN189" s="310" t="s">
        <v>422</v>
      </c>
      <c r="AO189" s="310" t="s">
        <v>40</v>
      </c>
      <c r="AP189" s="472">
        <v>0</v>
      </c>
      <c r="AQ189" s="301"/>
    </row>
    <row r="190" spans="1:43">
      <c r="A190" s="306" t="s">
        <v>437</v>
      </c>
      <c r="B190" s="305" t="s">
        <v>642</v>
      </c>
      <c r="C190" s="305">
        <v>1</v>
      </c>
      <c r="D190" s="380">
        <v>46190</v>
      </c>
      <c r="E190" s="380">
        <v>46195</v>
      </c>
      <c r="F190" s="308" t="s">
        <v>40</v>
      </c>
      <c r="G190" s="308" t="s">
        <v>436</v>
      </c>
      <c r="H190" s="381">
        <v>0</v>
      </c>
      <c r="I190" s="311">
        <v>46216</v>
      </c>
      <c r="J190" s="311">
        <v>46221</v>
      </c>
      <c r="K190" s="310" t="s">
        <v>40</v>
      </c>
      <c r="L190" s="310" t="s">
        <v>422</v>
      </c>
      <c r="M190" s="312">
        <v>0</v>
      </c>
      <c r="N190" s="314">
        <v>46216</v>
      </c>
      <c r="O190" s="314">
        <v>46221</v>
      </c>
      <c r="P190" s="315" t="s">
        <v>40</v>
      </c>
      <c r="Q190" s="315" t="s">
        <v>422</v>
      </c>
      <c r="R190" s="316">
        <v>0</v>
      </c>
      <c r="S190" s="318">
        <v>46228</v>
      </c>
      <c r="T190" s="318">
        <v>46234</v>
      </c>
      <c r="U190" s="319" t="s">
        <v>40</v>
      </c>
      <c r="V190" s="319" t="s">
        <v>422</v>
      </c>
      <c r="W190" s="320">
        <v>0</v>
      </c>
      <c r="X190" s="322">
        <v>46235</v>
      </c>
      <c r="Y190" s="322">
        <v>46237</v>
      </c>
      <c r="Z190" s="323" t="s">
        <v>40</v>
      </c>
      <c r="AA190" s="323" t="s">
        <v>422</v>
      </c>
      <c r="AB190" s="324">
        <v>0</v>
      </c>
      <c r="AC190" s="326">
        <v>46245</v>
      </c>
      <c r="AD190" s="326">
        <v>46250</v>
      </c>
      <c r="AE190" s="327" t="s">
        <v>40</v>
      </c>
      <c r="AF190" s="327" t="s">
        <v>422</v>
      </c>
      <c r="AG190" s="328">
        <v>0</v>
      </c>
      <c r="AH190" s="330">
        <v>46251</v>
      </c>
      <c r="AI190" s="330">
        <v>46254</v>
      </c>
      <c r="AJ190" s="331" t="s">
        <v>165</v>
      </c>
      <c r="AK190" s="331" t="s">
        <v>422</v>
      </c>
      <c r="AL190" s="332">
        <v>0</v>
      </c>
      <c r="AM190" s="310" t="s">
        <v>422</v>
      </c>
      <c r="AN190" s="310" t="s">
        <v>422</v>
      </c>
      <c r="AO190" s="310" t="s">
        <v>40</v>
      </c>
      <c r="AP190" s="472">
        <v>0</v>
      </c>
      <c r="AQ190" s="301"/>
    </row>
    <row r="191" spans="1:43">
      <c r="A191" s="306" t="s">
        <v>437</v>
      </c>
      <c r="B191" s="305" t="s">
        <v>643</v>
      </c>
      <c r="C191" s="305">
        <v>1</v>
      </c>
      <c r="D191" s="380">
        <v>46190</v>
      </c>
      <c r="E191" s="380">
        <v>46195</v>
      </c>
      <c r="F191" s="308" t="s">
        <v>40</v>
      </c>
      <c r="G191" s="308" t="s">
        <v>436</v>
      </c>
      <c r="H191" s="381">
        <v>0</v>
      </c>
      <c r="I191" s="311">
        <v>46216</v>
      </c>
      <c r="J191" s="311">
        <v>46221</v>
      </c>
      <c r="K191" s="310" t="s">
        <v>40</v>
      </c>
      <c r="L191" s="310" t="s">
        <v>422</v>
      </c>
      <c r="M191" s="312">
        <v>0</v>
      </c>
      <c r="N191" s="314">
        <v>46216</v>
      </c>
      <c r="O191" s="314">
        <v>46221</v>
      </c>
      <c r="P191" s="315" t="s">
        <v>40</v>
      </c>
      <c r="Q191" s="315" t="s">
        <v>422</v>
      </c>
      <c r="R191" s="316">
        <v>0</v>
      </c>
      <c r="S191" s="318">
        <v>46228</v>
      </c>
      <c r="T191" s="318">
        <v>46234</v>
      </c>
      <c r="U191" s="319" t="s">
        <v>40</v>
      </c>
      <c r="V191" s="319" t="s">
        <v>422</v>
      </c>
      <c r="W191" s="320">
        <v>0</v>
      </c>
      <c r="X191" s="322">
        <v>46235</v>
      </c>
      <c r="Y191" s="322">
        <v>46237</v>
      </c>
      <c r="Z191" s="323" t="s">
        <v>40</v>
      </c>
      <c r="AA191" s="323" t="s">
        <v>422</v>
      </c>
      <c r="AB191" s="324">
        <v>0</v>
      </c>
      <c r="AC191" s="326">
        <v>46245</v>
      </c>
      <c r="AD191" s="326">
        <v>46250</v>
      </c>
      <c r="AE191" s="327" t="s">
        <v>40</v>
      </c>
      <c r="AF191" s="327" t="s">
        <v>422</v>
      </c>
      <c r="AG191" s="328">
        <v>0</v>
      </c>
      <c r="AH191" s="330">
        <v>46251</v>
      </c>
      <c r="AI191" s="330">
        <v>46254</v>
      </c>
      <c r="AJ191" s="331" t="s">
        <v>165</v>
      </c>
      <c r="AK191" s="331" t="s">
        <v>422</v>
      </c>
      <c r="AL191" s="332">
        <v>0</v>
      </c>
      <c r="AM191" s="310" t="s">
        <v>422</v>
      </c>
      <c r="AN191" s="310" t="s">
        <v>422</v>
      </c>
      <c r="AO191" s="310" t="s">
        <v>40</v>
      </c>
      <c r="AP191" s="472">
        <v>0</v>
      </c>
      <c r="AQ191" s="301"/>
    </row>
    <row r="192" spans="1:43">
      <c r="A192" s="306" t="s">
        <v>437</v>
      </c>
      <c r="B192" s="305" t="s">
        <v>644</v>
      </c>
      <c r="C192" s="305">
        <v>1</v>
      </c>
      <c r="D192" s="380">
        <v>46190</v>
      </c>
      <c r="E192" s="380">
        <v>46195</v>
      </c>
      <c r="F192" s="308" t="s">
        <v>40</v>
      </c>
      <c r="G192" s="308" t="s">
        <v>436</v>
      </c>
      <c r="H192" s="381">
        <v>0</v>
      </c>
      <c r="I192" s="311">
        <v>46216</v>
      </c>
      <c r="J192" s="311">
        <v>46221</v>
      </c>
      <c r="K192" s="310" t="s">
        <v>40</v>
      </c>
      <c r="L192" s="310" t="s">
        <v>422</v>
      </c>
      <c r="M192" s="312">
        <v>0</v>
      </c>
      <c r="N192" s="314">
        <v>46216</v>
      </c>
      <c r="O192" s="314">
        <v>46221</v>
      </c>
      <c r="P192" s="315" t="s">
        <v>40</v>
      </c>
      <c r="Q192" s="315" t="s">
        <v>422</v>
      </c>
      <c r="R192" s="316">
        <v>0</v>
      </c>
      <c r="S192" s="318">
        <v>46228</v>
      </c>
      <c r="T192" s="318">
        <v>46234</v>
      </c>
      <c r="U192" s="319" t="s">
        <v>40</v>
      </c>
      <c r="V192" s="319" t="s">
        <v>422</v>
      </c>
      <c r="W192" s="320">
        <v>0</v>
      </c>
      <c r="X192" s="322">
        <v>46235</v>
      </c>
      <c r="Y192" s="322">
        <v>46237</v>
      </c>
      <c r="Z192" s="323" t="s">
        <v>40</v>
      </c>
      <c r="AA192" s="323" t="s">
        <v>422</v>
      </c>
      <c r="AB192" s="324">
        <v>0</v>
      </c>
      <c r="AC192" s="326">
        <v>46245</v>
      </c>
      <c r="AD192" s="326">
        <v>46250</v>
      </c>
      <c r="AE192" s="327" t="s">
        <v>40</v>
      </c>
      <c r="AF192" s="327" t="s">
        <v>422</v>
      </c>
      <c r="AG192" s="328">
        <v>0</v>
      </c>
      <c r="AH192" s="330">
        <v>46251</v>
      </c>
      <c r="AI192" s="330">
        <v>46254</v>
      </c>
      <c r="AJ192" s="331" t="s">
        <v>165</v>
      </c>
      <c r="AK192" s="331" t="s">
        <v>422</v>
      </c>
      <c r="AL192" s="332">
        <v>0</v>
      </c>
      <c r="AM192" s="310" t="s">
        <v>422</v>
      </c>
      <c r="AN192" s="310" t="s">
        <v>422</v>
      </c>
      <c r="AO192" s="310" t="s">
        <v>40</v>
      </c>
      <c r="AP192" s="472">
        <v>0</v>
      </c>
      <c r="AQ192" s="301"/>
    </row>
    <row r="193" spans="1:43">
      <c r="A193" s="306" t="s">
        <v>437</v>
      </c>
      <c r="B193" s="305" t="s">
        <v>645</v>
      </c>
      <c r="C193" s="305">
        <v>1</v>
      </c>
      <c r="D193" s="380">
        <v>46190</v>
      </c>
      <c r="E193" s="380">
        <v>46195</v>
      </c>
      <c r="F193" s="308" t="s">
        <v>40</v>
      </c>
      <c r="G193" s="308" t="s">
        <v>436</v>
      </c>
      <c r="H193" s="381">
        <v>0</v>
      </c>
      <c r="I193" s="311">
        <v>46216</v>
      </c>
      <c r="J193" s="311">
        <v>46221</v>
      </c>
      <c r="K193" s="310" t="s">
        <v>40</v>
      </c>
      <c r="L193" s="310" t="s">
        <v>422</v>
      </c>
      <c r="M193" s="312">
        <v>0</v>
      </c>
      <c r="N193" s="314">
        <v>46216</v>
      </c>
      <c r="O193" s="314">
        <v>46221</v>
      </c>
      <c r="P193" s="315" t="s">
        <v>40</v>
      </c>
      <c r="Q193" s="315" t="s">
        <v>422</v>
      </c>
      <c r="R193" s="316">
        <v>0</v>
      </c>
      <c r="S193" s="318">
        <v>46228</v>
      </c>
      <c r="T193" s="318">
        <v>46234</v>
      </c>
      <c r="U193" s="319" t="s">
        <v>40</v>
      </c>
      <c r="V193" s="319" t="s">
        <v>422</v>
      </c>
      <c r="W193" s="320">
        <v>0</v>
      </c>
      <c r="X193" s="322">
        <v>46235</v>
      </c>
      <c r="Y193" s="322">
        <v>46237</v>
      </c>
      <c r="Z193" s="323" t="s">
        <v>40</v>
      </c>
      <c r="AA193" s="323" t="s">
        <v>422</v>
      </c>
      <c r="AB193" s="324">
        <v>0</v>
      </c>
      <c r="AC193" s="326">
        <v>46245</v>
      </c>
      <c r="AD193" s="326">
        <v>46250</v>
      </c>
      <c r="AE193" s="327" t="s">
        <v>40</v>
      </c>
      <c r="AF193" s="327" t="s">
        <v>422</v>
      </c>
      <c r="AG193" s="328">
        <v>0</v>
      </c>
      <c r="AH193" s="330">
        <v>46251</v>
      </c>
      <c r="AI193" s="330">
        <v>46254</v>
      </c>
      <c r="AJ193" s="331" t="s">
        <v>165</v>
      </c>
      <c r="AK193" s="331" t="s">
        <v>422</v>
      </c>
      <c r="AL193" s="332">
        <v>0</v>
      </c>
      <c r="AM193" s="310" t="s">
        <v>422</v>
      </c>
      <c r="AN193" s="310" t="s">
        <v>422</v>
      </c>
      <c r="AO193" s="310" t="s">
        <v>40</v>
      </c>
      <c r="AP193" s="472">
        <v>0</v>
      </c>
      <c r="AQ193" s="301"/>
    </row>
    <row r="194" spans="1:43">
      <c r="A194" s="306" t="s">
        <v>437</v>
      </c>
      <c r="B194" s="305" t="s">
        <v>646</v>
      </c>
      <c r="C194" s="305">
        <v>1</v>
      </c>
      <c r="D194" s="380">
        <v>46190</v>
      </c>
      <c r="E194" s="380">
        <v>46195</v>
      </c>
      <c r="F194" s="308" t="s">
        <v>40</v>
      </c>
      <c r="G194" s="308" t="s">
        <v>436</v>
      </c>
      <c r="H194" s="381">
        <v>0</v>
      </c>
      <c r="I194" s="311">
        <v>46216</v>
      </c>
      <c r="J194" s="311">
        <v>46221</v>
      </c>
      <c r="K194" s="310" t="s">
        <v>40</v>
      </c>
      <c r="L194" s="310" t="s">
        <v>422</v>
      </c>
      <c r="M194" s="312">
        <v>0</v>
      </c>
      <c r="N194" s="314">
        <v>46216</v>
      </c>
      <c r="O194" s="314">
        <v>46221</v>
      </c>
      <c r="P194" s="315" t="s">
        <v>40</v>
      </c>
      <c r="Q194" s="315" t="s">
        <v>422</v>
      </c>
      <c r="R194" s="316">
        <v>0</v>
      </c>
      <c r="S194" s="318">
        <v>46228</v>
      </c>
      <c r="T194" s="318">
        <v>46234</v>
      </c>
      <c r="U194" s="319" t="s">
        <v>40</v>
      </c>
      <c r="V194" s="319" t="s">
        <v>422</v>
      </c>
      <c r="W194" s="320">
        <v>0</v>
      </c>
      <c r="X194" s="322">
        <v>46235</v>
      </c>
      <c r="Y194" s="322">
        <v>46237</v>
      </c>
      <c r="Z194" s="323" t="s">
        <v>40</v>
      </c>
      <c r="AA194" s="323" t="s">
        <v>422</v>
      </c>
      <c r="AB194" s="324">
        <v>0</v>
      </c>
      <c r="AC194" s="326">
        <v>46245</v>
      </c>
      <c r="AD194" s="326">
        <v>46250</v>
      </c>
      <c r="AE194" s="327" t="s">
        <v>40</v>
      </c>
      <c r="AF194" s="327" t="s">
        <v>422</v>
      </c>
      <c r="AG194" s="328">
        <v>0</v>
      </c>
      <c r="AH194" s="330">
        <v>46251</v>
      </c>
      <c r="AI194" s="330">
        <v>46254</v>
      </c>
      <c r="AJ194" s="331" t="s">
        <v>165</v>
      </c>
      <c r="AK194" s="331" t="s">
        <v>422</v>
      </c>
      <c r="AL194" s="332">
        <v>0</v>
      </c>
      <c r="AM194" s="310" t="s">
        <v>422</v>
      </c>
      <c r="AN194" s="310" t="s">
        <v>422</v>
      </c>
      <c r="AO194" s="310" t="s">
        <v>40</v>
      </c>
      <c r="AP194" s="472">
        <v>0</v>
      </c>
      <c r="AQ194" s="301"/>
    </row>
    <row r="195" spans="1:43">
      <c r="A195" s="306" t="s">
        <v>437</v>
      </c>
      <c r="B195" s="305" t="s">
        <v>647</v>
      </c>
      <c r="C195" s="305">
        <v>1</v>
      </c>
      <c r="D195" s="380">
        <v>46190</v>
      </c>
      <c r="E195" s="380">
        <v>46195</v>
      </c>
      <c r="F195" s="308" t="s">
        <v>40</v>
      </c>
      <c r="G195" s="308" t="s">
        <v>436</v>
      </c>
      <c r="H195" s="381">
        <v>0</v>
      </c>
      <c r="I195" s="311">
        <v>46216</v>
      </c>
      <c r="J195" s="311">
        <v>46221</v>
      </c>
      <c r="K195" s="310" t="s">
        <v>40</v>
      </c>
      <c r="L195" s="310" t="s">
        <v>422</v>
      </c>
      <c r="M195" s="312">
        <v>0</v>
      </c>
      <c r="N195" s="314">
        <v>46216</v>
      </c>
      <c r="O195" s="314">
        <v>46221</v>
      </c>
      <c r="P195" s="315" t="s">
        <v>40</v>
      </c>
      <c r="Q195" s="315" t="s">
        <v>422</v>
      </c>
      <c r="R195" s="316">
        <v>0</v>
      </c>
      <c r="S195" s="318">
        <v>46228</v>
      </c>
      <c r="T195" s="318">
        <v>46234</v>
      </c>
      <c r="U195" s="319" t="s">
        <v>40</v>
      </c>
      <c r="V195" s="319" t="s">
        <v>422</v>
      </c>
      <c r="W195" s="320">
        <v>0</v>
      </c>
      <c r="X195" s="322">
        <v>46235</v>
      </c>
      <c r="Y195" s="322">
        <v>46237</v>
      </c>
      <c r="Z195" s="323" t="s">
        <v>40</v>
      </c>
      <c r="AA195" s="323" t="s">
        <v>422</v>
      </c>
      <c r="AB195" s="324">
        <v>0</v>
      </c>
      <c r="AC195" s="326">
        <v>46245</v>
      </c>
      <c r="AD195" s="326">
        <v>46250</v>
      </c>
      <c r="AE195" s="327" t="s">
        <v>40</v>
      </c>
      <c r="AF195" s="327" t="s">
        <v>422</v>
      </c>
      <c r="AG195" s="328">
        <v>0</v>
      </c>
      <c r="AH195" s="330">
        <v>46251</v>
      </c>
      <c r="AI195" s="330">
        <v>46254</v>
      </c>
      <c r="AJ195" s="331" t="s">
        <v>165</v>
      </c>
      <c r="AK195" s="331" t="s">
        <v>422</v>
      </c>
      <c r="AL195" s="332">
        <v>0</v>
      </c>
      <c r="AM195" s="310" t="s">
        <v>422</v>
      </c>
      <c r="AN195" s="310" t="s">
        <v>422</v>
      </c>
      <c r="AO195" s="310" t="s">
        <v>40</v>
      </c>
      <c r="AP195" s="472">
        <v>0</v>
      </c>
      <c r="AQ195" s="301"/>
    </row>
    <row r="196" spans="1:43">
      <c r="A196" s="306" t="s">
        <v>437</v>
      </c>
      <c r="B196" s="305" t="s">
        <v>648</v>
      </c>
      <c r="C196" s="305">
        <v>1</v>
      </c>
      <c r="D196" s="380">
        <v>46190</v>
      </c>
      <c r="E196" s="380">
        <v>46195</v>
      </c>
      <c r="F196" s="308" t="s">
        <v>40</v>
      </c>
      <c r="G196" s="308" t="s">
        <v>436</v>
      </c>
      <c r="H196" s="381">
        <v>0</v>
      </c>
      <c r="I196" s="311">
        <v>46216</v>
      </c>
      <c r="J196" s="311">
        <v>46221</v>
      </c>
      <c r="K196" s="310" t="s">
        <v>40</v>
      </c>
      <c r="L196" s="310" t="s">
        <v>422</v>
      </c>
      <c r="M196" s="312">
        <v>0</v>
      </c>
      <c r="N196" s="314">
        <v>46216</v>
      </c>
      <c r="O196" s="314">
        <v>46221</v>
      </c>
      <c r="P196" s="315" t="s">
        <v>40</v>
      </c>
      <c r="Q196" s="315" t="s">
        <v>422</v>
      </c>
      <c r="R196" s="316">
        <v>0</v>
      </c>
      <c r="S196" s="318">
        <v>46228</v>
      </c>
      <c r="T196" s="318">
        <v>46234</v>
      </c>
      <c r="U196" s="319" t="s">
        <v>40</v>
      </c>
      <c r="V196" s="319" t="s">
        <v>422</v>
      </c>
      <c r="W196" s="320">
        <v>0</v>
      </c>
      <c r="X196" s="322">
        <v>46235</v>
      </c>
      <c r="Y196" s="322">
        <v>46237</v>
      </c>
      <c r="Z196" s="323" t="s">
        <v>40</v>
      </c>
      <c r="AA196" s="323" t="s">
        <v>422</v>
      </c>
      <c r="AB196" s="324">
        <v>0</v>
      </c>
      <c r="AC196" s="326">
        <v>46245</v>
      </c>
      <c r="AD196" s="326">
        <v>46250</v>
      </c>
      <c r="AE196" s="327" t="s">
        <v>40</v>
      </c>
      <c r="AF196" s="327" t="s">
        <v>422</v>
      </c>
      <c r="AG196" s="328">
        <v>0</v>
      </c>
      <c r="AH196" s="330">
        <v>46251</v>
      </c>
      <c r="AI196" s="330">
        <v>46254</v>
      </c>
      <c r="AJ196" s="331" t="s">
        <v>165</v>
      </c>
      <c r="AK196" s="331" t="s">
        <v>422</v>
      </c>
      <c r="AL196" s="332">
        <v>0</v>
      </c>
      <c r="AM196" s="310" t="s">
        <v>422</v>
      </c>
      <c r="AN196" s="310" t="s">
        <v>422</v>
      </c>
      <c r="AO196" s="310" t="s">
        <v>40</v>
      </c>
      <c r="AP196" s="472">
        <v>0</v>
      </c>
      <c r="AQ196" s="301"/>
    </row>
    <row r="197" spans="1:43">
      <c r="A197" s="306" t="s">
        <v>437</v>
      </c>
      <c r="B197" s="305" t="s">
        <v>649</v>
      </c>
      <c r="C197" s="305">
        <v>1</v>
      </c>
      <c r="D197" s="380">
        <v>46190</v>
      </c>
      <c r="E197" s="380">
        <v>46195</v>
      </c>
      <c r="F197" s="308" t="s">
        <v>40</v>
      </c>
      <c r="G197" s="308" t="s">
        <v>436</v>
      </c>
      <c r="H197" s="381">
        <v>0</v>
      </c>
      <c r="I197" s="311">
        <v>46216</v>
      </c>
      <c r="J197" s="311">
        <v>46221</v>
      </c>
      <c r="K197" s="310" t="s">
        <v>40</v>
      </c>
      <c r="L197" s="310" t="s">
        <v>422</v>
      </c>
      <c r="M197" s="312">
        <v>0</v>
      </c>
      <c r="N197" s="314">
        <v>46216</v>
      </c>
      <c r="O197" s="314">
        <v>46221</v>
      </c>
      <c r="P197" s="315" t="s">
        <v>40</v>
      </c>
      <c r="Q197" s="315" t="s">
        <v>422</v>
      </c>
      <c r="R197" s="316">
        <v>0</v>
      </c>
      <c r="S197" s="318">
        <v>46228</v>
      </c>
      <c r="T197" s="318">
        <v>46234</v>
      </c>
      <c r="U197" s="319" t="s">
        <v>40</v>
      </c>
      <c r="V197" s="319" t="s">
        <v>422</v>
      </c>
      <c r="W197" s="320">
        <v>0</v>
      </c>
      <c r="X197" s="322">
        <v>46235</v>
      </c>
      <c r="Y197" s="322">
        <v>46237</v>
      </c>
      <c r="Z197" s="323" t="s">
        <v>40</v>
      </c>
      <c r="AA197" s="323" t="s">
        <v>422</v>
      </c>
      <c r="AB197" s="324">
        <v>0</v>
      </c>
      <c r="AC197" s="326">
        <v>46245</v>
      </c>
      <c r="AD197" s="326">
        <v>46250</v>
      </c>
      <c r="AE197" s="327" t="s">
        <v>40</v>
      </c>
      <c r="AF197" s="327" t="s">
        <v>422</v>
      </c>
      <c r="AG197" s="328">
        <v>0</v>
      </c>
      <c r="AH197" s="330">
        <v>46251</v>
      </c>
      <c r="AI197" s="330">
        <v>46254</v>
      </c>
      <c r="AJ197" s="331" t="s">
        <v>165</v>
      </c>
      <c r="AK197" s="331" t="s">
        <v>422</v>
      </c>
      <c r="AL197" s="332">
        <v>0</v>
      </c>
      <c r="AM197" s="310" t="s">
        <v>422</v>
      </c>
      <c r="AN197" s="310" t="s">
        <v>422</v>
      </c>
      <c r="AO197" s="310" t="s">
        <v>40</v>
      </c>
      <c r="AP197" s="472">
        <v>0</v>
      </c>
      <c r="AQ197" s="301"/>
    </row>
    <row r="198" spans="1:43">
      <c r="A198" s="306" t="s">
        <v>437</v>
      </c>
      <c r="B198" s="305" t="s">
        <v>650</v>
      </c>
      <c r="C198" s="305">
        <v>1</v>
      </c>
      <c r="D198" s="380">
        <v>46190</v>
      </c>
      <c r="E198" s="380">
        <v>46195</v>
      </c>
      <c r="F198" s="308" t="s">
        <v>40</v>
      </c>
      <c r="G198" s="308" t="s">
        <v>436</v>
      </c>
      <c r="H198" s="381">
        <v>0</v>
      </c>
      <c r="I198" s="311">
        <v>46216</v>
      </c>
      <c r="J198" s="311">
        <v>46221</v>
      </c>
      <c r="K198" s="310" t="s">
        <v>40</v>
      </c>
      <c r="L198" s="310" t="s">
        <v>422</v>
      </c>
      <c r="M198" s="312">
        <v>0</v>
      </c>
      <c r="N198" s="314">
        <v>46216</v>
      </c>
      <c r="O198" s="314">
        <v>46221</v>
      </c>
      <c r="P198" s="315" t="s">
        <v>40</v>
      </c>
      <c r="Q198" s="315" t="s">
        <v>422</v>
      </c>
      <c r="R198" s="316">
        <v>0</v>
      </c>
      <c r="S198" s="318">
        <v>46228</v>
      </c>
      <c r="T198" s="318">
        <v>46234</v>
      </c>
      <c r="U198" s="319" t="s">
        <v>40</v>
      </c>
      <c r="V198" s="319" t="s">
        <v>422</v>
      </c>
      <c r="W198" s="320">
        <v>0</v>
      </c>
      <c r="X198" s="322">
        <v>46235</v>
      </c>
      <c r="Y198" s="322">
        <v>46237</v>
      </c>
      <c r="Z198" s="323" t="s">
        <v>40</v>
      </c>
      <c r="AA198" s="323" t="s">
        <v>422</v>
      </c>
      <c r="AB198" s="324">
        <v>0</v>
      </c>
      <c r="AC198" s="326">
        <v>46245</v>
      </c>
      <c r="AD198" s="326">
        <v>46250</v>
      </c>
      <c r="AE198" s="327" t="s">
        <v>40</v>
      </c>
      <c r="AF198" s="327" t="s">
        <v>422</v>
      </c>
      <c r="AG198" s="328">
        <v>0</v>
      </c>
      <c r="AH198" s="330">
        <v>46251</v>
      </c>
      <c r="AI198" s="330">
        <v>46254</v>
      </c>
      <c r="AJ198" s="331" t="s">
        <v>165</v>
      </c>
      <c r="AK198" s="331" t="s">
        <v>422</v>
      </c>
      <c r="AL198" s="332">
        <v>0</v>
      </c>
      <c r="AM198" s="310" t="s">
        <v>422</v>
      </c>
      <c r="AN198" s="310" t="s">
        <v>422</v>
      </c>
      <c r="AO198" s="310" t="s">
        <v>40</v>
      </c>
      <c r="AP198" s="472">
        <v>0</v>
      </c>
      <c r="AQ198" s="301"/>
    </row>
    <row r="199" spans="1:43">
      <c r="A199" s="306" t="s">
        <v>437</v>
      </c>
      <c r="B199" s="305" t="s">
        <v>651</v>
      </c>
      <c r="C199" s="305">
        <v>1</v>
      </c>
      <c r="D199" s="380">
        <v>46190</v>
      </c>
      <c r="E199" s="380">
        <v>46195</v>
      </c>
      <c r="F199" s="308" t="s">
        <v>40</v>
      </c>
      <c r="G199" s="308" t="s">
        <v>436</v>
      </c>
      <c r="H199" s="381">
        <v>0</v>
      </c>
      <c r="I199" s="311">
        <v>46216</v>
      </c>
      <c r="J199" s="311">
        <v>46221</v>
      </c>
      <c r="K199" s="310" t="s">
        <v>40</v>
      </c>
      <c r="L199" s="310" t="s">
        <v>422</v>
      </c>
      <c r="M199" s="312">
        <v>0</v>
      </c>
      <c r="N199" s="314">
        <v>46216</v>
      </c>
      <c r="O199" s="314">
        <v>46221</v>
      </c>
      <c r="P199" s="315" t="s">
        <v>40</v>
      </c>
      <c r="Q199" s="315" t="s">
        <v>422</v>
      </c>
      <c r="R199" s="316">
        <v>0</v>
      </c>
      <c r="S199" s="318">
        <v>46228</v>
      </c>
      <c r="T199" s="318">
        <v>46234</v>
      </c>
      <c r="U199" s="319" t="s">
        <v>40</v>
      </c>
      <c r="V199" s="319" t="s">
        <v>422</v>
      </c>
      <c r="W199" s="320">
        <v>0</v>
      </c>
      <c r="X199" s="322">
        <v>46235</v>
      </c>
      <c r="Y199" s="322">
        <v>46237</v>
      </c>
      <c r="Z199" s="323" t="s">
        <v>40</v>
      </c>
      <c r="AA199" s="323" t="s">
        <v>422</v>
      </c>
      <c r="AB199" s="324">
        <v>0</v>
      </c>
      <c r="AC199" s="326">
        <v>46245</v>
      </c>
      <c r="AD199" s="326">
        <v>46250</v>
      </c>
      <c r="AE199" s="327" t="s">
        <v>40</v>
      </c>
      <c r="AF199" s="327" t="s">
        <v>422</v>
      </c>
      <c r="AG199" s="328">
        <v>0</v>
      </c>
      <c r="AH199" s="330">
        <v>46251</v>
      </c>
      <c r="AI199" s="330">
        <v>46254</v>
      </c>
      <c r="AJ199" s="331" t="s">
        <v>165</v>
      </c>
      <c r="AK199" s="331" t="s">
        <v>422</v>
      </c>
      <c r="AL199" s="332">
        <v>0</v>
      </c>
      <c r="AM199" s="310" t="s">
        <v>422</v>
      </c>
      <c r="AN199" s="310" t="s">
        <v>422</v>
      </c>
      <c r="AO199" s="310" t="s">
        <v>40</v>
      </c>
      <c r="AP199" s="472">
        <v>0</v>
      </c>
      <c r="AQ199" s="301"/>
    </row>
    <row r="200" spans="1:43">
      <c r="A200" s="306" t="s">
        <v>437</v>
      </c>
      <c r="B200" s="305" t="s">
        <v>652</v>
      </c>
      <c r="C200" s="305">
        <v>1</v>
      </c>
      <c r="D200" s="380">
        <v>46190</v>
      </c>
      <c r="E200" s="380">
        <v>46195</v>
      </c>
      <c r="F200" s="308" t="s">
        <v>40</v>
      </c>
      <c r="G200" s="308" t="s">
        <v>436</v>
      </c>
      <c r="H200" s="381">
        <v>0</v>
      </c>
      <c r="I200" s="311">
        <v>46216</v>
      </c>
      <c r="J200" s="311">
        <v>46221</v>
      </c>
      <c r="K200" s="310" t="s">
        <v>40</v>
      </c>
      <c r="L200" s="310" t="s">
        <v>422</v>
      </c>
      <c r="M200" s="312">
        <v>0</v>
      </c>
      <c r="N200" s="314">
        <v>46216</v>
      </c>
      <c r="O200" s="314">
        <v>46221</v>
      </c>
      <c r="P200" s="315" t="s">
        <v>40</v>
      </c>
      <c r="Q200" s="315" t="s">
        <v>422</v>
      </c>
      <c r="R200" s="316">
        <v>0</v>
      </c>
      <c r="S200" s="318">
        <v>46228</v>
      </c>
      <c r="T200" s="318">
        <v>46234</v>
      </c>
      <c r="U200" s="319" t="s">
        <v>40</v>
      </c>
      <c r="V200" s="319" t="s">
        <v>422</v>
      </c>
      <c r="W200" s="320">
        <v>0</v>
      </c>
      <c r="X200" s="322">
        <v>46235</v>
      </c>
      <c r="Y200" s="322">
        <v>46237</v>
      </c>
      <c r="Z200" s="323" t="s">
        <v>40</v>
      </c>
      <c r="AA200" s="323" t="s">
        <v>422</v>
      </c>
      <c r="AB200" s="324">
        <v>0</v>
      </c>
      <c r="AC200" s="326">
        <v>46245</v>
      </c>
      <c r="AD200" s="326">
        <v>46250</v>
      </c>
      <c r="AE200" s="327" t="s">
        <v>40</v>
      </c>
      <c r="AF200" s="327" t="s">
        <v>422</v>
      </c>
      <c r="AG200" s="328">
        <v>0</v>
      </c>
      <c r="AH200" s="330">
        <v>46251</v>
      </c>
      <c r="AI200" s="330">
        <v>46254</v>
      </c>
      <c r="AJ200" s="331" t="s">
        <v>165</v>
      </c>
      <c r="AK200" s="331" t="s">
        <v>422</v>
      </c>
      <c r="AL200" s="332">
        <v>0</v>
      </c>
      <c r="AM200" s="310" t="s">
        <v>422</v>
      </c>
      <c r="AN200" s="310" t="s">
        <v>422</v>
      </c>
      <c r="AO200" s="310" t="s">
        <v>40</v>
      </c>
      <c r="AP200" s="472">
        <v>0</v>
      </c>
      <c r="AQ200" s="301"/>
    </row>
    <row r="201" spans="1:43">
      <c r="A201" s="306" t="s">
        <v>437</v>
      </c>
      <c r="B201" s="305" t="s">
        <v>653</v>
      </c>
      <c r="C201" s="305">
        <v>1</v>
      </c>
      <c r="D201" s="380">
        <v>46190</v>
      </c>
      <c r="E201" s="380">
        <v>46195</v>
      </c>
      <c r="F201" s="308" t="s">
        <v>40</v>
      </c>
      <c r="G201" s="308" t="s">
        <v>436</v>
      </c>
      <c r="H201" s="381">
        <v>0</v>
      </c>
      <c r="I201" s="311">
        <v>46216</v>
      </c>
      <c r="J201" s="311">
        <v>46221</v>
      </c>
      <c r="K201" s="310" t="s">
        <v>40</v>
      </c>
      <c r="L201" s="310" t="s">
        <v>422</v>
      </c>
      <c r="M201" s="312">
        <v>0</v>
      </c>
      <c r="N201" s="314">
        <v>46216</v>
      </c>
      <c r="O201" s="314">
        <v>46221</v>
      </c>
      <c r="P201" s="315" t="s">
        <v>40</v>
      </c>
      <c r="Q201" s="315" t="s">
        <v>422</v>
      </c>
      <c r="R201" s="316">
        <v>0</v>
      </c>
      <c r="S201" s="318">
        <v>46228</v>
      </c>
      <c r="T201" s="318">
        <v>46234</v>
      </c>
      <c r="U201" s="319" t="s">
        <v>40</v>
      </c>
      <c r="V201" s="319" t="s">
        <v>422</v>
      </c>
      <c r="W201" s="320">
        <v>0</v>
      </c>
      <c r="X201" s="322">
        <v>46235</v>
      </c>
      <c r="Y201" s="322">
        <v>46237</v>
      </c>
      <c r="Z201" s="323" t="s">
        <v>40</v>
      </c>
      <c r="AA201" s="323" t="s">
        <v>422</v>
      </c>
      <c r="AB201" s="324">
        <v>0</v>
      </c>
      <c r="AC201" s="326">
        <v>46245</v>
      </c>
      <c r="AD201" s="326">
        <v>46250</v>
      </c>
      <c r="AE201" s="327" t="s">
        <v>40</v>
      </c>
      <c r="AF201" s="327" t="s">
        <v>422</v>
      </c>
      <c r="AG201" s="328">
        <v>0</v>
      </c>
      <c r="AH201" s="330">
        <v>46251</v>
      </c>
      <c r="AI201" s="330">
        <v>46254</v>
      </c>
      <c r="AJ201" s="331" t="s">
        <v>165</v>
      </c>
      <c r="AK201" s="331" t="s">
        <v>422</v>
      </c>
      <c r="AL201" s="332">
        <v>0</v>
      </c>
      <c r="AM201" s="310" t="s">
        <v>422</v>
      </c>
      <c r="AN201" s="310" t="s">
        <v>422</v>
      </c>
      <c r="AO201" s="310" t="s">
        <v>40</v>
      </c>
      <c r="AP201" s="472">
        <v>0</v>
      </c>
      <c r="AQ201" s="301"/>
    </row>
    <row r="202" spans="1:43">
      <c r="A202" s="306" t="s">
        <v>437</v>
      </c>
      <c r="B202" s="305" t="s">
        <v>654</v>
      </c>
      <c r="C202" s="305">
        <v>1</v>
      </c>
      <c r="D202" s="380">
        <v>46190</v>
      </c>
      <c r="E202" s="380">
        <v>46195</v>
      </c>
      <c r="F202" s="308" t="s">
        <v>40</v>
      </c>
      <c r="G202" s="308" t="s">
        <v>436</v>
      </c>
      <c r="H202" s="381">
        <v>0</v>
      </c>
      <c r="I202" s="311">
        <v>46216</v>
      </c>
      <c r="J202" s="311">
        <v>46221</v>
      </c>
      <c r="K202" s="310" t="s">
        <v>40</v>
      </c>
      <c r="L202" s="310" t="s">
        <v>422</v>
      </c>
      <c r="M202" s="312">
        <v>0</v>
      </c>
      <c r="N202" s="314">
        <v>46216</v>
      </c>
      <c r="O202" s="314">
        <v>46221</v>
      </c>
      <c r="P202" s="315" t="s">
        <v>40</v>
      </c>
      <c r="Q202" s="315" t="s">
        <v>422</v>
      </c>
      <c r="R202" s="316">
        <v>0</v>
      </c>
      <c r="S202" s="318">
        <v>46228</v>
      </c>
      <c r="T202" s="318">
        <v>46234</v>
      </c>
      <c r="U202" s="319" t="s">
        <v>40</v>
      </c>
      <c r="V202" s="319" t="s">
        <v>422</v>
      </c>
      <c r="W202" s="320">
        <v>0</v>
      </c>
      <c r="X202" s="322">
        <v>46235</v>
      </c>
      <c r="Y202" s="322">
        <v>46237</v>
      </c>
      <c r="Z202" s="323" t="s">
        <v>40</v>
      </c>
      <c r="AA202" s="323" t="s">
        <v>422</v>
      </c>
      <c r="AB202" s="324">
        <v>0</v>
      </c>
      <c r="AC202" s="326">
        <v>46245</v>
      </c>
      <c r="AD202" s="326">
        <v>46250</v>
      </c>
      <c r="AE202" s="327" t="s">
        <v>40</v>
      </c>
      <c r="AF202" s="327" t="s">
        <v>422</v>
      </c>
      <c r="AG202" s="328">
        <v>0</v>
      </c>
      <c r="AH202" s="330">
        <v>46251</v>
      </c>
      <c r="AI202" s="330">
        <v>46254</v>
      </c>
      <c r="AJ202" s="331" t="s">
        <v>165</v>
      </c>
      <c r="AK202" s="331" t="s">
        <v>422</v>
      </c>
      <c r="AL202" s="332">
        <v>0</v>
      </c>
      <c r="AM202" s="310" t="s">
        <v>422</v>
      </c>
      <c r="AN202" s="310" t="s">
        <v>422</v>
      </c>
      <c r="AO202" s="310" t="s">
        <v>40</v>
      </c>
      <c r="AP202" s="472">
        <v>0</v>
      </c>
      <c r="AQ202" s="301"/>
    </row>
    <row r="203" spans="1:43">
      <c r="A203" s="306" t="s">
        <v>437</v>
      </c>
      <c r="B203" s="305" t="s">
        <v>655</v>
      </c>
      <c r="C203" s="305">
        <v>1</v>
      </c>
      <c r="D203" s="380">
        <v>46190</v>
      </c>
      <c r="E203" s="380">
        <v>46195</v>
      </c>
      <c r="F203" s="308" t="s">
        <v>40</v>
      </c>
      <c r="G203" s="308" t="s">
        <v>436</v>
      </c>
      <c r="H203" s="381">
        <v>0</v>
      </c>
      <c r="I203" s="311">
        <v>46216</v>
      </c>
      <c r="J203" s="311">
        <v>46221</v>
      </c>
      <c r="K203" s="310" t="s">
        <v>40</v>
      </c>
      <c r="L203" s="310" t="s">
        <v>422</v>
      </c>
      <c r="M203" s="312">
        <v>0</v>
      </c>
      <c r="N203" s="314">
        <v>46216</v>
      </c>
      <c r="O203" s="314">
        <v>46221</v>
      </c>
      <c r="P203" s="315" t="s">
        <v>40</v>
      </c>
      <c r="Q203" s="315" t="s">
        <v>422</v>
      </c>
      <c r="R203" s="316">
        <v>0</v>
      </c>
      <c r="S203" s="318">
        <v>46228</v>
      </c>
      <c r="T203" s="318">
        <v>46234</v>
      </c>
      <c r="U203" s="319" t="s">
        <v>40</v>
      </c>
      <c r="V203" s="319" t="s">
        <v>422</v>
      </c>
      <c r="W203" s="320">
        <v>0</v>
      </c>
      <c r="X203" s="322">
        <v>46235</v>
      </c>
      <c r="Y203" s="322">
        <v>46237</v>
      </c>
      <c r="Z203" s="323" t="s">
        <v>40</v>
      </c>
      <c r="AA203" s="323" t="s">
        <v>422</v>
      </c>
      <c r="AB203" s="324">
        <v>0</v>
      </c>
      <c r="AC203" s="326">
        <v>46245</v>
      </c>
      <c r="AD203" s="326">
        <v>46250</v>
      </c>
      <c r="AE203" s="327" t="s">
        <v>40</v>
      </c>
      <c r="AF203" s="327" t="s">
        <v>422</v>
      </c>
      <c r="AG203" s="328">
        <v>0</v>
      </c>
      <c r="AH203" s="330">
        <v>46251</v>
      </c>
      <c r="AI203" s="330">
        <v>46254</v>
      </c>
      <c r="AJ203" s="331" t="s">
        <v>165</v>
      </c>
      <c r="AK203" s="331" t="s">
        <v>422</v>
      </c>
      <c r="AL203" s="332">
        <v>0</v>
      </c>
      <c r="AM203" s="310" t="s">
        <v>422</v>
      </c>
      <c r="AN203" s="310" t="s">
        <v>422</v>
      </c>
      <c r="AO203" s="310" t="s">
        <v>40</v>
      </c>
      <c r="AP203" s="472">
        <v>0</v>
      </c>
      <c r="AQ203" s="301"/>
    </row>
    <row r="204" spans="1:43">
      <c r="A204" s="306" t="s">
        <v>437</v>
      </c>
      <c r="B204" s="305" t="s">
        <v>656</v>
      </c>
      <c r="C204" s="305">
        <v>1</v>
      </c>
      <c r="D204" s="380">
        <v>46190</v>
      </c>
      <c r="E204" s="380">
        <v>46195</v>
      </c>
      <c r="F204" s="308" t="s">
        <v>40</v>
      </c>
      <c r="G204" s="308" t="s">
        <v>436</v>
      </c>
      <c r="H204" s="381">
        <v>0</v>
      </c>
      <c r="I204" s="311">
        <v>46216</v>
      </c>
      <c r="J204" s="311">
        <v>46221</v>
      </c>
      <c r="K204" s="310" t="s">
        <v>40</v>
      </c>
      <c r="L204" s="310" t="s">
        <v>422</v>
      </c>
      <c r="M204" s="312">
        <v>0</v>
      </c>
      <c r="N204" s="314">
        <v>46216</v>
      </c>
      <c r="O204" s="314">
        <v>46221</v>
      </c>
      <c r="P204" s="315" t="s">
        <v>40</v>
      </c>
      <c r="Q204" s="315" t="s">
        <v>422</v>
      </c>
      <c r="R204" s="316">
        <v>0</v>
      </c>
      <c r="S204" s="318">
        <v>46228</v>
      </c>
      <c r="T204" s="318">
        <v>46234</v>
      </c>
      <c r="U204" s="319" t="s">
        <v>40</v>
      </c>
      <c r="V204" s="319" t="s">
        <v>422</v>
      </c>
      <c r="W204" s="320">
        <v>0</v>
      </c>
      <c r="X204" s="322">
        <v>46235</v>
      </c>
      <c r="Y204" s="322">
        <v>46237</v>
      </c>
      <c r="Z204" s="323" t="s">
        <v>40</v>
      </c>
      <c r="AA204" s="323" t="s">
        <v>422</v>
      </c>
      <c r="AB204" s="324">
        <v>0</v>
      </c>
      <c r="AC204" s="326">
        <v>46245</v>
      </c>
      <c r="AD204" s="326">
        <v>46250</v>
      </c>
      <c r="AE204" s="327" t="s">
        <v>40</v>
      </c>
      <c r="AF204" s="327" t="s">
        <v>422</v>
      </c>
      <c r="AG204" s="328">
        <v>0</v>
      </c>
      <c r="AH204" s="330">
        <v>46251</v>
      </c>
      <c r="AI204" s="330">
        <v>46254</v>
      </c>
      <c r="AJ204" s="331" t="s">
        <v>165</v>
      </c>
      <c r="AK204" s="331" t="s">
        <v>422</v>
      </c>
      <c r="AL204" s="332">
        <v>0</v>
      </c>
      <c r="AM204" s="310" t="s">
        <v>422</v>
      </c>
      <c r="AN204" s="310" t="s">
        <v>422</v>
      </c>
      <c r="AO204" s="310" t="s">
        <v>40</v>
      </c>
      <c r="AP204" s="472">
        <v>0</v>
      </c>
      <c r="AQ204" s="301"/>
    </row>
    <row r="205" spans="1:43">
      <c r="A205" s="306" t="s">
        <v>437</v>
      </c>
      <c r="B205" s="305" t="s">
        <v>657</v>
      </c>
      <c r="C205" s="305">
        <v>1</v>
      </c>
      <c r="D205" s="380">
        <v>46190</v>
      </c>
      <c r="E205" s="380">
        <v>46195</v>
      </c>
      <c r="F205" s="308" t="s">
        <v>40</v>
      </c>
      <c r="G205" s="308" t="s">
        <v>436</v>
      </c>
      <c r="H205" s="381">
        <v>0</v>
      </c>
      <c r="I205" s="311">
        <v>46216</v>
      </c>
      <c r="J205" s="311">
        <v>46221</v>
      </c>
      <c r="K205" s="310" t="s">
        <v>40</v>
      </c>
      <c r="L205" s="310" t="s">
        <v>422</v>
      </c>
      <c r="M205" s="312">
        <v>0</v>
      </c>
      <c r="N205" s="314">
        <v>46216</v>
      </c>
      <c r="O205" s="314">
        <v>46221</v>
      </c>
      <c r="P205" s="315" t="s">
        <v>40</v>
      </c>
      <c r="Q205" s="315" t="s">
        <v>422</v>
      </c>
      <c r="R205" s="316">
        <v>0</v>
      </c>
      <c r="S205" s="318">
        <v>46228</v>
      </c>
      <c r="T205" s="318">
        <v>46234</v>
      </c>
      <c r="U205" s="319" t="s">
        <v>40</v>
      </c>
      <c r="V205" s="319" t="s">
        <v>422</v>
      </c>
      <c r="W205" s="320">
        <v>0</v>
      </c>
      <c r="X205" s="322">
        <v>46235</v>
      </c>
      <c r="Y205" s="322">
        <v>46237</v>
      </c>
      <c r="Z205" s="323" t="s">
        <v>40</v>
      </c>
      <c r="AA205" s="323" t="s">
        <v>422</v>
      </c>
      <c r="AB205" s="324">
        <v>0</v>
      </c>
      <c r="AC205" s="326">
        <v>46245</v>
      </c>
      <c r="AD205" s="326">
        <v>46250</v>
      </c>
      <c r="AE205" s="327" t="s">
        <v>40</v>
      </c>
      <c r="AF205" s="327" t="s">
        <v>422</v>
      </c>
      <c r="AG205" s="328">
        <v>0</v>
      </c>
      <c r="AH205" s="330">
        <v>46251</v>
      </c>
      <c r="AI205" s="330">
        <v>46254</v>
      </c>
      <c r="AJ205" s="331" t="s">
        <v>165</v>
      </c>
      <c r="AK205" s="331" t="s">
        <v>422</v>
      </c>
      <c r="AL205" s="332">
        <v>0</v>
      </c>
      <c r="AM205" s="310" t="s">
        <v>422</v>
      </c>
      <c r="AN205" s="310" t="s">
        <v>422</v>
      </c>
      <c r="AO205" s="310" t="s">
        <v>40</v>
      </c>
      <c r="AP205" s="472">
        <v>0</v>
      </c>
      <c r="AQ205" s="301"/>
    </row>
    <row r="206" spans="1:43">
      <c r="A206" s="306" t="s">
        <v>437</v>
      </c>
      <c r="B206" s="305" t="s">
        <v>658</v>
      </c>
      <c r="C206" s="305">
        <v>1</v>
      </c>
      <c r="D206" s="380">
        <v>46190</v>
      </c>
      <c r="E206" s="380">
        <v>46195</v>
      </c>
      <c r="F206" s="308" t="s">
        <v>40</v>
      </c>
      <c r="G206" s="308" t="s">
        <v>436</v>
      </c>
      <c r="H206" s="381">
        <v>0</v>
      </c>
      <c r="I206" s="311">
        <v>46216</v>
      </c>
      <c r="J206" s="311">
        <v>46221</v>
      </c>
      <c r="K206" s="310" t="s">
        <v>40</v>
      </c>
      <c r="L206" s="310" t="s">
        <v>422</v>
      </c>
      <c r="M206" s="312">
        <v>0</v>
      </c>
      <c r="N206" s="314">
        <v>46216</v>
      </c>
      <c r="O206" s="314">
        <v>46221</v>
      </c>
      <c r="P206" s="315" t="s">
        <v>40</v>
      </c>
      <c r="Q206" s="315" t="s">
        <v>422</v>
      </c>
      <c r="R206" s="316">
        <v>0</v>
      </c>
      <c r="S206" s="318">
        <v>46228</v>
      </c>
      <c r="T206" s="318">
        <v>46234</v>
      </c>
      <c r="U206" s="319" t="s">
        <v>40</v>
      </c>
      <c r="V206" s="319" t="s">
        <v>422</v>
      </c>
      <c r="W206" s="320">
        <v>0</v>
      </c>
      <c r="X206" s="322">
        <v>46235</v>
      </c>
      <c r="Y206" s="322">
        <v>46237</v>
      </c>
      <c r="Z206" s="323" t="s">
        <v>40</v>
      </c>
      <c r="AA206" s="323" t="s">
        <v>422</v>
      </c>
      <c r="AB206" s="324">
        <v>0</v>
      </c>
      <c r="AC206" s="326">
        <v>46245</v>
      </c>
      <c r="AD206" s="326">
        <v>46250</v>
      </c>
      <c r="AE206" s="327" t="s">
        <v>40</v>
      </c>
      <c r="AF206" s="327" t="s">
        <v>422</v>
      </c>
      <c r="AG206" s="328">
        <v>0</v>
      </c>
      <c r="AH206" s="330">
        <v>46251</v>
      </c>
      <c r="AI206" s="330">
        <v>46254</v>
      </c>
      <c r="AJ206" s="331" t="s">
        <v>165</v>
      </c>
      <c r="AK206" s="331" t="s">
        <v>422</v>
      </c>
      <c r="AL206" s="332">
        <v>0</v>
      </c>
      <c r="AM206" s="310" t="s">
        <v>422</v>
      </c>
      <c r="AN206" s="310" t="s">
        <v>422</v>
      </c>
      <c r="AO206" s="310" t="s">
        <v>40</v>
      </c>
      <c r="AP206" s="472">
        <v>0</v>
      </c>
      <c r="AQ206" s="301"/>
    </row>
    <row r="207" spans="1:43">
      <c r="A207" s="306" t="s">
        <v>437</v>
      </c>
      <c r="B207" s="305" t="s">
        <v>659</v>
      </c>
      <c r="C207" s="305">
        <v>1</v>
      </c>
      <c r="D207" s="380">
        <v>46190</v>
      </c>
      <c r="E207" s="380">
        <v>46195</v>
      </c>
      <c r="F207" s="308" t="s">
        <v>40</v>
      </c>
      <c r="G207" s="308" t="s">
        <v>436</v>
      </c>
      <c r="H207" s="381">
        <v>0</v>
      </c>
      <c r="I207" s="311">
        <v>46216</v>
      </c>
      <c r="J207" s="311">
        <v>46221</v>
      </c>
      <c r="K207" s="310" t="s">
        <v>40</v>
      </c>
      <c r="L207" s="310" t="s">
        <v>422</v>
      </c>
      <c r="M207" s="312">
        <v>0</v>
      </c>
      <c r="N207" s="314">
        <v>46216</v>
      </c>
      <c r="O207" s="314">
        <v>46221</v>
      </c>
      <c r="P207" s="315" t="s">
        <v>40</v>
      </c>
      <c r="Q207" s="315" t="s">
        <v>422</v>
      </c>
      <c r="R207" s="316">
        <v>0</v>
      </c>
      <c r="S207" s="318">
        <v>46228</v>
      </c>
      <c r="T207" s="318">
        <v>46234</v>
      </c>
      <c r="U207" s="319" t="s">
        <v>40</v>
      </c>
      <c r="V207" s="319" t="s">
        <v>422</v>
      </c>
      <c r="W207" s="320">
        <v>0</v>
      </c>
      <c r="X207" s="322">
        <v>46235</v>
      </c>
      <c r="Y207" s="322">
        <v>46237</v>
      </c>
      <c r="Z207" s="323" t="s">
        <v>40</v>
      </c>
      <c r="AA207" s="323" t="s">
        <v>422</v>
      </c>
      <c r="AB207" s="324">
        <v>0</v>
      </c>
      <c r="AC207" s="326">
        <v>46245</v>
      </c>
      <c r="AD207" s="326">
        <v>46250</v>
      </c>
      <c r="AE207" s="327" t="s">
        <v>40</v>
      </c>
      <c r="AF207" s="327" t="s">
        <v>422</v>
      </c>
      <c r="AG207" s="328">
        <v>0</v>
      </c>
      <c r="AH207" s="330">
        <v>46251</v>
      </c>
      <c r="AI207" s="330">
        <v>46254</v>
      </c>
      <c r="AJ207" s="331" t="s">
        <v>165</v>
      </c>
      <c r="AK207" s="331" t="s">
        <v>422</v>
      </c>
      <c r="AL207" s="332">
        <v>0</v>
      </c>
      <c r="AM207" s="310" t="s">
        <v>422</v>
      </c>
      <c r="AN207" s="310" t="s">
        <v>422</v>
      </c>
      <c r="AO207" s="310" t="s">
        <v>40</v>
      </c>
      <c r="AP207" s="472">
        <v>0</v>
      </c>
      <c r="AQ207" s="301"/>
    </row>
    <row r="208" spans="1:43">
      <c r="A208" s="306" t="s">
        <v>437</v>
      </c>
      <c r="B208" s="305" t="s">
        <v>660</v>
      </c>
      <c r="C208" s="305">
        <v>1</v>
      </c>
      <c r="D208" s="380">
        <v>46190</v>
      </c>
      <c r="E208" s="380">
        <v>46195</v>
      </c>
      <c r="F208" s="308" t="s">
        <v>40</v>
      </c>
      <c r="G208" s="308" t="s">
        <v>436</v>
      </c>
      <c r="H208" s="381">
        <v>0</v>
      </c>
      <c r="I208" s="311">
        <v>46216</v>
      </c>
      <c r="J208" s="311">
        <v>46221</v>
      </c>
      <c r="K208" s="310" t="s">
        <v>40</v>
      </c>
      <c r="L208" s="310" t="s">
        <v>422</v>
      </c>
      <c r="M208" s="312">
        <v>0</v>
      </c>
      <c r="N208" s="314">
        <v>46216</v>
      </c>
      <c r="O208" s="314">
        <v>46221</v>
      </c>
      <c r="P208" s="315" t="s">
        <v>40</v>
      </c>
      <c r="Q208" s="315" t="s">
        <v>422</v>
      </c>
      <c r="R208" s="316">
        <v>0</v>
      </c>
      <c r="S208" s="318">
        <v>46228</v>
      </c>
      <c r="T208" s="318">
        <v>46234</v>
      </c>
      <c r="U208" s="319" t="s">
        <v>40</v>
      </c>
      <c r="V208" s="319" t="s">
        <v>422</v>
      </c>
      <c r="W208" s="320">
        <v>0</v>
      </c>
      <c r="X208" s="322">
        <v>46235</v>
      </c>
      <c r="Y208" s="322">
        <v>46237</v>
      </c>
      <c r="Z208" s="323" t="s">
        <v>40</v>
      </c>
      <c r="AA208" s="323" t="s">
        <v>422</v>
      </c>
      <c r="AB208" s="324">
        <v>0</v>
      </c>
      <c r="AC208" s="326">
        <v>46245</v>
      </c>
      <c r="AD208" s="326">
        <v>46250</v>
      </c>
      <c r="AE208" s="327" t="s">
        <v>40</v>
      </c>
      <c r="AF208" s="327" t="s">
        <v>422</v>
      </c>
      <c r="AG208" s="328">
        <v>0</v>
      </c>
      <c r="AH208" s="330">
        <v>46251</v>
      </c>
      <c r="AI208" s="330">
        <v>46254</v>
      </c>
      <c r="AJ208" s="331" t="s">
        <v>165</v>
      </c>
      <c r="AK208" s="331" t="s">
        <v>422</v>
      </c>
      <c r="AL208" s="332">
        <v>0</v>
      </c>
      <c r="AM208" s="310" t="s">
        <v>422</v>
      </c>
      <c r="AN208" s="310" t="s">
        <v>422</v>
      </c>
      <c r="AO208" s="310" t="s">
        <v>40</v>
      </c>
      <c r="AP208" s="472">
        <v>0</v>
      </c>
      <c r="AQ208" s="301"/>
    </row>
    <row r="209" spans="1:43">
      <c r="A209" s="306" t="s">
        <v>437</v>
      </c>
      <c r="B209" s="305" t="s">
        <v>661</v>
      </c>
      <c r="C209" s="305">
        <v>1</v>
      </c>
      <c r="D209" s="380">
        <v>46190</v>
      </c>
      <c r="E209" s="380">
        <v>46195</v>
      </c>
      <c r="F209" s="308" t="s">
        <v>40</v>
      </c>
      <c r="G209" s="308" t="s">
        <v>436</v>
      </c>
      <c r="H209" s="381">
        <v>0</v>
      </c>
      <c r="I209" s="311">
        <v>46216</v>
      </c>
      <c r="J209" s="311">
        <v>46221</v>
      </c>
      <c r="K209" s="310" t="s">
        <v>40</v>
      </c>
      <c r="L209" s="310" t="s">
        <v>422</v>
      </c>
      <c r="M209" s="312">
        <v>0</v>
      </c>
      <c r="N209" s="314">
        <v>46216</v>
      </c>
      <c r="O209" s="314">
        <v>46221</v>
      </c>
      <c r="P209" s="315" t="s">
        <v>40</v>
      </c>
      <c r="Q209" s="315" t="s">
        <v>422</v>
      </c>
      <c r="R209" s="316">
        <v>0</v>
      </c>
      <c r="S209" s="318">
        <v>46228</v>
      </c>
      <c r="T209" s="318">
        <v>46234</v>
      </c>
      <c r="U209" s="319" t="s">
        <v>40</v>
      </c>
      <c r="V209" s="319" t="s">
        <v>422</v>
      </c>
      <c r="W209" s="320">
        <v>0</v>
      </c>
      <c r="X209" s="322">
        <v>46235</v>
      </c>
      <c r="Y209" s="322">
        <v>46237</v>
      </c>
      <c r="Z209" s="323" t="s">
        <v>40</v>
      </c>
      <c r="AA209" s="323" t="s">
        <v>422</v>
      </c>
      <c r="AB209" s="324">
        <v>0</v>
      </c>
      <c r="AC209" s="326">
        <v>46245</v>
      </c>
      <c r="AD209" s="326">
        <v>46250</v>
      </c>
      <c r="AE209" s="327" t="s">
        <v>40</v>
      </c>
      <c r="AF209" s="327" t="s">
        <v>422</v>
      </c>
      <c r="AG209" s="328">
        <v>0</v>
      </c>
      <c r="AH209" s="330">
        <v>46251</v>
      </c>
      <c r="AI209" s="330">
        <v>46254</v>
      </c>
      <c r="AJ209" s="331" t="s">
        <v>165</v>
      </c>
      <c r="AK209" s="331" t="s">
        <v>422</v>
      </c>
      <c r="AL209" s="332">
        <v>0</v>
      </c>
      <c r="AM209" s="310" t="s">
        <v>422</v>
      </c>
      <c r="AN209" s="310" t="s">
        <v>422</v>
      </c>
      <c r="AO209" s="310" t="s">
        <v>40</v>
      </c>
      <c r="AP209" s="472">
        <v>0</v>
      </c>
      <c r="AQ209" s="301"/>
    </row>
    <row r="210" spans="1:43">
      <c r="A210" s="306" t="s">
        <v>437</v>
      </c>
      <c r="B210" s="305" t="s">
        <v>662</v>
      </c>
      <c r="C210" s="305">
        <v>1</v>
      </c>
      <c r="D210" s="380">
        <v>46190</v>
      </c>
      <c r="E210" s="380">
        <v>46195</v>
      </c>
      <c r="F210" s="308" t="s">
        <v>40</v>
      </c>
      <c r="G210" s="308" t="s">
        <v>436</v>
      </c>
      <c r="H210" s="381">
        <v>0</v>
      </c>
      <c r="I210" s="311">
        <v>46216</v>
      </c>
      <c r="J210" s="311">
        <v>46221</v>
      </c>
      <c r="K210" s="310" t="s">
        <v>40</v>
      </c>
      <c r="L210" s="310" t="s">
        <v>422</v>
      </c>
      <c r="M210" s="312">
        <v>0</v>
      </c>
      <c r="N210" s="314">
        <v>46216</v>
      </c>
      <c r="O210" s="314">
        <v>46221</v>
      </c>
      <c r="P210" s="315" t="s">
        <v>40</v>
      </c>
      <c r="Q210" s="315" t="s">
        <v>422</v>
      </c>
      <c r="R210" s="316">
        <v>0</v>
      </c>
      <c r="S210" s="318">
        <v>46228</v>
      </c>
      <c r="T210" s="318">
        <v>46234</v>
      </c>
      <c r="U210" s="319" t="s">
        <v>40</v>
      </c>
      <c r="V210" s="319" t="s">
        <v>422</v>
      </c>
      <c r="W210" s="320">
        <v>0</v>
      </c>
      <c r="X210" s="322">
        <v>46235</v>
      </c>
      <c r="Y210" s="322">
        <v>46237</v>
      </c>
      <c r="Z210" s="323" t="s">
        <v>40</v>
      </c>
      <c r="AA210" s="323" t="s">
        <v>422</v>
      </c>
      <c r="AB210" s="324">
        <v>0</v>
      </c>
      <c r="AC210" s="326">
        <v>46245</v>
      </c>
      <c r="AD210" s="326">
        <v>46250</v>
      </c>
      <c r="AE210" s="327" t="s">
        <v>40</v>
      </c>
      <c r="AF210" s="327" t="s">
        <v>422</v>
      </c>
      <c r="AG210" s="328">
        <v>0</v>
      </c>
      <c r="AH210" s="330">
        <v>46251</v>
      </c>
      <c r="AI210" s="330">
        <v>46254</v>
      </c>
      <c r="AJ210" s="331" t="s">
        <v>165</v>
      </c>
      <c r="AK210" s="331" t="s">
        <v>422</v>
      </c>
      <c r="AL210" s="332">
        <v>0</v>
      </c>
      <c r="AM210" s="310" t="s">
        <v>422</v>
      </c>
      <c r="AN210" s="310" t="s">
        <v>422</v>
      </c>
      <c r="AO210" s="310" t="s">
        <v>40</v>
      </c>
      <c r="AP210" s="472">
        <v>0</v>
      </c>
      <c r="AQ210" s="301"/>
    </row>
    <row r="211" spans="1:43">
      <c r="A211" s="306" t="s">
        <v>437</v>
      </c>
      <c r="B211" s="305" t="s">
        <v>663</v>
      </c>
      <c r="C211" s="305">
        <v>1</v>
      </c>
      <c r="D211" s="380">
        <v>46190</v>
      </c>
      <c r="E211" s="380">
        <v>46195</v>
      </c>
      <c r="F211" s="308" t="s">
        <v>40</v>
      </c>
      <c r="G211" s="308" t="s">
        <v>436</v>
      </c>
      <c r="H211" s="381">
        <v>0</v>
      </c>
      <c r="I211" s="311">
        <v>46216</v>
      </c>
      <c r="J211" s="311">
        <v>46221</v>
      </c>
      <c r="K211" s="310" t="s">
        <v>40</v>
      </c>
      <c r="L211" s="310" t="s">
        <v>422</v>
      </c>
      <c r="M211" s="312">
        <v>0</v>
      </c>
      <c r="N211" s="314">
        <v>46216</v>
      </c>
      <c r="O211" s="314">
        <v>46221</v>
      </c>
      <c r="P211" s="315" t="s">
        <v>40</v>
      </c>
      <c r="Q211" s="315" t="s">
        <v>422</v>
      </c>
      <c r="R211" s="316">
        <v>0</v>
      </c>
      <c r="S211" s="318">
        <v>46228</v>
      </c>
      <c r="T211" s="318">
        <v>46234</v>
      </c>
      <c r="U211" s="319" t="s">
        <v>40</v>
      </c>
      <c r="V211" s="319" t="s">
        <v>422</v>
      </c>
      <c r="W211" s="320">
        <v>0</v>
      </c>
      <c r="X211" s="322">
        <v>46235</v>
      </c>
      <c r="Y211" s="322">
        <v>46237</v>
      </c>
      <c r="Z211" s="323" t="s">
        <v>40</v>
      </c>
      <c r="AA211" s="323" t="s">
        <v>422</v>
      </c>
      <c r="AB211" s="324">
        <v>0</v>
      </c>
      <c r="AC211" s="326">
        <v>46245</v>
      </c>
      <c r="AD211" s="326">
        <v>46250</v>
      </c>
      <c r="AE211" s="327" t="s">
        <v>40</v>
      </c>
      <c r="AF211" s="327" t="s">
        <v>422</v>
      </c>
      <c r="AG211" s="328">
        <v>0</v>
      </c>
      <c r="AH211" s="330">
        <v>46251</v>
      </c>
      <c r="AI211" s="330">
        <v>46254</v>
      </c>
      <c r="AJ211" s="331" t="s">
        <v>165</v>
      </c>
      <c r="AK211" s="331" t="s">
        <v>422</v>
      </c>
      <c r="AL211" s="332">
        <v>0</v>
      </c>
      <c r="AM211" s="310" t="s">
        <v>422</v>
      </c>
      <c r="AN211" s="310" t="s">
        <v>422</v>
      </c>
      <c r="AO211" s="310" t="s">
        <v>40</v>
      </c>
      <c r="AP211" s="472">
        <v>0</v>
      </c>
      <c r="AQ211" s="301"/>
    </row>
    <row r="212" spans="1:43">
      <c r="A212" s="306" t="s">
        <v>437</v>
      </c>
      <c r="B212" s="305" t="s">
        <v>664</v>
      </c>
      <c r="C212" s="305">
        <v>1</v>
      </c>
      <c r="D212" s="380">
        <v>46190</v>
      </c>
      <c r="E212" s="380">
        <v>46195</v>
      </c>
      <c r="F212" s="308" t="s">
        <v>40</v>
      </c>
      <c r="G212" s="308" t="s">
        <v>436</v>
      </c>
      <c r="H212" s="381">
        <v>0</v>
      </c>
      <c r="I212" s="311">
        <v>46216</v>
      </c>
      <c r="J212" s="311">
        <v>46221</v>
      </c>
      <c r="K212" s="310" t="s">
        <v>40</v>
      </c>
      <c r="L212" s="310" t="s">
        <v>422</v>
      </c>
      <c r="M212" s="312">
        <v>0</v>
      </c>
      <c r="N212" s="314">
        <v>46216</v>
      </c>
      <c r="O212" s="314">
        <v>46221</v>
      </c>
      <c r="P212" s="315" t="s">
        <v>40</v>
      </c>
      <c r="Q212" s="315" t="s">
        <v>422</v>
      </c>
      <c r="R212" s="316">
        <v>0</v>
      </c>
      <c r="S212" s="318">
        <v>46228</v>
      </c>
      <c r="T212" s="318">
        <v>46234</v>
      </c>
      <c r="U212" s="319" t="s">
        <v>40</v>
      </c>
      <c r="V212" s="319" t="s">
        <v>422</v>
      </c>
      <c r="W212" s="320">
        <v>0</v>
      </c>
      <c r="X212" s="322">
        <v>46235</v>
      </c>
      <c r="Y212" s="322">
        <v>46237</v>
      </c>
      <c r="Z212" s="323" t="s">
        <v>40</v>
      </c>
      <c r="AA212" s="323" t="s">
        <v>422</v>
      </c>
      <c r="AB212" s="324">
        <v>0</v>
      </c>
      <c r="AC212" s="326">
        <v>46245</v>
      </c>
      <c r="AD212" s="326">
        <v>46250</v>
      </c>
      <c r="AE212" s="327" t="s">
        <v>40</v>
      </c>
      <c r="AF212" s="327" t="s">
        <v>422</v>
      </c>
      <c r="AG212" s="328">
        <v>0</v>
      </c>
      <c r="AH212" s="330">
        <v>46251</v>
      </c>
      <c r="AI212" s="330">
        <v>46254</v>
      </c>
      <c r="AJ212" s="331" t="s">
        <v>165</v>
      </c>
      <c r="AK212" s="331" t="s">
        <v>422</v>
      </c>
      <c r="AL212" s="332">
        <v>0</v>
      </c>
      <c r="AM212" s="310" t="s">
        <v>422</v>
      </c>
      <c r="AN212" s="310" t="s">
        <v>422</v>
      </c>
      <c r="AO212" s="310" t="s">
        <v>40</v>
      </c>
      <c r="AP212" s="472">
        <v>0</v>
      </c>
      <c r="AQ212" s="301"/>
    </row>
    <row r="213" spans="1:43">
      <c r="A213" s="306" t="s">
        <v>437</v>
      </c>
      <c r="B213" s="305" t="s">
        <v>665</v>
      </c>
      <c r="C213" s="305">
        <v>1</v>
      </c>
      <c r="D213" s="380">
        <v>46190</v>
      </c>
      <c r="E213" s="380">
        <v>46195</v>
      </c>
      <c r="F213" s="308" t="s">
        <v>40</v>
      </c>
      <c r="G213" s="308" t="s">
        <v>436</v>
      </c>
      <c r="H213" s="381">
        <v>0</v>
      </c>
      <c r="I213" s="311">
        <v>46216</v>
      </c>
      <c r="J213" s="311">
        <v>46221</v>
      </c>
      <c r="K213" s="310" t="s">
        <v>40</v>
      </c>
      <c r="L213" s="310" t="s">
        <v>422</v>
      </c>
      <c r="M213" s="312">
        <v>0</v>
      </c>
      <c r="N213" s="314">
        <v>46216</v>
      </c>
      <c r="O213" s="314">
        <v>46221</v>
      </c>
      <c r="P213" s="315" t="s">
        <v>40</v>
      </c>
      <c r="Q213" s="315" t="s">
        <v>422</v>
      </c>
      <c r="R213" s="316">
        <v>0</v>
      </c>
      <c r="S213" s="318">
        <v>46228</v>
      </c>
      <c r="T213" s="318">
        <v>46234</v>
      </c>
      <c r="U213" s="319" t="s">
        <v>40</v>
      </c>
      <c r="V213" s="319" t="s">
        <v>422</v>
      </c>
      <c r="W213" s="320">
        <v>0</v>
      </c>
      <c r="X213" s="322">
        <v>46235</v>
      </c>
      <c r="Y213" s="322">
        <v>46237</v>
      </c>
      <c r="Z213" s="323" t="s">
        <v>40</v>
      </c>
      <c r="AA213" s="323" t="s">
        <v>422</v>
      </c>
      <c r="AB213" s="324">
        <v>0</v>
      </c>
      <c r="AC213" s="326">
        <v>46245</v>
      </c>
      <c r="AD213" s="326">
        <v>46250</v>
      </c>
      <c r="AE213" s="327" t="s">
        <v>40</v>
      </c>
      <c r="AF213" s="327" t="s">
        <v>422</v>
      </c>
      <c r="AG213" s="328">
        <v>0</v>
      </c>
      <c r="AH213" s="330">
        <v>46251</v>
      </c>
      <c r="AI213" s="330">
        <v>46254</v>
      </c>
      <c r="AJ213" s="331" t="s">
        <v>165</v>
      </c>
      <c r="AK213" s="331" t="s">
        <v>422</v>
      </c>
      <c r="AL213" s="332">
        <v>0</v>
      </c>
      <c r="AM213" s="310" t="s">
        <v>422</v>
      </c>
      <c r="AN213" s="310" t="s">
        <v>422</v>
      </c>
      <c r="AO213" s="310" t="s">
        <v>40</v>
      </c>
      <c r="AP213" s="472">
        <v>0</v>
      </c>
      <c r="AQ213" s="301"/>
    </row>
    <row r="214" spans="1:43">
      <c r="A214" s="306" t="s">
        <v>437</v>
      </c>
      <c r="B214" s="305" t="s">
        <v>666</v>
      </c>
      <c r="C214" s="305">
        <v>1</v>
      </c>
      <c r="D214" s="380">
        <v>46190</v>
      </c>
      <c r="E214" s="380">
        <v>46195</v>
      </c>
      <c r="F214" s="308" t="s">
        <v>40</v>
      </c>
      <c r="G214" s="308" t="s">
        <v>436</v>
      </c>
      <c r="H214" s="381">
        <v>0</v>
      </c>
      <c r="I214" s="311">
        <v>46216</v>
      </c>
      <c r="J214" s="311">
        <v>46221</v>
      </c>
      <c r="K214" s="310" t="s">
        <v>40</v>
      </c>
      <c r="L214" s="310" t="s">
        <v>422</v>
      </c>
      <c r="M214" s="312">
        <v>0</v>
      </c>
      <c r="N214" s="314">
        <v>46216</v>
      </c>
      <c r="O214" s="314">
        <v>46221</v>
      </c>
      <c r="P214" s="315" t="s">
        <v>40</v>
      </c>
      <c r="Q214" s="315" t="s">
        <v>422</v>
      </c>
      <c r="R214" s="316">
        <v>0</v>
      </c>
      <c r="S214" s="318">
        <v>46228</v>
      </c>
      <c r="T214" s="318">
        <v>46234</v>
      </c>
      <c r="U214" s="319" t="s">
        <v>40</v>
      </c>
      <c r="V214" s="319" t="s">
        <v>422</v>
      </c>
      <c r="W214" s="320">
        <v>0</v>
      </c>
      <c r="X214" s="322">
        <v>46235</v>
      </c>
      <c r="Y214" s="322">
        <v>46237</v>
      </c>
      <c r="Z214" s="323" t="s">
        <v>40</v>
      </c>
      <c r="AA214" s="323" t="s">
        <v>422</v>
      </c>
      <c r="AB214" s="324">
        <v>0</v>
      </c>
      <c r="AC214" s="326">
        <v>46245</v>
      </c>
      <c r="AD214" s="326">
        <v>46250</v>
      </c>
      <c r="AE214" s="327" t="s">
        <v>40</v>
      </c>
      <c r="AF214" s="327" t="s">
        <v>422</v>
      </c>
      <c r="AG214" s="328">
        <v>0</v>
      </c>
      <c r="AH214" s="330">
        <v>46251</v>
      </c>
      <c r="AI214" s="330">
        <v>46254</v>
      </c>
      <c r="AJ214" s="331" t="s">
        <v>165</v>
      </c>
      <c r="AK214" s="331" t="s">
        <v>422</v>
      </c>
      <c r="AL214" s="332">
        <v>0</v>
      </c>
      <c r="AM214" s="310" t="s">
        <v>422</v>
      </c>
      <c r="AN214" s="310" t="s">
        <v>422</v>
      </c>
      <c r="AO214" s="310" t="s">
        <v>40</v>
      </c>
      <c r="AP214" s="472">
        <v>0</v>
      </c>
      <c r="AQ214" s="301"/>
    </row>
    <row r="215" spans="1:43">
      <c r="A215" s="306" t="s">
        <v>437</v>
      </c>
      <c r="B215" s="305" t="s">
        <v>667</v>
      </c>
      <c r="C215" s="305">
        <v>1</v>
      </c>
      <c r="D215" s="380">
        <v>46190</v>
      </c>
      <c r="E215" s="380">
        <v>46195</v>
      </c>
      <c r="F215" s="308" t="s">
        <v>40</v>
      </c>
      <c r="G215" s="308" t="s">
        <v>436</v>
      </c>
      <c r="H215" s="381">
        <v>0</v>
      </c>
      <c r="I215" s="311">
        <v>46216</v>
      </c>
      <c r="J215" s="311">
        <v>46221</v>
      </c>
      <c r="K215" s="310" t="s">
        <v>40</v>
      </c>
      <c r="L215" s="310" t="s">
        <v>422</v>
      </c>
      <c r="M215" s="312">
        <v>0</v>
      </c>
      <c r="N215" s="314">
        <v>46216</v>
      </c>
      <c r="O215" s="314">
        <v>46221</v>
      </c>
      <c r="P215" s="315" t="s">
        <v>40</v>
      </c>
      <c r="Q215" s="315" t="s">
        <v>422</v>
      </c>
      <c r="R215" s="316">
        <v>0</v>
      </c>
      <c r="S215" s="318">
        <v>46228</v>
      </c>
      <c r="T215" s="318">
        <v>46234</v>
      </c>
      <c r="U215" s="319" t="s">
        <v>40</v>
      </c>
      <c r="V215" s="319" t="s">
        <v>422</v>
      </c>
      <c r="W215" s="320">
        <v>0</v>
      </c>
      <c r="X215" s="322">
        <v>46235</v>
      </c>
      <c r="Y215" s="322">
        <v>46237</v>
      </c>
      <c r="Z215" s="323" t="s">
        <v>40</v>
      </c>
      <c r="AA215" s="323" t="s">
        <v>422</v>
      </c>
      <c r="AB215" s="324">
        <v>0</v>
      </c>
      <c r="AC215" s="326">
        <v>46245</v>
      </c>
      <c r="AD215" s="326">
        <v>46250</v>
      </c>
      <c r="AE215" s="327" t="s">
        <v>40</v>
      </c>
      <c r="AF215" s="327" t="s">
        <v>422</v>
      </c>
      <c r="AG215" s="328">
        <v>0</v>
      </c>
      <c r="AH215" s="330">
        <v>46251</v>
      </c>
      <c r="AI215" s="330">
        <v>46254</v>
      </c>
      <c r="AJ215" s="331" t="s">
        <v>165</v>
      </c>
      <c r="AK215" s="331" t="s">
        <v>422</v>
      </c>
      <c r="AL215" s="332">
        <v>0</v>
      </c>
      <c r="AM215" s="310" t="s">
        <v>422</v>
      </c>
      <c r="AN215" s="310" t="s">
        <v>422</v>
      </c>
      <c r="AO215" s="310" t="s">
        <v>40</v>
      </c>
      <c r="AP215" s="472">
        <v>0</v>
      </c>
      <c r="AQ215" s="301"/>
    </row>
    <row r="216" spans="1:43">
      <c r="A216" s="306" t="s">
        <v>437</v>
      </c>
      <c r="B216" s="305" t="s">
        <v>668</v>
      </c>
      <c r="C216" s="305">
        <v>1</v>
      </c>
      <c r="D216" s="380">
        <v>46190</v>
      </c>
      <c r="E216" s="380">
        <v>46195</v>
      </c>
      <c r="F216" s="308" t="s">
        <v>40</v>
      </c>
      <c r="G216" s="308" t="s">
        <v>436</v>
      </c>
      <c r="H216" s="381">
        <v>0</v>
      </c>
      <c r="I216" s="311">
        <v>46216</v>
      </c>
      <c r="J216" s="311">
        <v>46221</v>
      </c>
      <c r="K216" s="310" t="s">
        <v>40</v>
      </c>
      <c r="L216" s="310" t="s">
        <v>422</v>
      </c>
      <c r="M216" s="312">
        <v>0</v>
      </c>
      <c r="N216" s="314">
        <v>46216</v>
      </c>
      <c r="O216" s="314">
        <v>46221</v>
      </c>
      <c r="P216" s="315" t="s">
        <v>40</v>
      </c>
      <c r="Q216" s="315" t="s">
        <v>422</v>
      </c>
      <c r="R216" s="316">
        <v>0</v>
      </c>
      <c r="S216" s="318">
        <v>46228</v>
      </c>
      <c r="T216" s="318">
        <v>46234</v>
      </c>
      <c r="U216" s="319" t="s">
        <v>40</v>
      </c>
      <c r="V216" s="319" t="s">
        <v>422</v>
      </c>
      <c r="W216" s="320">
        <v>0</v>
      </c>
      <c r="X216" s="322">
        <v>46235</v>
      </c>
      <c r="Y216" s="322">
        <v>46237</v>
      </c>
      <c r="Z216" s="323" t="s">
        <v>40</v>
      </c>
      <c r="AA216" s="323" t="s">
        <v>422</v>
      </c>
      <c r="AB216" s="324">
        <v>0</v>
      </c>
      <c r="AC216" s="326">
        <v>46245</v>
      </c>
      <c r="AD216" s="326">
        <v>46250</v>
      </c>
      <c r="AE216" s="327" t="s">
        <v>40</v>
      </c>
      <c r="AF216" s="327" t="s">
        <v>422</v>
      </c>
      <c r="AG216" s="328">
        <v>0</v>
      </c>
      <c r="AH216" s="330">
        <v>46251</v>
      </c>
      <c r="AI216" s="330">
        <v>46254</v>
      </c>
      <c r="AJ216" s="331" t="s">
        <v>165</v>
      </c>
      <c r="AK216" s="331" t="s">
        <v>422</v>
      </c>
      <c r="AL216" s="332">
        <v>0</v>
      </c>
      <c r="AM216" s="310" t="s">
        <v>422</v>
      </c>
      <c r="AN216" s="310" t="s">
        <v>422</v>
      </c>
      <c r="AO216" s="310" t="s">
        <v>40</v>
      </c>
      <c r="AP216" s="472">
        <v>0</v>
      </c>
      <c r="AQ216" s="301"/>
    </row>
    <row r="217" spans="1:43">
      <c r="A217" s="306" t="s">
        <v>437</v>
      </c>
      <c r="B217" s="305" t="s">
        <v>669</v>
      </c>
      <c r="C217" s="305">
        <v>1</v>
      </c>
      <c r="D217" s="380">
        <v>46190</v>
      </c>
      <c r="E217" s="380">
        <v>46195</v>
      </c>
      <c r="F217" s="308" t="s">
        <v>40</v>
      </c>
      <c r="G217" s="308" t="s">
        <v>436</v>
      </c>
      <c r="H217" s="381">
        <v>0</v>
      </c>
      <c r="I217" s="311">
        <v>46216</v>
      </c>
      <c r="J217" s="311">
        <v>46221</v>
      </c>
      <c r="K217" s="310" t="s">
        <v>40</v>
      </c>
      <c r="L217" s="310" t="s">
        <v>422</v>
      </c>
      <c r="M217" s="312">
        <v>0</v>
      </c>
      <c r="N217" s="314">
        <v>46216</v>
      </c>
      <c r="O217" s="314">
        <v>46221</v>
      </c>
      <c r="P217" s="315" t="s">
        <v>40</v>
      </c>
      <c r="Q217" s="315" t="s">
        <v>422</v>
      </c>
      <c r="R217" s="316">
        <v>0</v>
      </c>
      <c r="S217" s="318">
        <v>46228</v>
      </c>
      <c r="T217" s="318">
        <v>46234</v>
      </c>
      <c r="U217" s="319" t="s">
        <v>40</v>
      </c>
      <c r="V217" s="319" t="s">
        <v>422</v>
      </c>
      <c r="W217" s="320">
        <v>0</v>
      </c>
      <c r="X217" s="322">
        <v>46235</v>
      </c>
      <c r="Y217" s="322">
        <v>46237</v>
      </c>
      <c r="Z217" s="323" t="s">
        <v>40</v>
      </c>
      <c r="AA217" s="323" t="s">
        <v>422</v>
      </c>
      <c r="AB217" s="324">
        <v>0</v>
      </c>
      <c r="AC217" s="326">
        <v>46245</v>
      </c>
      <c r="AD217" s="326">
        <v>46250</v>
      </c>
      <c r="AE217" s="327" t="s">
        <v>40</v>
      </c>
      <c r="AF217" s="327" t="s">
        <v>422</v>
      </c>
      <c r="AG217" s="328">
        <v>0</v>
      </c>
      <c r="AH217" s="330">
        <v>46251</v>
      </c>
      <c r="AI217" s="330">
        <v>46254</v>
      </c>
      <c r="AJ217" s="331" t="s">
        <v>165</v>
      </c>
      <c r="AK217" s="331" t="s">
        <v>422</v>
      </c>
      <c r="AL217" s="332">
        <v>0</v>
      </c>
      <c r="AM217" s="310" t="s">
        <v>422</v>
      </c>
      <c r="AN217" s="310" t="s">
        <v>422</v>
      </c>
      <c r="AO217" s="310" t="s">
        <v>40</v>
      </c>
      <c r="AP217" s="472">
        <v>0</v>
      </c>
      <c r="AQ217" s="301"/>
    </row>
    <row r="218" spans="1:43">
      <c r="A218" s="471" t="s">
        <v>10</v>
      </c>
      <c r="B218" s="298" t="s">
        <v>422</v>
      </c>
      <c r="C218" s="298">
        <v>199</v>
      </c>
      <c r="D218" s="379" t="s">
        <v>422</v>
      </c>
      <c r="E218" s="379" t="s">
        <v>422</v>
      </c>
      <c r="F218" s="379" t="s">
        <v>422</v>
      </c>
      <c r="G218" s="379" t="s">
        <v>422</v>
      </c>
      <c r="H218" s="381">
        <v>0.22</v>
      </c>
      <c r="I218" s="462" t="s">
        <v>422</v>
      </c>
      <c r="J218" s="462" t="s">
        <v>422</v>
      </c>
      <c r="K218" s="462" t="s">
        <v>422</v>
      </c>
      <c r="L218" s="462" t="s">
        <v>422</v>
      </c>
      <c r="M218" s="312">
        <f>AVERAGE(M3:M217)</f>
        <v>0.24798994974874367</v>
      </c>
      <c r="N218" s="463" t="s">
        <v>422</v>
      </c>
      <c r="O218" s="463" t="s">
        <v>422</v>
      </c>
      <c r="P218" s="463" t="s">
        <v>422</v>
      </c>
      <c r="Q218" s="463" t="s">
        <v>422</v>
      </c>
      <c r="R218" s="316">
        <v>0.09</v>
      </c>
      <c r="S218" s="464" t="s">
        <v>422</v>
      </c>
      <c r="T218" s="464" t="s">
        <v>422</v>
      </c>
      <c r="U218" s="464" t="s">
        <v>422</v>
      </c>
      <c r="V218" s="464" t="s">
        <v>422</v>
      </c>
      <c r="W218" s="465">
        <v>0.06</v>
      </c>
      <c r="X218" s="466" t="s">
        <v>422</v>
      </c>
      <c r="Y218" s="466" t="s">
        <v>422</v>
      </c>
      <c r="Z218" s="466" t="s">
        <v>422</v>
      </c>
      <c r="AA218" s="466" t="s">
        <v>422</v>
      </c>
      <c r="AB218" s="467">
        <v>0.05</v>
      </c>
      <c r="AC218" s="364" t="s">
        <v>422</v>
      </c>
      <c r="AD218" s="364" t="s">
        <v>422</v>
      </c>
      <c r="AE218" s="364" t="s">
        <v>422</v>
      </c>
      <c r="AF218" s="364" t="s">
        <v>422</v>
      </c>
      <c r="AG218" s="468">
        <v>0</v>
      </c>
      <c r="AH218" s="331" t="s">
        <v>422</v>
      </c>
      <c r="AI218" s="331" t="s">
        <v>422</v>
      </c>
      <c r="AJ218" s="331" t="s">
        <v>422</v>
      </c>
      <c r="AK218" s="331" t="s">
        <v>422</v>
      </c>
      <c r="AL218" s="475">
        <v>0</v>
      </c>
      <c r="AM218" s="462" t="s">
        <v>422</v>
      </c>
      <c r="AN218" s="462" t="s">
        <v>422</v>
      </c>
      <c r="AO218" s="462" t="s">
        <v>422</v>
      </c>
      <c r="AP218" s="312">
        <v>0</v>
      </c>
      <c r="AQ218" s="301"/>
    </row>
    <row r="219" spans="1:43">
      <c r="A219" s="301"/>
      <c r="B219" s="301"/>
      <c r="C219" s="301"/>
      <c r="D219" s="301"/>
      <c r="E219" s="301"/>
      <c r="F219" s="301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  <c r="AA219" s="301"/>
      <c r="AB219" s="301"/>
      <c r="AC219" s="301"/>
      <c r="AD219" s="301"/>
      <c r="AE219" s="301"/>
      <c r="AF219" s="301"/>
      <c r="AG219" s="301"/>
      <c r="AH219" s="301"/>
      <c r="AI219" s="301"/>
      <c r="AJ219" s="301"/>
      <c r="AK219" s="301"/>
      <c r="AL219" s="301"/>
      <c r="AM219" s="301"/>
      <c r="AN219" s="301"/>
      <c r="AO219" s="301"/>
      <c r="AP219" s="301"/>
      <c r="AQ219" s="301"/>
    </row>
    <row r="220" spans="1:43" ht="18.75">
      <c r="A220" s="476" t="s">
        <v>228</v>
      </c>
      <c r="B220" s="301"/>
      <c r="C220" s="301"/>
      <c r="D220" s="301"/>
      <c r="E220" s="301"/>
      <c r="F220" s="301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  <c r="AA220" s="301"/>
      <c r="AB220" s="301"/>
      <c r="AC220" s="301"/>
      <c r="AD220" s="301"/>
      <c r="AE220" s="301"/>
      <c r="AF220" s="301"/>
      <c r="AG220" s="301"/>
      <c r="AH220" s="301"/>
      <c r="AI220" s="301"/>
      <c r="AJ220" s="301"/>
      <c r="AK220" s="301"/>
      <c r="AL220" s="301"/>
      <c r="AM220" s="301"/>
      <c r="AN220" s="301"/>
      <c r="AO220" s="301"/>
      <c r="AP220" s="301"/>
      <c r="AQ220" s="301"/>
    </row>
    <row r="221" spans="1:43">
      <c r="A221" s="477" t="s">
        <v>172</v>
      </c>
      <c r="B221" s="302" t="s">
        <v>173</v>
      </c>
      <c r="C221" s="302" t="s">
        <v>174</v>
      </c>
      <c r="D221" s="302" t="s">
        <v>34</v>
      </c>
      <c r="E221" s="302" t="s">
        <v>175</v>
      </c>
      <c r="F221" s="301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  <c r="AA221" s="301"/>
      <c r="AB221" s="301"/>
      <c r="AC221" s="301"/>
      <c r="AD221" s="301"/>
      <c r="AE221" s="301"/>
      <c r="AF221" s="301"/>
      <c r="AG221" s="301"/>
      <c r="AH221" s="301"/>
      <c r="AI221" s="301"/>
      <c r="AJ221" s="301"/>
      <c r="AK221" s="301"/>
      <c r="AL221" s="301"/>
      <c r="AM221" s="301"/>
      <c r="AN221" s="301"/>
      <c r="AO221" s="301"/>
      <c r="AP221" s="301"/>
      <c r="AQ221" s="301"/>
    </row>
    <row r="222" spans="1:43">
      <c r="A222" s="306" t="s">
        <v>176</v>
      </c>
      <c r="B222" s="303">
        <v>0.1</v>
      </c>
      <c r="C222" s="305">
        <f>199*B222</f>
        <v>19.900000000000002</v>
      </c>
      <c r="D222" s="305">
        <f>SUM(H3:H217)*0.1</f>
        <v>5.2650000000000006</v>
      </c>
      <c r="E222" s="303">
        <f>D222/C222</f>
        <v>0.26457286432160804</v>
      </c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  <c r="AA222" s="301"/>
      <c r="AB222" s="301"/>
      <c r="AC222" s="301"/>
      <c r="AD222" s="301"/>
      <c r="AE222" s="301"/>
      <c r="AF222" s="301"/>
      <c r="AG222" s="301"/>
      <c r="AH222" s="301"/>
      <c r="AI222" s="301"/>
      <c r="AJ222" s="301"/>
      <c r="AK222" s="301"/>
      <c r="AL222" s="301"/>
      <c r="AM222" s="301"/>
      <c r="AN222" s="301"/>
      <c r="AO222" s="301"/>
      <c r="AP222" s="301"/>
      <c r="AQ222" s="301"/>
    </row>
    <row r="223" spans="1:43">
      <c r="A223" s="478" t="s">
        <v>177</v>
      </c>
      <c r="B223" s="303">
        <v>0.3</v>
      </c>
      <c r="C223" s="305">
        <f t="shared" ref="C223:C228" si="0">199*B223</f>
        <v>59.699999999999996</v>
      </c>
      <c r="D223" s="305">
        <f>SUM(M3:M217)*0.3</f>
        <v>14.804999999999996</v>
      </c>
      <c r="E223" s="303">
        <f t="shared" ref="E223:E228" si="1">D223/C223</f>
        <v>0.24798994974874367</v>
      </c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1"/>
      <c r="AA223" s="301"/>
      <c r="AB223" s="301"/>
      <c r="AC223" s="301"/>
      <c r="AD223" s="301"/>
      <c r="AE223" s="301"/>
      <c r="AF223" s="301"/>
      <c r="AG223" s="301"/>
      <c r="AH223" s="301"/>
      <c r="AI223" s="301"/>
      <c r="AJ223" s="301"/>
      <c r="AK223" s="301"/>
      <c r="AL223" s="301"/>
      <c r="AM223" s="301"/>
      <c r="AN223" s="301"/>
      <c r="AO223" s="301"/>
      <c r="AP223" s="301"/>
      <c r="AQ223" s="301"/>
    </row>
    <row r="224" spans="1:43">
      <c r="A224" s="306" t="s">
        <v>178</v>
      </c>
      <c r="B224" s="303">
        <v>0.1</v>
      </c>
      <c r="C224" s="305">
        <f t="shared" si="0"/>
        <v>19.900000000000002</v>
      </c>
      <c r="D224" s="305">
        <f>SUM(R3:R217)*0.1</f>
        <v>2.0500000000000003</v>
      </c>
      <c r="E224" s="303">
        <f t="shared" si="1"/>
        <v>0.10301507537688442</v>
      </c>
      <c r="F224" s="301"/>
      <c r="G224" s="301"/>
      <c r="H224" s="301"/>
      <c r="I224" s="301"/>
      <c r="J224" s="301"/>
      <c r="K224" s="301"/>
      <c r="L224" s="301"/>
      <c r="M224" s="448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1"/>
      <c r="AA224" s="301"/>
      <c r="AB224" s="301"/>
      <c r="AC224" s="301"/>
      <c r="AD224" s="301"/>
      <c r="AE224" s="301"/>
      <c r="AF224" s="301"/>
      <c r="AG224" s="301"/>
      <c r="AH224" s="301"/>
      <c r="AI224" s="301"/>
      <c r="AJ224" s="301"/>
      <c r="AK224" s="301"/>
      <c r="AL224" s="301"/>
      <c r="AM224" s="301"/>
      <c r="AN224" s="301"/>
      <c r="AO224" s="301"/>
      <c r="AP224" s="301"/>
      <c r="AQ224" s="301"/>
    </row>
    <row r="225" spans="1:43">
      <c r="A225" s="306" t="s">
        <v>161</v>
      </c>
      <c r="B225" s="303">
        <v>0.2</v>
      </c>
      <c r="C225" s="305">
        <f t="shared" si="0"/>
        <v>39.800000000000004</v>
      </c>
      <c r="D225" s="305">
        <f>SUM(W3:W217)*0.2</f>
        <v>2.8000000000000007</v>
      </c>
      <c r="E225" s="303">
        <f t="shared" si="1"/>
        <v>7.0351758793969862E-2</v>
      </c>
      <c r="F225" s="301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  <c r="AA225" s="301"/>
      <c r="AB225" s="301"/>
      <c r="AC225" s="301"/>
      <c r="AD225" s="301"/>
      <c r="AE225" s="301"/>
      <c r="AF225" s="301"/>
      <c r="AG225" s="301"/>
      <c r="AH225" s="301"/>
      <c r="AI225" s="301"/>
      <c r="AJ225" s="301"/>
      <c r="AK225" s="301"/>
      <c r="AL225" s="301"/>
      <c r="AM225" s="301"/>
      <c r="AN225" s="301"/>
      <c r="AO225" s="301"/>
      <c r="AP225" s="301"/>
      <c r="AQ225" s="301"/>
    </row>
    <row r="226" spans="1:43">
      <c r="A226" s="306" t="s">
        <v>162</v>
      </c>
      <c r="B226" s="303">
        <v>0.05</v>
      </c>
      <c r="C226" s="305">
        <f t="shared" si="0"/>
        <v>9.9500000000000011</v>
      </c>
      <c r="D226" s="305">
        <f>SUM(AB3:AB217)*0.05</f>
        <v>0.45</v>
      </c>
      <c r="E226" s="303">
        <f t="shared" si="1"/>
        <v>4.5226130653266326E-2</v>
      </c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  <c r="AA226" s="301"/>
      <c r="AB226" s="301"/>
      <c r="AC226" s="301"/>
      <c r="AD226" s="301"/>
      <c r="AE226" s="301"/>
      <c r="AF226" s="301"/>
      <c r="AG226" s="301"/>
      <c r="AH226" s="301"/>
      <c r="AI226" s="301"/>
      <c r="AJ226" s="301"/>
      <c r="AK226" s="301"/>
      <c r="AL226" s="301"/>
      <c r="AM226" s="301"/>
      <c r="AN226" s="301"/>
      <c r="AO226" s="301"/>
      <c r="AP226" s="301"/>
      <c r="AQ226" s="301"/>
    </row>
    <row r="227" spans="1:43">
      <c r="A227" s="306" t="s">
        <v>163</v>
      </c>
      <c r="B227" s="303">
        <v>0.2</v>
      </c>
      <c r="C227" s="305">
        <f t="shared" si="0"/>
        <v>39.800000000000004</v>
      </c>
      <c r="D227" s="305">
        <f>SUM(AG3:AG217)*0.2</f>
        <v>1.6200000000000003</v>
      </c>
      <c r="E227" s="303">
        <f t="shared" si="1"/>
        <v>4.0703517587939705E-2</v>
      </c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  <c r="AA227" s="301"/>
      <c r="AB227" s="301"/>
      <c r="AC227" s="301"/>
      <c r="AD227" s="301"/>
      <c r="AE227" s="301"/>
      <c r="AF227" s="301"/>
      <c r="AG227" s="301"/>
      <c r="AH227" s="301"/>
      <c r="AI227" s="301"/>
      <c r="AJ227" s="301"/>
      <c r="AK227" s="301"/>
      <c r="AL227" s="301"/>
      <c r="AM227" s="301"/>
      <c r="AN227" s="301"/>
      <c r="AO227" s="301"/>
      <c r="AP227" s="301"/>
      <c r="AQ227" s="301"/>
    </row>
    <row r="228" spans="1:43">
      <c r="A228" s="306" t="s">
        <v>164</v>
      </c>
      <c r="B228" s="303">
        <v>0.05</v>
      </c>
      <c r="C228" s="305">
        <f t="shared" si="0"/>
        <v>9.9500000000000011</v>
      </c>
      <c r="D228" s="305">
        <f>SUM(AL3:AL217)*0.05</f>
        <v>0.1</v>
      </c>
      <c r="E228" s="303">
        <f t="shared" si="1"/>
        <v>1.0050251256281407E-2</v>
      </c>
      <c r="F228" s="301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1"/>
      <c r="AA228" s="301"/>
      <c r="AB228" s="301"/>
      <c r="AC228" s="301"/>
      <c r="AD228" s="301"/>
      <c r="AE228" s="301"/>
      <c r="AF228" s="301"/>
      <c r="AG228" s="301"/>
      <c r="AH228" s="301"/>
      <c r="AI228" s="301"/>
      <c r="AJ228" s="301"/>
      <c r="AK228" s="301"/>
      <c r="AL228" s="301"/>
      <c r="AM228" s="301"/>
      <c r="AN228" s="301"/>
      <c r="AO228" s="301"/>
      <c r="AP228" s="301"/>
      <c r="AQ228" s="301"/>
    </row>
    <row r="229" spans="1:43">
      <c r="A229" s="471" t="s">
        <v>179</v>
      </c>
      <c r="B229" s="304">
        <v>1</v>
      </c>
      <c r="C229" s="298">
        <f>SUM(C222:C228)</f>
        <v>199</v>
      </c>
      <c r="D229" s="298">
        <f>SUM(D222:D228)</f>
        <v>27.09</v>
      </c>
      <c r="E229" s="304">
        <f>D229/C229</f>
        <v>0.13613065326633167</v>
      </c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  <c r="AA229" s="301"/>
      <c r="AB229" s="301"/>
      <c r="AC229" s="301"/>
      <c r="AD229" s="301"/>
      <c r="AE229" s="301"/>
      <c r="AF229" s="301"/>
      <c r="AG229" s="301"/>
      <c r="AH229" s="301"/>
      <c r="AI229" s="301"/>
      <c r="AJ229" s="301"/>
      <c r="AK229" s="301"/>
      <c r="AL229" s="301"/>
      <c r="AM229" s="301"/>
      <c r="AN229" s="301"/>
      <c r="AO229" s="301"/>
      <c r="AP229" s="301"/>
      <c r="AQ229" s="301"/>
    </row>
  </sheetData>
  <autoFilter ref="A2:AQ218" xr:uid="{6086E5A8-C5D9-41A2-BB0C-CEB542E8A6DA}"/>
  <mergeCells count="8">
    <mergeCell ref="AM1:AP1"/>
    <mergeCell ref="D1:H1"/>
    <mergeCell ref="N1:R1"/>
    <mergeCell ref="S1:W1"/>
    <mergeCell ref="X1:AB1"/>
    <mergeCell ref="AC1:AG1"/>
    <mergeCell ref="AH1:AL1"/>
    <mergeCell ref="I1:M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1793-63D4-4EFE-838E-1A4CA4CFF3A6}">
  <dimension ref="A1:AQ413"/>
  <sheetViews>
    <sheetView zoomScale="90" zoomScaleNormal="90" workbookViewId="0">
      <pane xSplit="3" ySplit="2" topLeftCell="Y16" activePane="bottomRight" state="frozen"/>
      <selection pane="bottomRight" activeCell="G23" sqref="G23"/>
      <selection pane="bottomLeft" activeCell="A3" sqref="A3"/>
      <selection pane="topRight" activeCell="D1" sqref="D1"/>
    </sheetView>
  </sheetViews>
  <sheetFormatPr defaultColWidth="8.7109375" defaultRowHeight="14.45"/>
  <cols>
    <col min="1" max="1" width="16.42578125" style="2" customWidth="1"/>
    <col min="2" max="2" width="16.42578125" style="127" bestFit="1" customWidth="1"/>
    <col min="3" max="3" width="13.85546875" style="127" bestFit="1" customWidth="1"/>
    <col min="4" max="5" width="15.5703125" style="2" customWidth="1"/>
    <col min="6" max="6" width="15.5703125" style="127" customWidth="1"/>
    <col min="7" max="7" width="33.5703125" style="127" bestFit="1" customWidth="1"/>
    <col min="8" max="8" width="15.5703125" style="11" customWidth="1"/>
    <col min="9" max="9" width="15.5703125" style="2" customWidth="1"/>
    <col min="10" max="11" width="15.5703125" style="127" customWidth="1"/>
    <col min="12" max="12" width="52.28515625" style="11" bestFit="1" customWidth="1"/>
    <col min="13" max="16" width="15.5703125" style="127" customWidth="1"/>
    <col min="17" max="17" width="32.140625" style="127" customWidth="1"/>
    <col min="18" max="21" width="15.5703125" style="127" customWidth="1"/>
    <col min="22" max="22" width="33.28515625" style="127" customWidth="1"/>
    <col min="23" max="26" width="15.5703125" style="127" customWidth="1"/>
    <col min="27" max="27" width="31" style="127" customWidth="1"/>
    <col min="28" max="31" width="15.5703125" style="127" customWidth="1"/>
    <col min="32" max="32" width="31.7109375" style="127" customWidth="1"/>
    <col min="33" max="36" width="15.5703125" style="127" customWidth="1"/>
    <col min="37" max="37" width="35.42578125" style="334" customWidth="1"/>
    <col min="38" max="38" width="15.5703125" style="127" customWidth="1"/>
    <col min="39" max="42" width="15.5703125" style="2" hidden="1" customWidth="1"/>
    <col min="43" max="16384" width="8.7109375" style="2"/>
  </cols>
  <sheetData>
    <row r="1" spans="1:43" ht="18.600000000000001">
      <c r="A1" s="135" t="s">
        <v>1</v>
      </c>
      <c r="B1" s="297" t="s">
        <v>25</v>
      </c>
      <c r="C1" s="297" t="s">
        <v>26</v>
      </c>
      <c r="D1" s="530" t="s">
        <v>180</v>
      </c>
      <c r="E1" s="531"/>
      <c r="F1" s="481"/>
      <c r="G1" s="531"/>
      <c r="H1" s="532"/>
      <c r="I1" s="502" t="s">
        <v>181</v>
      </c>
      <c r="J1" s="498"/>
      <c r="K1" s="498"/>
      <c r="L1" s="503"/>
      <c r="M1" s="499"/>
      <c r="N1" s="483" t="s">
        <v>182</v>
      </c>
      <c r="O1" s="484"/>
      <c r="P1" s="484"/>
      <c r="Q1" s="484"/>
      <c r="R1" s="485"/>
      <c r="S1" s="486" t="s">
        <v>183</v>
      </c>
      <c r="T1" s="486"/>
      <c r="U1" s="486"/>
      <c r="V1" s="486"/>
      <c r="W1" s="487"/>
      <c r="X1" s="488" t="s">
        <v>184</v>
      </c>
      <c r="Y1" s="489"/>
      <c r="Z1" s="489"/>
      <c r="AA1" s="489"/>
      <c r="AB1" s="490"/>
      <c r="AC1" s="491" t="s">
        <v>421</v>
      </c>
      <c r="AD1" s="492"/>
      <c r="AE1" s="492"/>
      <c r="AF1" s="492"/>
      <c r="AG1" s="493"/>
      <c r="AH1" s="494" t="s">
        <v>229</v>
      </c>
      <c r="AI1" s="495"/>
      <c r="AJ1" s="495"/>
      <c r="AK1" s="529"/>
      <c r="AL1" s="496"/>
      <c r="AM1" s="544" t="s">
        <v>166</v>
      </c>
      <c r="AN1" s="544"/>
      <c r="AO1" s="544"/>
      <c r="AP1" s="545"/>
      <c r="AQ1" s="1"/>
    </row>
    <row r="2" spans="1:43" ht="15.95">
      <c r="A2" s="137" t="s">
        <v>422</v>
      </c>
      <c r="B2" s="298" t="s">
        <v>422</v>
      </c>
      <c r="C2" s="298" t="s">
        <v>422</v>
      </c>
      <c r="D2" s="285" t="s">
        <v>28</v>
      </c>
      <c r="E2" s="285" t="s">
        <v>29</v>
      </c>
      <c r="F2" s="307" t="s">
        <v>30</v>
      </c>
      <c r="G2" s="307" t="s">
        <v>187</v>
      </c>
      <c r="H2" s="285" t="s">
        <v>31</v>
      </c>
      <c r="I2" s="286" t="s">
        <v>28</v>
      </c>
      <c r="J2" s="309" t="s">
        <v>29</v>
      </c>
      <c r="K2" s="309" t="s">
        <v>30</v>
      </c>
      <c r="L2" s="286" t="s">
        <v>187</v>
      </c>
      <c r="M2" s="309" t="s">
        <v>31</v>
      </c>
      <c r="N2" s="313" t="s">
        <v>28</v>
      </c>
      <c r="O2" s="313" t="s">
        <v>29</v>
      </c>
      <c r="P2" s="313" t="s">
        <v>30</v>
      </c>
      <c r="Q2" s="313" t="s">
        <v>187</v>
      </c>
      <c r="R2" s="313" t="s">
        <v>31</v>
      </c>
      <c r="S2" s="317" t="s">
        <v>28</v>
      </c>
      <c r="T2" s="317" t="s">
        <v>29</v>
      </c>
      <c r="U2" s="317" t="s">
        <v>30</v>
      </c>
      <c r="V2" s="317" t="s">
        <v>187</v>
      </c>
      <c r="W2" s="317" t="s">
        <v>31</v>
      </c>
      <c r="X2" s="321" t="s">
        <v>28</v>
      </c>
      <c r="Y2" s="321" t="s">
        <v>29</v>
      </c>
      <c r="Z2" s="321" t="s">
        <v>30</v>
      </c>
      <c r="AA2" s="321" t="s">
        <v>187</v>
      </c>
      <c r="AB2" s="321" t="s">
        <v>31</v>
      </c>
      <c r="AC2" s="325" t="s">
        <v>28</v>
      </c>
      <c r="AD2" s="325" t="s">
        <v>29</v>
      </c>
      <c r="AE2" s="325" t="s">
        <v>30</v>
      </c>
      <c r="AF2" s="325" t="s">
        <v>187</v>
      </c>
      <c r="AG2" s="325" t="s">
        <v>31</v>
      </c>
      <c r="AH2" s="329" t="s">
        <v>28</v>
      </c>
      <c r="AI2" s="329" t="s">
        <v>29</v>
      </c>
      <c r="AJ2" s="329" t="s">
        <v>30</v>
      </c>
      <c r="AK2" s="329" t="s">
        <v>187</v>
      </c>
      <c r="AL2" s="329" t="s">
        <v>31</v>
      </c>
      <c r="AM2" s="145" t="s">
        <v>28</v>
      </c>
      <c r="AN2" s="145" t="s">
        <v>29</v>
      </c>
      <c r="AO2" s="145" t="s">
        <v>30</v>
      </c>
      <c r="AP2" s="145" t="s">
        <v>31</v>
      </c>
      <c r="AQ2" s="1"/>
    </row>
    <row r="3" spans="1:43">
      <c r="A3" s="292" t="s">
        <v>670</v>
      </c>
      <c r="B3" s="299" t="s">
        <v>671</v>
      </c>
      <c r="C3" s="299">
        <v>1</v>
      </c>
      <c r="D3" s="149">
        <v>46195</v>
      </c>
      <c r="E3" s="149">
        <v>46200</v>
      </c>
      <c r="F3" s="308" t="s">
        <v>40</v>
      </c>
      <c r="G3" s="340" t="s">
        <v>479</v>
      </c>
      <c r="H3" s="372">
        <v>0</v>
      </c>
      <c r="I3" s="169">
        <v>46201</v>
      </c>
      <c r="J3" s="311">
        <v>46209</v>
      </c>
      <c r="K3" s="335" t="s">
        <v>40</v>
      </c>
      <c r="L3" s="345" t="s">
        <v>40</v>
      </c>
      <c r="M3" s="312">
        <v>0</v>
      </c>
      <c r="N3" s="314">
        <v>46219</v>
      </c>
      <c r="O3" s="314">
        <v>46231</v>
      </c>
      <c r="P3" s="315" t="s">
        <v>40</v>
      </c>
      <c r="Q3" s="336" t="s">
        <v>40</v>
      </c>
      <c r="R3" s="316">
        <v>0</v>
      </c>
      <c r="S3" s="318">
        <v>46232</v>
      </c>
      <c r="T3" s="318">
        <v>46238</v>
      </c>
      <c r="U3" s="319" t="s">
        <v>40</v>
      </c>
      <c r="V3" s="337" t="s">
        <v>40</v>
      </c>
      <c r="W3" s="320">
        <v>0</v>
      </c>
      <c r="X3" s="322">
        <v>46247</v>
      </c>
      <c r="Y3" s="322">
        <v>46249</v>
      </c>
      <c r="Z3" s="323" t="s">
        <v>40</v>
      </c>
      <c r="AA3" s="338" t="s">
        <v>40</v>
      </c>
      <c r="AB3" s="324">
        <v>0</v>
      </c>
      <c r="AC3" s="326">
        <v>46250</v>
      </c>
      <c r="AD3" s="326">
        <v>46257</v>
      </c>
      <c r="AE3" s="327" t="s">
        <v>40</v>
      </c>
      <c r="AF3" s="339" t="s">
        <v>40</v>
      </c>
      <c r="AG3" s="328">
        <v>0</v>
      </c>
      <c r="AH3" s="330">
        <v>46266</v>
      </c>
      <c r="AI3" s="330">
        <v>46269</v>
      </c>
      <c r="AJ3" s="331" t="s">
        <v>165</v>
      </c>
      <c r="AK3" s="333" t="s">
        <v>40</v>
      </c>
      <c r="AL3" s="332">
        <v>0</v>
      </c>
      <c r="AM3" s="169">
        <v>46332</v>
      </c>
      <c r="AN3" s="169">
        <v>46338</v>
      </c>
      <c r="AO3" s="168" t="s">
        <v>40</v>
      </c>
      <c r="AP3" s="170">
        <v>0</v>
      </c>
      <c r="AQ3"/>
    </row>
    <row r="4" spans="1:43">
      <c r="A4" s="292" t="s">
        <v>670</v>
      </c>
      <c r="B4" s="299" t="s">
        <v>672</v>
      </c>
      <c r="C4" s="299">
        <v>1</v>
      </c>
      <c r="D4" s="149">
        <v>46195</v>
      </c>
      <c r="E4" s="149">
        <v>46200</v>
      </c>
      <c r="F4" s="308" t="s">
        <v>40</v>
      </c>
      <c r="G4" s="340"/>
      <c r="H4" s="372">
        <v>1</v>
      </c>
      <c r="I4" s="169">
        <v>46201</v>
      </c>
      <c r="J4" s="311">
        <v>46209</v>
      </c>
      <c r="K4" s="310" t="s">
        <v>40</v>
      </c>
      <c r="L4" s="345"/>
      <c r="M4" s="312">
        <v>1</v>
      </c>
      <c r="N4" s="314">
        <v>46219</v>
      </c>
      <c r="O4" s="314">
        <v>46231</v>
      </c>
      <c r="P4" s="315" t="s">
        <v>40</v>
      </c>
      <c r="Q4" s="336" t="s">
        <v>40</v>
      </c>
      <c r="R4" s="316">
        <v>0</v>
      </c>
      <c r="S4" s="318">
        <v>46232</v>
      </c>
      <c r="T4" s="318">
        <v>46238</v>
      </c>
      <c r="U4" s="319" t="s">
        <v>40</v>
      </c>
      <c r="V4" s="337" t="s">
        <v>40</v>
      </c>
      <c r="W4" s="320">
        <v>0</v>
      </c>
      <c r="X4" s="322">
        <v>46247</v>
      </c>
      <c r="Y4" s="322">
        <v>46249</v>
      </c>
      <c r="Z4" s="323" t="s">
        <v>40</v>
      </c>
      <c r="AA4" s="338" t="s">
        <v>40</v>
      </c>
      <c r="AB4" s="324">
        <v>0</v>
      </c>
      <c r="AC4" s="326">
        <v>46250</v>
      </c>
      <c r="AD4" s="326">
        <v>46257</v>
      </c>
      <c r="AE4" s="327" t="s">
        <v>40</v>
      </c>
      <c r="AF4" s="339" t="s">
        <v>40</v>
      </c>
      <c r="AG4" s="328">
        <v>0</v>
      </c>
      <c r="AH4" s="330">
        <v>46266</v>
      </c>
      <c r="AI4" s="330">
        <v>46269</v>
      </c>
      <c r="AJ4" s="331" t="s">
        <v>165</v>
      </c>
      <c r="AK4" s="333" t="s">
        <v>40</v>
      </c>
      <c r="AL4" s="332">
        <v>0</v>
      </c>
      <c r="AM4" s="169">
        <v>46332</v>
      </c>
      <c r="AN4" s="169">
        <v>46338</v>
      </c>
      <c r="AO4" s="168" t="s">
        <v>40</v>
      </c>
      <c r="AP4" s="170">
        <v>0</v>
      </c>
      <c r="AQ4"/>
    </row>
    <row r="5" spans="1:43">
      <c r="A5" s="292" t="s">
        <v>670</v>
      </c>
      <c r="B5" s="299" t="s">
        <v>673</v>
      </c>
      <c r="C5" s="299">
        <v>1</v>
      </c>
      <c r="D5" s="149">
        <v>46195</v>
      </c>
      <c r="E5" s="149">
        <v>46200</v>
      </c>
      <c r="F5" s="341" t="s">
        <v>40</v>
      </c>
      <c r="G5" s="340" t="s">
        <v>674</v>
      </c>
      <c r="H5" s="372">
        <v>0</v>
      </c>
      <c r="I5" s="169">
        <v>46201</v>
      </c>
      <c r="J5" s="342">
        <v>46209</v>
      </c>
      <c r="K5" s="344" t="s">
        <v>40</v>
      </c>
      <c r="L5" s="345" t="s">
        <v>675</v>
      </c>
      <c r="M5" s="346">
        <v>0</v>
      </c>
      <c r="N5" s="347">
        <v>46219</v>
      </c>
      <c r="O5" s="347">
        <v>46231</v>
      </c>
      <c r="P5" s="349" t="s">
        <v>40</v>
      </c>
      <c r="Q5" s="374" t="s">
        <v>676</v>
      </c>
      <c r="R5" s="350">
        <v>0</v>
      </c>
      <c r="S5" s="352">
        <v>46232</v>
      </c>
      <c r="T5" s="352">
        <v>46238</v>
      </c>
      <c r="U5" s="354" t="s">
        <v>40</v>
      </c>
      <c r="V5" s="376" t="s">
        <v>676</v>
      </c>
      <c r="W5" s="355">
        <v>0</v>
      </c>
      <c r="X5" s="357">
        <v>46247</v>
      </c>
      <c r="Y5" s="357">
        <v>46249</v>
      </c>
      <c r="Z5" s="359" t="s">
        <v>40</v>
      </c>
      <c r="AA5" s="377" t="s">
        <v>676</v>
      </c>
      <c r="AB5" s="360">
        <v>0</v>
      </c>
      <c r="AC5" s="362">
        <v>46250</v>
      </c>
      <c r="AD5" s="326">
        <v>46257</v>
      </c>
      <c r="AE5" s="327" t="s">
        <v>40</v>
      </c>
      <c r="AF5" s="378" t="s">
        <v>676</v>
      </c>
      <c r="AG5" s="366">
        <v>0</v>
      </c>
      <c r="AH5" s="368">
        <v>46266</v>
      </c>
      <c r="AI5" s="368">
        <v>46269</v>
      </c>
      <c r="AJ5" s="369" t="s">
        <v>165</v>
      </c>
      <c r="AK5" s="373" t="s">
        <v>674</v>
      </c>
      <c r="AL5" s="370">
        <v>0</v>
      </c>
      <c r="AM5" s="169">
        <v>46332</v>
      </c>
      <c r="AN5" s="169">
        <v>46338</v>
      </c>
      <c r="AO5" s="168" t="s">
        <v>40</v>
      </c>
      <c r="AP5" s="170">
        <v>0</v>
      </c>
      <c r="AQ5"/>
    </row>
    <row r="6" spans="1:43">
      <c r="A6" s="292" t="s">
        <v>670</v>
      </c>
      <c r="B6" s="299" t="s">
        <v>677</v>
      </c>
      <c r="C6" s="299">
        <v>1</v>
      </c>
      <c r="D6" s="149">
        <v>46195</v>
      </c>
      <c r="E6" s="149">
        <v>46200</v>
      </c>
      <c r="F6" s="341" t="s">
        <v>40</v>
      </c>
      <c r="G6" s="340" t="s">
        <v>674</v>
      </c>
      <c r="H6" s="372">
        <v>0</v>
      </c>
      <c r="I6" s="169">
        <v>46201</v>
      </c>
      <c r="J6" s="342">
        <v>46209</v>
      </c>
      <c r="K6" s="344" t="s">
        <v>40</v>
      </c>
      <c r="L6" s="345" t="s">
        <v>675</v>
      </c>
      <c r="M6" s="346">
        <v>0</v>
      </c>
      <c r="N6" s="347">
        <v>46219</v>
      </c>
      <c r="O6" s="347">
        <v>46231</v>
      </c>
      <c r="P6" s="349" t="s">
        <v>40</v>
      </c>
      <c r="Q6" s="374" t="s">
        <v>676</v>
      </c>
      <c r="R6" s="350">
        <v>0</v>
      </c>
      <c r="S6" s="352">
        <v>46232</v>
      </c>
      <c r="T6" s="352">
        <v>46238</v>
      </c>
      <c r="U6" s="354" t="s">
        <v>40</v>
      </c>
      <c r="V6" s="376" t="s">
        <v>676</v>
      </c>
      <c r="W6" s="355">
        <v>0</v>
      </c>
      <c r="X6" s="357">
        <v>46247</v>
      </c>
      <c r="Y6" s="357">
        <v>46249</v>
      </c>
      <c r="Z6" s="359" t="s">
        <v>40</v>
      </c>
      <c r="AA6" s="377" t="s">
        <v>676</v>
      </c>
      <c r="AB6" s="360">
        <v>0</v>
      </c>
      <c r="AC6" s="362">
        <v>46250</v>
      </c>
      <c r="AD6" s="326">
        <v>46257</v>
      </c>
      <c r="AE6" s="327" t="s">
        <v>40</v>
      </c>
      <c r="AF6" s="378" t="s">
        <v>676</v>
      </c>
      <c r="AG6" s="366">
        <v>0</v>
      </c>
      <c r="AH6" s="368">
        <v>46266</v>
      </c>
      <c r="AI6" s="368">
        <v>46269</v>
      </c>
      <c r="AJ6" s="369" t="s">
        <v>165</v>
      </c>
      <c r="AK6" s="373" t="s">
        <v>674</v>
      </c>
      <c r="AL6" s="370">
        <v>0</v>
      </c>
      <c r="AM6" s="169">
        <v>46332</v>
      </c>
      <c r="AN6" s="169">
        <v>46338</v>
      </c>
      <c r="AO6" s="168" t="s">
        <v>40</v>
      </c>
      <c r="AP6" s="170">
        <v>0</v>
      </c>
      <c r="AQ6"/>
    </row>
    <row r="7" spans="1:43">
      <c r="A7" s="292" t="s">
        <v>670</v>
      </c>
      <c r="B7" s="299" t="s">
        <v>678</v>
      </c>
      <c r="C7" s="299">
        <v>1</v>
      </c>
      <c r="D7" s="149">
        <v>46195</v>
      </c>
      <c r="E7" s="149">
        <v>46200</v>
      </c>
      <c r="F7" s="341" t="s">
        <v>40</v>
      </c>
      <c r="G7" s="308" t="s">
        <v>479</v>
      </c>
      <c r="H7" s="372">
        <v>0</v>
      </c>
      <c r="I7" s="169">
        <v>46201</v>
      </c>
      <c r="J7" s="342">
        <v>46209</v>
      </c>
      <c r="K7" s="344" t="s">
        <v>40</v>
      </c>
      <c r="L7" s="345" t="s">
        <v>679</v>
      </c>
      <c r="M7" s="346">
        <v>0</v>
      </c>
      <c r="N7" s="347">
        <v>46219</v>
      </c>
      <c r="O7" s="347">
        <v>46231</v>
      </c>
      <c r="P7" s="349" t="s">
        <v>40</v>
      </c>
      <c r="Q7" s="349" t="s">
        <v>480</v>
      </c>
      <c r="R7" s="350">
        <v>0</v>
      </c>
      <c r="S7" s="352">
        <v>46232</v>
      </c>
      <c r="T7" s="352">
        <v>46238</v>
      </c>
      <c r="U7" s="354" t="s">
        <v>40</v>
      </c>
      <c r="V7" s="354" t="s">
        <v>480</v>
      </c>
      <c r="W7" s="355">
        <v>0</v>
      </c>
      <c r="X7" s="357">
        <v>46247</v>
      </c>
      <c r="Y7" s="357">
        <v>46249</v>
      </c>
      <c r="Z7" s="359" t="s">
        <v>40</v>
      </c>
      <c r="AA7" s="359" t="s">
        <v>480</v>
      </c>
      <c r="AB7" s="360">
        <v>0</v>
      </c>
      <c r="AC7" s="362">
        <v>46250</v>
      </c>
      <c r="AD7" s="326">
        <v>46257</v>
      </c>
      <c r="AE7" s="327" t="s">
        <v>40</v>
      </c>
      <c r="AF7" s="365" t="s">
        <v>480</v>
      </c>
      <c r="AG7" s="366">
        <v>0</v>
      </c>
      <c r="AH7" s="368">
        <v>46266</v>
      </c>
      <c r="AI7" s="368">
        <v>46269</v>
      </c>
      <c r="AJ7" s="369" t="s">
        <v>165</v>
      </c>
      <c r="AK7" s="373" t="s">
        <v>40</v>
      </c>
      <c r="AL7" s="370">
        <v>0</v>
      </c>
      <c r="AM7" s="169">
        <v>46332</v>
      </c>
      <c r="AN7" s="169">
        <v>46338</v>
      </c>
      <c r="AO7" s="168" t="s">
        <v>40</v>
      </c>
      <c r="AP7" s="170">
        <v>0</v>
      </c>
      <c r="AQ7"/>
    </row>
    <row r="8" spans="1:43">
      <c r="A8" s="292" t="s">
        <v>670</v>
      </c>
      <c r="B8" s="299" t="s">
        <v>680</v>
      </c>
      <c r="C8" s="299">
        <v>1</v>
      </c>
      <c r="D8" s="149">
        <v>46195</v>
      </c>
      <c r="E8" s="149">
        <v>46200</v>
      </c>
      <c r="F8" s="375" t="s">
        <v>34</v>
      </c>
      <c r="G8" s="340" t="s">
        <v>478</v>
      </c>
      <c r="H8" s="372">
        <v>1</v>
      </c>
      <c r="I8" s="169">
        <v>46201</v>
      </c>
      <c r="J8" s="342">
        <v>46209</v>
      </c>
      <c r="K8" s="344" t="s">
        <v>681</v>
      </c>
      <c r="L8" s="344" t="s">
        <v>681</v>
      </c>
      <c r="M8" s="346">
        <v>0.9</v>
      </c>
      <c r="N8" s="347">
        <v>46219</v>
      </c>
      <c r="O8" s="347">
        <v>46231</v>
      </c>
      <c r="P8" s="374" t="s">
        <v>682</v>
      </c>
      <c r="Q8" s="374" t="s">
        <v>683</v>
      </c>
      <c r="R8" s="350">
        <v>0.5</v>
      </c>
      <c r="S8" s="352">
        <v>46232</v>
      </c>
      <c r="T8" s="352">
        <v>46238</v>
      </c>
      <c r="U8" s="354" t="s">
        <v>40</v>
      </c>
      <c r="V8" s="354" t="s">
        <v>480</v>
      </c>
      <c r="W8" s="355">
        <v>0</v>
      </c>
      <c r="X8" s="357">
        <v>46247</v>
      </c>
      <c r="Y8" s="357">
        <v>46249</v>
      </c>
      <c r="Z8" s="359" t="s">
        <v>40</v>
      </c>
      <c r="AA8" s="359" t="s">
        <v>480</v>
      </c>
      <c r="AB8" s="360">
        <v>0</v>
      </c>
      <c r="AC8" s="362">
        <v>46250</v>
      </c>
      <c r="AD8" s="326">
        <v>46257</v>
      </c>
      <c r="AE8" s="327" t="s">
        <v>40</v>
      </c>
      <c r="AF8" s="365" t="s">
        <v>40</v>
      </c>
      <c r="AG8" s="366">
        <v>0</v>
      </c>
      <c r="AH8" s="368">
        <v>46266</v>
      </c>
      <c r="AI8" s="368">
        <v>46269</v>
      </c>
      <c r="AJ8" s="369" t="s">
        <v>165</v>
      </c>
      <c r="AK8" s="373" t="s">
        <v>40</v>
      </c>
      <c r="AL8" s="370">
        <v>0</v>
      </c>
      <c r="AM8" s="169">
        <v>46332</v>
      </c>
      <c r="AN8" s="169">
        <v>46338</v>
      </c>
      <c r="AO8" s="168" t="s">
        <v>40</v>
      </c>
      <c r="AP8" s="170">
        <v>0</v>
      </c>
      <c r="AQ8"/>
    </row>
    <row r="9" spans="1:43">
      <c r="A9" s="292" t="s">
        <v>670</v>
      </c>
      <c r="B9" s="299" t="s">
        <v>684</v>
      </c>
      <c r="C9" s="299">
        <v>1</v>
      </c>
      <c r="D9" s="149">
        <v>46195</v>
      </c>
      <c r="E9" s="149">
        <v>46200</v>
      </c>
      <c r="F9" s="341" t="s">
        <v>34</v>
      </c>
      <c r="G9" s="340" t="s">
        <v>478</v>
      </c>
      <c r="H9" s="372">
        <v>1</v>
      </c>
      <c r="I9" s="169">
        <v>46201</v>
      </c>
      <c r="J9" s="342">
        <v>46209</v>
      </c>
      <c r="K9" s="344" t="s">
        <v>681</v>
      </c>
      <c r="L9" s="344" t="s">
        <v>681</v>
      </c>
      <c r="M9" s="346">
        <v>0.9</v>
      </c>
      <c r="N9" s="347">
        <v>46219</v>
      </c>
      <c r="O9" s="347">
        <v>46231</v>
      </c>
      <c r="P9" s="374" t="s">
        <v>682</v>
      </c>
      <c r="Q9" s="374" t="s">
        <v>683</v>
      </c>
      <c r="R9" s="350">
        <v>0.5</v>
      </c>
      <c r="S9" s="352">
        <v>46232</v>
      </c>
      <c r="T9" s="352">
        <v>46238</v>
      </c>
      <c r="U9" s="354" t="s">
        <v>40</v>
      </c>
      <c r="V9" s="354" t="s">
        <v>480</v>
      </c>
      <c r="W9" s="355">
        <v>0</v>
      </c>
      <c r="X9" s="357">
        <v>46247</v>
      </c>
      <c r="Y9" s="357">
        <v>46249</v>
      </c>
      <c r="Z9" s="359" t="s">
        <v>40</v>
      </c>
      <c r="AA9" s="359" t="s">
        <v>40</v>
      </c>
      <c r="AB9" s="360">
        <v>0</v>
      </c>
      <c r="AC9" s="362">
        <v>46250</v>
      </c>
      <c r="AD9" s="326">
        <v>46257</v>
      </c>
      <c r="AE9" s="327" t="s">
        <v>40</v>
      </c>
      <c r="AF9" s="365" t="s">
        <v>40</v>
      </c>
      <c r="AG9" s="366">
        <v>0</v>
      </c>
      <c r="AH9" s="368">
        <v>46266</v>
      </c>
      <c r="AI9" s="368">
        <v>46269</v>
      </c>
      <c r="AJ9" s="369" t="s">
        <v>165</v>
      </c>
      <c r="AK9" s="373" t="s">
        <v>34</v>
      </c>
      <c r="AL9" s="370">
        <v>0.9</v>
      </c>
      <c r="AM9" s="169">
        <v>46332</v>
      </c>
      <c r="AN9" s="169">
        <v>46338</v>
      </c>
      <c r="AO9" s="168" t="s">
        <v>40</v>
      </c>
      <c r="AP9" s="170">
        <v>0</v>
      </c>
      <c r="AQ9"/>
    </row>
    <row r="10" spans="1:43">
      <c r="A10" s="292" t="s">
        <v>670</v>
      </c>
      <c r="B10" s="299" t="s">
        <v>685</v>
      </c>
      <c r="C10" s="299">
        <v>1</v>
      </c>
      <c r="D10" s="149">
        <v>46195</v>
      </c>
      <c r="E10" s="149">
        <v>46200</v>
      </c>
      <c r="F10" s="341" t="s">
        <v>40</v>
      </c>
      <c r="G10" s="308" t="s">
        <v>479</v>
      </c>
      <c r="H10" s="372">
        <v>0</v>
      </c>
      <c r="I10" s="169">
        <v>46201</v>
      </c>
      <c r="J10" s="342">
        <v>46209</v>
      </c>
      <c r="K10" s="344" t="s">
        <v>40</v>
      </c>
      <c r="L10" s="345" t="s">
        <v>679</v>
      </c>
      <c r="M10" s="346">
        <v>0</v>
      </c>
      <c r="N10" s="347">
        <v>46219</v>
      </c>
      <c r="O10" s="347">
        <v>46231</v>
      </c>
      <c r="P10" s="349" t="s">
        <v>40</v>
      </c>
      <c r="Q10" s="349" t="s">
        <v>480</v>
      </c>
      <c r="R10" s="350">
        <v>0</v>
      </c>
      <c r="S10" s="352">
        <v>46232</v>
      </c>
      <c r="T10" s="352">
        <v>46238</v>
      </c>
      <c r="U10" s="354" t="s">
        <v>40</v>
      </c>
      <c r="V10" s="354" t="s">
        <v>480</v>
      </c>
      <c r="W10" s="355">
        <v>0</v>
      </c>
      <c r="X10" s="357">
        <v>46247</v>
      </c>
      <c r="Y10" s="357">
        <v>46249</v>
      </c>
      <c r="Z10" s="359" t="s">
        <v>40</v>
      </c>
      <c r="AA10" s="359" t="s">
        <v>480</v>
      </c>
      <c r="AB10" s="360">
        <v>0</v>
      </c>
      <c r="AC10" s="362">
        <v>46250</v>
      </c>
      <c r="AD10" s="326">
        <v>46257</v>
      </c>
      <c r="AE10" s="327" t="s">
        <v>40</v>
      </c>
      <c r="AF10" s="365" t="s">
        <v>480</v>
      </c>
      <c r="AG10" s="366">
        <v>0</v>
      </c>
      <c r="AH10" s="368">
        <v>46266</v>
      </c>
      <c r="AI10" s="368">
        <v>46269</v>
      </c>
      <c r="AJ10" s="369" t="s">
        <v>165</v>
      </c>
      <c r="AK10" s="373" t="s">
        <v>40</v>
      </c>
      <c r="AL10" s="370">
        <v>0</v>
      </c>
      <c r="AM10" s="169">
        <v>46332</v>
      </c>
      <c r="AN10" s="169">
        <v>46338</v>
      </c>
      <c r="AO10" s="168" t="s">
        <v>40</v>
      </c>
      <c r="AP10" s="170">
        <v>0</v>
      </c>
      <c r="AQ10"/>
    </row>
    <row r="11" spans="1:43">
      <c r="A11" s="292" t="s">
        <v>670</v>
      </c>
      <c r="B11" s="299" t="s">
        <v>686</v>
      </c>
      <c r="C11" s="299">
        <v>1</v>
      </c>
      <c r="D11" s="149">
        <v>46195</v>
      </c>
      <c r="E11" s="149">
        <v>46200</v>
      </c>
      <c r="F11" s="341" t="s">
        <v>34</v>
      </c>
      <c r="G11" s="340" t="s">
        <v>478</v>
      </c>
      <c r="H11" s="372">
        <v>1</v>
      </c>
      <c r="I11" s="169">
        <v>46201</v>
      </c>
      <c r="J11" s="342">
        <v>46209</v>
      </c>
      <c r="K11" s="344" t="s">
        <v>681</v>
      </c>
      <c r="L11" s="344" t="s">
        <v>681</v>
      </c>
      <c r="M11" s="346">
        <v>0.9</v>
      </c>
      <c r="N11" s="347">
        <v>46219</v>
      </c>
      <c r="O11" s="347">
        <v>46231</v>
      </c>
      <c r="P11" s="374" t="s">
        <v>682</v>
      </c>
      <c r="Q11" s="374" t="s">
        <v>683</v>
      </c>
      <c r="R11" s="350">
        <v>0.5</v>
      </c>
      <c r="S11" s="352">
        <v>46232</v>
      </c>
      <c r="T11" s="352">
        <v>46238</v>
      </c>
      <c r="U11" s="354" t="s">
        <v>40</v>
      </c>
      <c r="V11" s="354" t="s">
        <v>480</v>
      </c>
      <c r="W11" s="355">
        <v>0</v>
      </c>
      <c r="X11" s="357">
        <v>46247</v>
      </c>
      <c r="Y11" s="357">
        <v>46249</v>
      </c>
      <c r="Z11" s="359" t="s">
        <v>40</v>
      </c>
      <c r="AA11" s="359" t="s">
        <v>480</v>
      </c>
      <c r="AB11" s="360">
        <v>0</v>
      </c>
      <c r="AC11" s="362">
        <v>46250</v>
      </c>
      <c r="AD11" s="326">
        <v>46257</v>
      </c>
      <c r="AE11" s="327" t="s">
        <v>40</v>
      </c>
      <c r="AF11" s="365" t="s">
        <v>40</v>
      </c>
      <c r="AG11" s="366">
        <v>0</v>
      </c>
      <c r="AH11" s="368">
        <v>46266</v>
      </c>
      <c r="AI11" s="368">
        <v>46269</v>
      </c>
      <c r="AJ11" s="369" t="s">
        <v>165</v>
      </c>
      <c r="AK11" s="373" t="s">
        <v>40</v>
      </c>
      <c r="AL11" s="370">
        <v>0</v>
      </c>
      <c r="AM11" s="169">
        <v>46332</v>
      </c>
      <c r="AN11" s="169">
        <v>46338</v>
      </c>
      <c r="AO11" s="168" t="s">
        <v>40</v>
      </c>
      <c r="AP11" s="170">
        <v>0</v>
      </c>
      <c r="AQ11"/>
    </row>
    <row r="12" spans="1:43">
      <c r="A12" s="292" t="s">
        <v>670</v>
      </c>
      <c r="B12" s="299">
        <v>52090</v>
      </c>
      <c r="C12" s="299">
        <v>1</v>
      </c>
      <c r="D12" s="149">
        <v>46195</v>
      </c>
      <c r="E12" s="149">
        <v>46200</v>
      </c>
      <c r="F12" s="341" t="s">
        <v>34</v>
      </c>
      <c r="G12" s="340" t="s">
        <v>478</v>
      </c>
      <c r="H12" s="372">
        <v>1</v>
      </c>
      <c r="I12" s="169">
        <v>46201</v>
      </c>
      <c r="J12" s="342">
        <v>46209</v>
      </c>
      <c r="K12" s="344" t="s">
        <v>681</v>
      </c>
      <c r="L12" s="344" t="s">
        <v>681</v>
      </c>
      <c r="M12" s="346">
        <v>0.9</v>
      </c>
      <c r="N12" s="347">
        <v>46219</v>
      </c>
      <c r="O12" s="347">
        <v>46231</v>
      </c>
      <c r="P12" s="374" t="s">
        <v>682</v>
      </c>
      <c r="Q12" s="374" t="s">
        <v>683</v>
      </c>
      <c r="R12" s="350">
        <v>0.5</v>
      </c>
      <c r="S12" s="352">
        <v>46232</v>
      </c>
      <c r="T12" s="352">
        <v>46238</v>
      </c>
      <c r="U12" s="354" t="s">
        <v>40</v>
      </c>
      <c r="V12" s="354" t="s">
        <v>480</v>
      </c>
      <c r="W12" s="355">
        <v>0</v>
      </c>
      <c r="X12" s="357">
        <v>46247</v>
      </c>
      <c r="Y12" s="357">
        <v>46249</v>
      </c>
      <c r="Z12" s="359" t="s">
        <v>40</v>
      </c>
      <c r="AA12" s="359" t="s">
        <v>480</v>
      </c>
      <c r="AB12" s="360">
        <v>0</v>
      </c>
      <c r="AC12" s="362">
        <v>46250</v>
      </c>
      <c r="AD12" s="326">
        <v>46257</v>
      </c>
      <c r="AE12" s="327" t="s">
        <v>40</v>
      </c>
      <c r="AF12" s="365" t="s">
        <v>40</v>
      </c>
      <c r="AG12" s="366">
        <v>0</v>
      </c>
      <c r="AH12" s="368">
        <v>46266</v>
      </c>
      <c r="AI12" s="368">
        <v>46269</v>
      </c>
      <c r="AJ12" s="369" t="s">
        <v>165</v>
      </c>
      <c r="AK12" s="373" t="s">
        <v>222</v>
      </c>
      <c r="AL12" s="370">
        <v>0.9</v>
      </c>
      <c r="AM12" s="169">
        <v>46332</v>
      </c>
      <c r="AN12" s="169">
        <v>46338</v>
      </c>
      <c r="AO12" s="168" t="s">
        <v>40</v>
      </c>
      <c r="AP12" s="170">
        <v>0</v>
      </c>
      <c r="AQ12"/>
    </row>
    <row r="13" spans="1:43">
      <c r="A13" s="292" t="s">
        <v>670</v>
      </c>
      <c r="B13" s="299" t="s">
        <v>687</v>
      </c>
      <c r="C13" s="299">
        <v>1</v>
      </c>
      <c r="D13" s="149">
        <v>46195</v>
      </c>
      <c r="E13" s="149">
        <v>46200</v>
      </c>
      <c r="F13" s="341" t="s">
        <v>40</v>
      </c>
      <c r="G13" s="308" t="s">
        <v>479</v>
      </c>
      <c r="H13" s="372">
        <v>0</v>
      </c>
      <c r="I13" s="169">
        <v>46201</v>
      </c>
      <c r="J13" s="342">
        <v>46209</v>
      </c>
      <c r="K13" s="344" t="s">
        <v>40</v>
      </c>
      <c r="L13" s="345" t="s">
        <v>679</v>
      </c>
      <c r="M13" s="346">
        <v>0</v>
      </c>
      <c r="N13" s="347">
        <v>46219</v>
      </c>
      <c r="O13" s="347">
        <v>46231</v>
      </c>
      <c r="P13" s="349" t="s">
        <v>40</v>
      </c>
      <c r="Q13" s="349" t="s">
        <v>480</v>
      </c>
      <c r="R13" s="350">
        <v>0</v>
      </c>
      <c r="S13" s="352">
        <v>46232</v>
      </c>
      <c r="T13" s="352">
        <v>46238</v>
      </c>
      <c r="U13" s="354" t="s">
        <v>40</v>
      </c>
      <c r="V13" s="354" t="s">
        <v>480</v>
      </c>
      <c r="W13" s="355">
        <v>0</v>
      </c>
      <c r="X13" s="357">
        <v>46247</v>
      </c>
      <c r="Y13" s="357">
        <v>46249</v>
      </c>
      <c r="Z13" s="359" t="s">
        <v>40</v>
      </c>
      <c r="AA13" s="359" t="s">
        <v>480</v>
      </c>
      <c r="AB13" s="360">
        <v>0</v>
      </c>
      <c r="AC13" s="362">
        <v>46250</v>
      </c>
      <c r="AD13" s="326">
        <v>46257</v>
      </c>
      <c r="AE13" s="327" t="s">
        <v>40</v>
      </c>
      <c r="AF13" s="365" t="s">
        <v>480</v>
      </c>
      <c r="AG13" s="366">
        <v>0</v>
      </c>
      <c r="AH13" s="368">
        <v>46266</v>
      </c>
      <c r="AI13" s="368">
        <v>46269</v>
      </c>
      <c r="AJ13" s="369" t="s">
        <v>165</v>
      </c>
      <c r="AK13" s="373" t="s">
        <v>40</v>
      </c>
      <c r="AL13" s="370">
        <v>0</v>
      </c>
      <c r="AM13" s="169">
        <v>46332</v>
      </c>
      <c r="AN13" s="169">
        <v>46338</v>
      </c>
      <c r="AO13" s="168" t="s">
        <v>40</v>
      </c>
      <c r="AP13" s="170">
        <v>0</v>
      </c>
      <c r="AQ13"/>
    </row>
    <row r="14" spans="1:43">
      <c r="A14" s="292" t="s">
        <v>670</v>
      </c>
      <c r="B14" s="299" t="s">
        <v>688</v>
      </c>
      <c r="C14" s="299">
        <v>1</v>
      </c>
      <c r="D14" s="149">
        <v>46195</v>
      </c>
      <c r="E14" s="149">
        <v>46200</v>
      </c>
      <c r="F14" s="341" t="s">
        <v>34</v>
      </c>
      <c r="G14" s="340" t="s">
        <v>478</v>
      </c>
      <c r="H14" s="372">
        <v>1</v>
      </c>
      <c r="I14" s="169">
        <v>46201</v>
      </c>
      <c r="J14" s="342">
        <v>46209</v>
      </c>
      <c r="K14" s="344" t="s">
        <v>681</v>
      </c>
      <c r="L14" s="344" t="s">
        <v>681</v>
      </c>
      <c r="M14" s="346">
        <v>0.9</v>
      </c>
      <c r="N14" s="347">
        <v>46219</v>
      </c>
      <c r="O14" s="347">
        <v>46231</v>
      </c>
      <c r="P14" s="374" t="s">
        <v>682</v>
      </c>
      <c r="Q14" s="374" t="s">
        <v>683</v>
      </c>
      <c r="R14" s="350">
        <v>0.5</v>
      </c>
      <c r="S14" s="352">
        <v>46232</v>
      </c>
      <c r="T14" s="352">
        <v>46238</v>
      </c>
      <c r="U14" s="354" t="s">
        <v>40</v>
      </c>
      <c r="V14" s="354" t="s">
        <v>480</v>
      </c>
      <c r="W14" s="355">
        <v>0</v>
      </c>
      <c r="X14" s="357">
        <v>46247</v>
      </c>
      <c r="Y14" s="357">
        <v>46249</v>
      </c>
      <c r="Z14" s="359" t="s">
        <v>40</v>
      </c>
      <c r="AA14" s="359" t="s">
        <v>480</v>
      </c>
      <c r="AB14" s="360">
        <v>0</v>
      </c>
      <c r="AC14" s="362">
        <v>46250</v>
      </c>
      <c r="AD14" s="326">
        <v>46257</v>
      </c>
      <c r="AE14" s="327" t="s">
        <v>40</v>
      </c>
      <c r="AF14" s="365" t="s">
        <v>40</v>
      </c>
      <c r="AG14" s="366">
        <v>0</v>
      </c>
      <c r="AH14" s="368">
        <v>46266</v>
      </c>
      <c r="AI14" s="368">
        <v>46269</v>
      </c>
      <c r="AJ14" s="369" t="s">
        <v>165</v>
      </c>
      <c r="AK14" s="373" t="s">
        <v>40</v>
      </c>
      <c r="AL14" s="370">
        <v>0</v>
      </c>
      <c r="AM14" s="169">
        <v>46332</v>
      </c>
      <c r="AN14" s="169">
        <v>46338</v>
      </c>
      <c r="AO14" s="168" t="s">
        <v>40</v>
      </c>
      <c r="AP14" s="170">
        <v>0</v>
      </c>
      <c r="AQ14"/>
    </row>
    <row r="15" spans="1:43">
      <c r="A15" s="292" t="s">
        <v>670</v>
      </c>
      <c r="B15" s="299">
        <v>52140</v>
      </c>
      <c r="C15" s="299">
        <v>1</v>
      </c>
      <c r="D15" s="149">
        <v>46195</v>
      </c>
      <c r="E15" s="149">
        <v>46200</v>
      </c>
      <c r="F15" s="341" t="s">
        <v>34</v>
      </c>
      <c r="G15" s="340" t="s">
        <v>478</v>
      </c>
      <c r="H15" s="372">
        <v>1</v>
      </c>
      <c r="I15" s="169">
        <v>46201</v>
      </c>
      <c r="J15" s="342">
        <v>46209</v>
      </c>
      <c r="K15" s="344" t="s">
        <v>681</v>
      </c>
      <c r="L15" s="344" t="s">
        <v>681</v>
      </c>
      <c r="M15" s="346">
        <v>0.9</v>
      </c>
      <c r="N15" s="347">
        <v>46219</v>
      </c>
      <c r="O15" s="347">
        <v>46231</v>
      </c>
      <c r="P15" s="374" t="s">
        <v>682</v>
      </c>
      <c r="Q15" s="374" t="s">
        <v>683</v>
      </c>
      <c r="R15" s="350">
        <v>0.5</v>
      </c>
      <c r="S15" s="352">
        <v>46232</v>
      </c>
      <c r="T15" s="352">
        <v>46238</v>
      </c>
      <c r="U15" s="354" t="s">
        <v>40</v>
      </c>
      <c r="V15" s="354" t="s">
        <v>480</v>
      </c>
      <c r="W15" s="355">
        <v>0</v>
      </c>
      <c r="X15" s="357">
        <v>46247</v>
      </c>
      <c r="Y15" s="357">
        <v>46249</v>
      </c>
      <c r="Z15" s="359" t="s">
        <v>40</v>
      </c>
      <c r="AA15" s="359" t="s">
        <v>480</v>
      </c>
      <c r="AB15" s="360">
        <v>0</v>
      </c>
      <c r="AC15" s="362">
        <v>46250</v>
      </c>
      <c r="AD15" s="326">
        <v>46257</v>
      </c>
      <c r="AE15" s="327" t="s">
        <v>40</v>
      </c>
      <c r="AF15" s="365" t="s">
        <v>40</v>
      </c>
      <c r="AG15" s="366">
        <v>0</v>
      </c>
      <c r="AH15" s="368">
        <v>46266</v>
      </c>
      <c r="AI15" s="368">
        <v>46269</v>
      </c>
      <c r="AJ15" s="369" t="s">
        <v>165</v>
      </c>
      <c r="AK15" s="373" t="s">
        <v>222</v>
      </c>
      <c r="AL15" s="370">
        <v>0.9</v>
      </c>
      <c r="AM15" s="169">
        <v>46332</v>
      </c>
      <c r="AN15" s="169">
        <v>46338</v>
      </c>
      <c r="AO15" s="168" t="s">
        <v>40</v>
      </c>
      <c r="AP15" s="170">
        <v>0</v>
      </c>
      <c r="AQ15"/>
    </row>
    <row r="16" spans="1:43">
      <c r="A16" s="292" t="s">
        <v>670</v>
      </c>
      <c r="B16" s="299" t="s">
        <v>689</v>
      </c>
      <c r="C16" s="299">
        <v>1</v>
      </c>
      <c r="D16" s="149">
        <v>46195</v>
      </c>
      <c r="E16" s="149">
        <v>46200</v>
      </c>
      <c r="F16" s="341" t="s">
        <v>34</v>
      </c>
      <c r="G16" s="340" t="s">
        <v>478</v>
      </c>
      <c r="H16" s="372">
        <v>1</v>
      </c>
      <c r="I16" s="169">
        <v>46201</v>
      </c>
      <c r="J16" s="342">
        <v>46209</v>
      </c>
      <c r="K16" s="344" t="s">
        <v>681</v>
      </c>
      <c r="L16" s="344" t="s">
        <v>681</v>
      </c>
      <c r="M16" s="346">
        <v>0.9</v>
      </c>
      <c r="N16" s="347">
        <v>46219</v>
      </c>
      <c r="O16" s="347">
        <v>46231</v>
      </c>
      <c r="P16" s="374" t="s">
        <v>682</v>
      </c>
      <c r="Q16" s="374" t="s">
        <v>683</v>
      </c>
      <c r="R16" s="350">
        <v>0.5</v>
      </c>
      <c r="S16" s="352">
        <v>46232</v>
      </c>
      <c r="T16" s="352">
        <v>46238</v>
      </c>
      <c r="U16" s="354" t="s">
        <v>40</v>
      </c>
      <c r="V16" s="354" t="s">
        <v>480</v>
      </c>
      <c r="W16" s="355">
        <v>0</v>
      </c>
      <c r="X16" s="357">
        <v>46247</v>
      </c>
      <c r="Y16" s="357">
        <v>46249</v>
      </c>
      <c r="Z16" s="359" t="s">
        <v>40</v>
      </c>
      <c r="AA16" s="359" t="s">
        <v>480</v>
      </c>
      <c r="AB16" s="360">
        <v>0</v>
      </c>
      <c r="AC16" s="362">
        <v>46250</v>
      </c>
      <c r="AD16" s="326">
        <v>46257</v>
      </c>
      <c r="AE16" s="327" t="s">
        <v>40</v>
      </c>
      <c r="AF16" s="365" t="s">
        <v>40</v>
      </c>
      <c r="AG16" s="366">
        <v>0</v>
      </c>
      <c r="AH16" s="368">
        <v>46266</v>
      </c>
      <c r="AI16" s="368">
        <v>46269</v>
      </c>
      <c r="AJ16" s="369" t="s">
        <v>165</v>
      </c>
      <c r="AK16" s="373" t="s">
        <v>40</v>
      </c>
      <c r="AL16" s="370">
        <v>0</v>
      </c>
      <c r="AM16" s="169">
        <v>46332</v>
      </c>
      <c r="AN16" s="169">
        <v>46338</v>
      </c>
      <c r="AO16" s="168" t="s">
        <v>40</v>
      </c>
      <c r="AP16" s="170">
        <v>0</v>
      </c>
      <c r="AQ16"/>
    </row>
    <row r="17" spans="1:43">
      <c r="A17" s="292" t="s">
        <v>670</v>
      </c>
      <c r="B17" s="299" t="s">
        <v>690</v>
      </c>
      <c r="C17" s="299">
        <v>1</v>
      </c>
      <c r="D17" s="149">
        <v>46195</v>
      </c>
      <c r="E17" s="149">
        <v>46200</v>
      </c>
      <c r="F17" s="341" t="s">
        <v>34</v>
      </c>
      <c r="G17" s="340" t="s">
        <v>478</v>
      </c>
      <c r="H17" s="372">
        <v>1</v>
      </c>
      <c r="I17" s="169">
        <v>46201</v>
      </c>
      <c r="J17" s="342">
        <v>46209</v>
      </c>
      <c r="K17" s="344" t="s">
        <v>681</v>
      </c>
      <c r="L17" s="344" t="s">
        <v>681</v>
      </c>
      <c r="M17" s="346">
        <v>0.9</v>
      </c>
      <c r="N17" s="347">
        <v>46219</v>
      </c>
      <c r="O17" s="347">
        <v>46231</v>
      </c>
      <c r="P17" s="374" t="s">
        <v>682</v>
      </c>
      <c r="Q17" s="374" t="s">
        <v>683</v>
      </c>
      <c r="R17" s="350">
        <v>0.5</v>
      </c>
      <c r="S17" s="352">
        <v>46232</v>
      </c>
      <c r="T17" s="352">
        <v>46238</v>
      </c>
      <c r="U17" s="354" t="s">
        <v>40</v>
      </c>
      <c r="V17" s="354" t="s">
        <v>480</v>
      </c>
      <c r="W17" s="355">
        <v>0</v>
      </c>
      <c r="X17" s="357">
        <v>46247</v>
      </c>
      <c r="Y17" s="357">
        <v>46249</v>
      </c>
      <c r="Z17" s="359" t="s">
        <v>40</v>
      </c>
      <c r="AA17" s="359" t="s">
        <v>480</v>
      </c>
      <c r="AB17" s="360">
        <v>0</v>
      </c>
      <c r="AC17" s="362">
        <v>46250</v>
      </c>
      <c r="AD17" s="326">
        <v>46257</v>
      </c>
      <c r="AE17" s="327" t="s">
        <v>40</v>
      </c>
      <c r="AF17" s="365" t="s">
        <v>40</v>
      </c>
      <c r="AG17" s="366">
        <v>0</v>
      </c>
      <c r="AH17" s="368">
        <v>46266</v>
      </c>
      <c r="AI17" s="368">
        <v>46269</v>
      </c>
      <c r="AJ17" s="369" t="s">
        <v>165</v>
      </c>
      <c r="AK17" s="373" t="s">
        <v>222</v>
      </c>
      <c r="AL17" s="370">
        <v>0.9</v>
      </c>
      <c r="AM17" s="169">
        <v>46332</v>
      </c>
      <c r="AN17" s="169">
        <v>46338</v>
      </c>
      <c r="AO17" s="168" t="s">
        <v>40</v>
      </c>
      <c r="AP17" s="170">
        <v>0</v>
      </c>
      <c r="AQ17"/>
    </row>
    <row r="18" spans="1:43">
      <c r="A18" s="292" t="s">
        <v>670</v>
      </c>
      <c r="B18" s="299" t="s">
        <v>691</v>
      </c>
      <c r="C18" s="299">
        <v>1</v>
      </c>
      <c r="D18" s="149">
        <v>46195</v>
      </c>
      <c r="E18" s="149">
        <v>46200</v>
      </c>
      <c r="F18" s="341" t="s">
        <v>34</v>
      </c>
      <c r="G18" s="340" t="s">
        <v>478</v>
      </c>
      <c r="H18" s="372">
        <v>1</v>
      </c>
      <c r="I18" s="169">
        <v>46201</v>
      </c>
      <c r="J18" s="342">
        <v>46209</v>
      </c>
      <c r="K18" s="344" t="s">
        <v>681</v>
      </c>
      <c r="L18" s="344" t="s">
        <v>681</v>
      </c>
      <c r="M18" s="346">
        <v>0.9</v>
      </c>
      <c r="N18" s="347">
        <v>46219</v>
      </c>
      <c r="O18" s="347">
        <v>46231</v>
      </c>
      <c r="P18" s="374" t="s">
        <v>682</v>
      </c>
      <c r="Q18" s="374" t="s">
        <v>683</v>
      </c>
      <c r="R18" s="350">
        <v>0.5</v>
      </c>
      <c r="S18" s="352">
        <v>46232</v>
      </c>
      <c r="T18" s="352">
        <v>46238</v>
      </c>
      <c r="U18" s="354" t="s">
        <v>40</v>
      </c>
      <c r="V18" s="354" t="s">
        <v>480</v>
      </c>
      <c r="W18" s="355">
        <v>0</v>
      </c>
      <c r="X18" s="357">
        <v>46247</v>
      </c>
      <c r="Y18" s="357">
        <v>46249</v>
      </c>
      <c r="Z18" s="359" t="s">
        <v>40</v>
      </c>
      <c r="AA18" s="359" t="s">
        <v>480</v>
      </c>
      <c r="AB18" s="360">
        <v>0</v>
      </c>
      <c r="AC18" s="362">
        <v>46250</v>
      </c>
      <c r="AD18" s="326">
        <v>46257</v>
      </c>
      <c r="AE18" s="327" t="s">
        <v>40</v>
      </c>
      <c r="AF18" s="365" t="s">
        <v>40</v>
      </c>
      <c r="AG18" s="366">
        <v>0</v>
      </c>
      <c r="AH18" s="368">
        <v>46266</v>
      </c>
      <c r="AI18" s="368">
        <v>46269</v>
      </c>
      <c r="AJ18" s="369" t="s">
        <v>165</v>
      </c>
      <c r="AK18" s="373" t="s">
        <v>40</v>
      </c>
      <c r="AL18" s="370">
        <v>0</v>
      </c>
      <c r="AM18" s="169">
        <v>46332</v>
      </c>
      <c r="AN18" s="169">
        <v>46338</v>
      </c>
      <c r="AO18" s="168" t="s">
        <v>40</v>
      </c>
      <c r="AP18" s="170">
        <v>0</v>
      </c>
      <c r="AQ18"/>
    </row>
    <row r="19" spans="1:43">
      <c r="A19" s="292" t="s">
        <v>670</v>
      </c>
      <c r="B19" s="299" t="s">
        <v>692</v>
      </c>
      <c r="C19" s="299">
        <v>1</v>
      </c>
      <c r="D19" s="149">
        <v>46195</v>
      </c>
      <c r="E19" s="149">
        <v>46200</v>
      </c>
      <c r="F19" s="341" t="s">
        <v>34</v>
      </c>
      <c r="G19" s="340" t="s">
        <v>478</v>
      </c>
      <c r="H19" s="372">
        <v>1</v>
      </c>
      <c r="I19" s="169">
        <v>46201</v>
      </c>
      <c r="J19" s="342">
        <v>46209</v>
      </c>
      <c r="K19" s="344" t="s">
        <v>681</v>
      </c>
      <c r="L19" s="344" t="s">
        <v>681</v>
      </c>
      <c r="M19" s="346">
        <v>0.9</v>
      </c>
      <c r="N19" s="347">
        <v>46219</v>
      </c>
      <c r="O19" s="347">
        <v>46231</v>
      </c>
      <c r="P19" s="374" t="s">
        <v>682</v>
      </c>
      <c r="Q19" s="374" t="s">
        <v>683</v>
      </c>
      <c r="R19" s="350">
        <v>0.5</v>
      </c>
      <c r="S19" s="352">
        <v>46232</v>
      </c>
      <c r="T19" s="352">
        <v>46238</v>
      </c>
      <c r="U19" s="354" t="s">
        <v>40</v>
      </c>
      <c r="V19" s="354" t="s">
        <v>480</v>
      </c>
      <c r="W19" s="355">
        <v>0</v>
      </c>
      <c r="X19" s="357">
        <v>46247</v>
      </c>
      <c r="Y19" s="357">
        <v>46249</v>
      </c>
      <c r="Z19" s="359" t="s">
        <v>40</v>
      </c>
      <c r="AA19" s="359" t="s">
        <v>480</v>
      </c>
      <c r="AB19" s="360">
        <v>0</v>
      </c>
      <c r="AC19" s="362">
        <v>46250</v>
      </c>
      <c r="AD19" s="326">
        <v>46257</v>
      </c>
      <c r="AE19" s="327" t="s">
        <v>40</v>
      </c>
      <c r="AF19" s="365" t="s">
        <v>40</v>
      </c>
      <c r="AG19" s="366">
        <v>0</v>
      </c>
      <c r="AH19" s="368">
        <v>46266</v>
      </c>
      <c r="AI19" s="368">
        <v>46269</v>
      </c>
      <c r="AJ19" s="369" t="s">
        <v>165</v>
      </c>
      <c r="AK19" s="373" t="s">
        <v>222</v>
      </c>
      <c r="AL19" s="370">
        <v>0.9</v>
      </c>
      <c r="AM19" s="169">
        <v>46332</v>
      </c>
      <c r="AN19" s="169">
        <v>46338</v>
      </c>
      <c r="AO19" s="168" t="s">
        <v>40</v>
      </c>
      <c r="AP19" s="170">
        <v>0</v>
      </c>
      <c r="AQ19"/>
    </row>
    <row r="20" spans="1:43">
      <c r="A20" s="292" t="s">
        <v>670</v>
      </c>
      <c r="B20" s="299" t="s">
        <v>693</v>
      </c>
      <c r="C20" s="299">
        <v>1</v>
      </c>
      <c r="D20" s="149">
        <v>46195</v>
      </c>
      <c r="E20" s="149">
        <v>46200</v>
      </c>
      <c r="F20" s="341" t="s">
        <v>34</v>
      </c>
      <c r="G20" s="340" t="s">
        <v>478</v>
      </c>
      <c r="H20" s="372">
        <v>1</v>
      </c>
      <c r="I20" s="169">
        <v>46201</v>
      </c>
      <c r="J20" s="342">
        <v>46209</v>
      </c>
      <c r="K20" s="344" t="s">
        <v>681</v>
      </c>
      <c r="L20" s="344" t="s">
        <v>681</v>
      </c>
      <c r="M20" s="346">
        <v>0.9</v>
      </c>
      <c r="N20" s="347">
        <v>46219</v>
      </c>
      <c r="O20" s="347">
        <v>46231</v>
      </c>
      <c r="P20" s="374" t="s">
        <v>682</v>
      </c>
      <c r="Q20" s="374" t="s">
        <v>683</v>
      </c>
      <c r="R20" s="350">
        <v>0.5</v>
      </c>
      <c r="S20" s="352">
        <v>46232</v>
      </c>
      <c r="T20" s="352">
        <v>46238</v>
      </c>
      <c r="U20" s="354" t="s">
        <v>40</v>
      </c>
      <c r="V20" s="354" t="s">
        <v>480</v>
      </c>
      <c r="W20" s="355">
        <v>0</v>
      </c>
      <c r="X20" s="357">
        <v>46247</v>
      </c>
      <c r="Y20" s="357">
        <v>46249</v>
      </c>
      <c r="Z20" s="359" t="s">
        <v>40</v>
      </c>
      <c r="AA20" s="359" t="s">
        <v>480</v>
      </c>
      <c r="AB20" s="360">
        <v>0</v>
      </c>
      <c r="AC20" s="362">
        <v>46250</v>
      </c>
      <c r="AD20" s="326">
        <v>46257</v>
      </c>
      <c r="AE20" s="327" t="s">
        <v>40</v>
      </c>
      <c r="AF20" s="365" t="s">
        <v>40</v>
      </c>
      <c r="AG20" s="366">
        <v>0</v>
      </c>
      <c r="AH20" s="368">
        <v>46266</v>
      </c>
      <c r="AI20" s="368">
        <v>46269</v>
      </c>
      <c r="AJ20" s="369" t="s">
        <v>165</v>
      </c>
      <c r="AK20" s="373" t="s">
        <v>40</v>
      </c>
      <c r="AL20" s="370">
        <v>0</v>
      </c>
      <c r="AM20" s="169">
        <v>46332</v>
      </c>
      <c r="AN20" s="169">
        <v>46338</v>
      </c>
      <c r="AO20" s="168" t="s">
        <v>40</v>
      </c>
      <c r="AP20" s="170">
        <v>0</v>
      </c>
      <c r="AQ20"/>
    </row>
    <row r="21" spans="1:43">
      <c r="A21" s="292" t="s">
        <v>670</v>
      </c>
      <c r="B21" s="299" t="s">
        <v>694</v>
      </c>
      <c r="C21" s="299">
        <v>1</v>
      </c>
      <c r="D21" s="149">
        <v>46195</v>
      </c>
      <c r="E21" s="149">
        <v>46200</v>
      </c>
      <c r="F21" s="341" t="s">
        <v>34</v>
      </c>
      <c r="G21" s="340" t="s">
        <v>478</v>
      </c>
      <c r="H21" s="372">
        <v>1</v>
      </c>
      <c r="I21" s="169">
        <v>46201</v>
      </c>
      <c r="J21" s="342">
        <v>46209</v>
      </c>
      <c r="K21" s="344" t="s">
        <v>681</v>
      </c>
      <c r="L21" s="344" t="s">
        <v>681</v>
      </c>
      <c r="M21" s="346">
        <v>0.9</v>
      </c>
      <c r="N21" s="347">
        <v>46219</v>
      </c>
      <c r="O21" s="347">
        <v>46231</v>
      </c>
      <c r="P21" s="374" t="s">
        <v>682</v>
      </c>
      <c r="Q21" s="374" t="s">
        <v>683</v>
      </c>
      <c r="R21" s="350">
        <v>0.5</v>
      </c>
      <c r="S21" s="352">
        <v>46232</v>
      </c>
      <c r="T21" s="352">
        <v>46238</v>
      </c>
      <c r="U21" s="354" t="s">
        <v>40</v>
      </c>
      <c r="V21" s="354" t="s">
        <v>480</v>
      </c>
      <c r="W21" s="355">
        <v>0</v>
      </c>
      <c r="X21" s="357">
        <v>46247</v>
      </c>
      <c r="Y21" s="357">
        <v>46249</v>
      </c>
      <c r="Z21" s="359" t="s">
        <v>40</v>
      </c>
      <c r="AA21" s="359" t="s">
        <v>480</v>
      </c>
      <c r="AB21" s="360">
        <v>0</v>
      </c>
      <c r="AC21" s="362">
        <v>46250</v>
      </c>
      <c r="AD21" s="326">
        <v>46257</v>
      </c>
      <c r="AE21" s="327" t="s">
        <v>40</v>
      </c>
      <c r="AF21" s="365" t="s">
        <v>40</v>
      </c>
      <c r="AG21" s="366">
        <v>0</v>
      </c>
      <c r="AH21" s="368">
        <v>46266</v>
      </c>
      <c r="AI21" s="368">
        <v>46269</v>
      </c>
      <c r="AJ21" s="369" t="s">
        <v>165</v>
      </c>
      <c r="AK21" s="373" t="s">
        <v>40</v>
      </c>
      <c r="AL21" s="370">
        <v>0.9</v>
      </c>
      <c r="AM21" s="169">
        <v>46332</v>
      </c>
      <c r="AN21" s="169">
        <v>46338</v>
      </c>
      <c r="AO21" s="168" t="s">
        <v>40</v>
      </c>
      <c r="AP21" s="170">
        <v>0</v>
      </c>
      <c r="AQ21"/>
    </row>
    <row r="22" spans="1:43">
      <c r="A22" s="292" t="s">
        <v>670</v>
      </c>
      <c r="B22" s="299" t="s">
        <v>695</v>
      </c>
      <c r="C22" s="299">
        <v>1</v>
      </c>
      <c r="D22" s="149">
        <v>46195</v>
      </c>
      <c r="E22" s="149">
        <v>46200</v>
      </c>
      <c r="F22" s="341" t="s">
        <v>34</v>
      </c>
      <c r="G22" s="340" t="s">
        <v>478</v>
      </c>
      <c r="H22" s="372">
        <v>1</v>
      </c>
      <c r="I22" s="169">
        <v>46201</v>
      </c>
      <c r="J22" s="342">
        <v>46209</v>
      </c>
      <c r="K22" s="344" t="s">
        <v>681</v>
      </c>
      <c r="L22" s="344" t="s">
        <v>681</v>
      </c>
      <c r="M22" s="346">
        <v>0.9</v>
      </c>
      <c r="N22" s="347">
        <v>46219</v>
      </c>
      <c r="O22" s="347">
        <v>46231</v>
      </c>
      <c r="P22" s="374" t="s">
        <v>682</v>
      </c>
      <c r="Q22" s="374" t="s">
        <v>683</v>
      </c>
      <c r="R22" s="350">
        <v>0.5</v>
      </c>
      <c r="S22" s="352">
        <v>46232</v>
      </c>
      <c r="T22" s="352">
        <v>46238</v>
      </c>
      <c r="U22" s="354" t="s">
        <v>40</v>
      </c>
      <c r="V22" s="354" t="s">
        <v>480</v>
      </c>
      <c r="W22" s="355">
        <v>0</v>
      </c>
      <c r="X22" s="357">
        <v>46247</v>
      </c>
      <c r="Y22" s="357">
        <v>46249</v>
      </c>
      <c r="Z22" s="359" t="s">
        <v>40</v>
      </c>
      <c r="AA22" s="359" t="s">
        <v>480</v>
      </c>
      <c r="AB22" s="360">
        <v>0</v>
      </c>
      <c r="AC22" s="362">
        <v>46250</v>
      </c>
      <c r="AD22" s="326">
        <v>46257</v>
      </c>
      <c r="AE22" s="327" t="s">
        <v>40</v>
      </c>
      <c r="AF22" s="365" t="s">
        <v>40</v>
      </c>
      <c r="AG22" s="366">
        <v>0</v>
      </c>
      <c r="AH22" s="368">
        <v>46266</v>
      </c>
      <c r="AI22" s="368">
        <v>46269</v>
      </c>
      <c r="AJ22" s="369" t="s">
        <v>165</v>
      </c>
      <c r="AK22" s="373" t="s">
        <v>40</v>
      </c>
      <c r="AL22" s="370">
        <v>0</v>
      </c>
      <c r="AM22" s="169">
        <v>46332</v>
      </c>
      <c r="AN22" s="169">
        <v>46338</v>
      </c>
      <c r="AO22" s="168" t="s">
        <v>40</v>
      </c>
      <c r="AP22" s="170">
        <v>0</v>
      </c>
      <c r="AQ22"/>
    </row>
    <row r="23" spans="1:43">
      <c r="A23" s="292" t="s">
        <v>670</v>
      </c>
      <c r="B23" s="299">
        <v>52340</v>
      </c>
      <c r="C23" s="299">
        <v>1</v>
      </c>
      <c r="D23" s="149">
        <v>46195</v>
      </c>
      <c r="E23" s="149">
        <v>46200</v>
      </c>
      <c r="F23" s="341" t="s">
        <v>34</v>
      </c>
      <c r="G23" s="340" t="s">
        <v>478</v>
      </c>
      <c r="H23" s="372">
        <v>1</v>
      </c>
      <c r="I23" s="169">
        <v>46201</v>
      </c>
      <c r="J23" s="342">
        <v>46209</v>
      </c>
      <c r="K23" s="344" t="s">
        <v>681</v>
      </c>
      <c r="L23" s="344" t="s">
        <v>681</v>
      </c>
      <c r="M23" s="346">
        <v>0.9</v>
      </c>
      <c r="N23" s="347">
        <v>46219</v>
      </c>
      <c r="O23" s="347">
        <v>46231</v>
      </c>
      <c r="P23" s="374" t="s">
        <v>682</v>
      </c>
      <c r="Q23" s="374" t="s">
        <v>683</v>
      </c>
      <c r="R23" s="350">
        <v>0.5</v>
      </c>
      <c r="S23" s="352">
        <v>46232</v>
      </c>
      <c r="T23" s="352">
        <v>46238</v>
      </c>
      <c r="U23" s="354" t="s">
        <v>40</v>
      </c>
      <c r="V23" s="354" t="s">
        <v>480</v>
      </c>
      <c r="W23" s="355">
        <v>0</v>
      </c>
      <c r="X23" s="357">
        <v>46247</v>
      </c>
      <c r="Y23" s="357">
        <v>46249</v>
      </c>
      <c r="Z23" s="359" t="s">
        <v>40</v>
      </c>
      <c r="AA23" s="359" t="s">
        <v>480</v>
      </c>
      <c r="AB23" s="360">
        <v>0</v>
      </c>
      <c r="AC23" s="362">
        <v>46250</v>
      </c>
      <c r="AD23" s="326">
        <v>46257</v>
      </c>
      <c r="AE23" s="327" t="s">
        <v>40</v>
      </c>
      <c r="AF23" s="365" t="s">
        <v>40</v>
      </c>
      <c r="AG23" s="366">
        <v>0</v>
      </c>
      <c r="AH23" s="368">
        <v>46266</v>
      </c>
      <c r="AI23" s="368">
        <v>46269</v>
      </c>
      <c r="AJ23" s="369" t="s">
        <v>165</v>
      </c>
      <c r="AK23" s="373" t="s">
        <v>40</v>
      </c>
      <c r="AL23" s="370">
        <v>0</v>
      </c>
      <c r="AM23" s="169">
        <v>46332</v>
      </c>
      <c r="AN23" s="169">
        <v>46338</v>
      </c>
      <c r="AO23" s="168" t="s">
        <v>40</v>
      </c>
      <c r="AP23" s="170">
        <v>0</v>
      </c>
      <c r="AQ23"/>
    </row>
    <row r="24" spans="1:43">
      <c r="A24" s="292" t="s">
        <v>670</v>
      </c>
      <c r="B24" s="299" t="s">
        <v>696</v>
      </c>
      <c r="C24" s="299">
        <v>1</v>
      </c>
      <c r="D24" s="149">
        <v>46195</v>
      </c>
      <c r="E24" s="149">
        <v>46200</v>
      </c>
      <c r="F24" s="341" t="s">
        <v>34</v>
      </c>
      <c r="G24" s="340" t="s">
        <v>478</v>
      </c>
      <c r="H24" s="372">
        <v>1</v>
      </c>
      <c r="I24" s="169">
        <v>46201</v>
      </c>
      <c r="J24" s="342">
        <v>46209</v>
      </c>
      <c r="K24" s="344" t="s">
        <v>681</v>
      </c>
      <c r="L24" s="344" t="s">
        <v>681</v>
      </c>
      <c r="M24" s="346">
        <v>0.9</v>
      </c>
      <c r="N24" s="347">
        <v>46219</v>
      </c>
      <c r="O24" s="347">
        <v>46231</v>
      </c>
      <c r="P24" s="374" t="s">
        <v>682</v>
      </c>
      <c r="Q24" s="374" t="s">
        <v>683</v>
      </c>
      <c r="R24" s="350">
        <v>0.5</v>
      </c>
      <c r="S24" s="352">
        <v>46232</v>
      </c>
      <c r="T24" s="352">
        <v>46238</v>
      </c>
      <c r="U24" s="354" t="s">
        <v>40</v>
      </c>
      <c r="V24" s="354" t="s">
        <v>480</v>
      </c>
      <c r="W24" s="355">
        <v>0</v>
      </c>
      <c r="X24" s="357">
        <v>46247</v>
      </c>
      <c r="Y24" s="357">
        <v>46249</v>
      </c>
      <c r="Z24" s="359" t="s">
        <v>40</v>
      </c>
      <c r="AA24" s="359" t="s">
        <v>480</v>
      </c>
      <c r="AB24" s="360">
        <v>0</v>
      </c>
      <c r="AC24" s="362">
        <v>46250</v>
      </c>
      <c r="AD24" s="326">
        <v>46257</v>
      </c>
      <c r="AE24" s="327" t="s">
        <v>40</v>
      </c>
      <c r="AF24" s="365" t="s">
        <v>40</v>
      </c>
      <c r="AG24" s="366">
        <v>0</v>
      </c>
      <c r="AH24" s="368">
        <v>46266</v>
      </c>
      <c r="AI24" s="368">
        <v>46269</v>
      </c>
      <c r="AJ24" s="369" t="s">
        <v>165</v>
      </c>
      <c r="AK24" s="373" t="s">
        <v>40</v>
      </c>
      <c r="AL24" s="370">
        <v>0</v>
      </c>
      <c r="AM24" s="169">
        <v>46332</v>
      </c>
      <c r="AN24" s="169">
        <v>46338</v>
      </c>
      <c r="AO24" s="168" t="s">
        <v>40</v>
      </c>
      <c r="AP24" s="170">
        <v>0</v>
      </c>
      <c r="AQ24"/>
    </row>
    <row r="25" spans="1:43">
      <c r="A25" s="292" t="s">
        <v>670</v>
      </c>
      <c r="B25" s="299" t="s">
        <v>697</v>
      </c>
      <c r="C25" s="299">
        <v>1</v>
      </c>
      <c r="D25" s="149">
        <v>46195</v>
      </c>
      <c r="E25" s="149">
        <v>46200</v>
      </c>
      <c r="F25" s="341" t="s">
        <v>34</v>
      </c>
      <c r="G25" s="340" t="s">
        <v>478</v>
      </c>
      <c r="H25" s="372">
        <v>1</v>
      </c>
      <c r="I25" s="169">
        <v>46201</v>
      </c>
      <c r="J25" s="342">
        <v>46209</v>
      </c>
      <c r="K25" s="344" t="s">
        <v>681</v>
      </c>
      <c r="L25" s="344" t="s">
        <v>681</v>
      </c>
      <c r="M25" s="346">
        <v>0.9</v>
      </c>
      <c r="N25" s="347">
        <v>46219</v>
      </c>
      <c r="O25" s="347">
        <v>46231</v>
      </c>
      <c r="P25" s="374" t="s">
        <v>682</v>
      </c>
      <c r="Q25" s="374" t="s">
        <v>683</v>
      </c>
      <c r="R25" s="350">
        <v>0.5</v>
      </c>
      <c r="S25" s="352">
        <v>46232</v>
      </c>
      <c r="T25" s="352">
        <v>46238</v>
      </c>
      <c r="U25" s="354" t="s">
        <v>40</v>
      </c>
      <c r="V25" s="354" t="s">
        <v>480</v>
      </c>
      <c r="W25" s="355">
        <v>0</v>
      </c>
      <c r="X25" s="357">
        <v>46247</v>
      </c>
      <c r="Y25" s="357">
        <v>46249</v>
      </c>
      <c r="Z25" s="359" t="s">
        <v>40</v>
      </c>
      <c r="AA25" s="359" t="s">
        <v>480</v>
      </c>
      <c r="AB25" s="360">
        <v>0</v>
      </c>
      <c r="AC25" s="362">
        <v>46250</v>
      </c>
      <c r="AD25" s="326">
        <v>46257</v>
      </c>
      <c r="AE25" s="327" t="s">
        <v>40</v>
      </c>
      <c r="AF25" s="365" t="s">
        <v>40</v>
      </c>
      <c r="AG25" s="366">
        <v>0</v>
      </c>
      <c r="AH25" s="368">
        <v>46266</v>
      </c>
      <c r="AI25" s="368">
        <v>46269</v>
      </c>
      <c r="AJ25" s="369" t="s">
        <v>165</v>
      </c>
      <c r="AK25" s="373" t="s">
        <v>40</v>
      </c>
      <c r="AL25" s="370">
        <v>0</v>
      </c>
      <c r="AM25" s="169">
        <v>46332</v>
      </c>
      <c r="AN25" s="169">
        <v>46338</v>
      </c>
      <c r="AO25" s="168" t="s">
        <v>40</v>
      </c>
      <c r="AP25" s="170">
        <v>0</v>
      </c>
      <c r="AQ25"/>
    </row>
    <row r="26" spans="1:43">
      <c r="A26" s="292" t="s">
        <v>670</v>
      </c>
      <c r="B26" s="299" t="s">
        <v>698</v>
      </c>
      <c r="C26" s="299">
        <v>1</v>
      </c>
      <c r="D26" s="149">
        <v>46195</v>
      </c>
      <c r="E26" s="149">
        <v>46200</v>
      </c>
      <c r="F26" s="341" t="s">
        <v>34</v>
      </c>
      <c r="G26" s="340" t="s">
        <v>478</v>
      </c>
      <c r="H26" s="372">
        <v>1</v>
      </c>
      <c r="I26" s="169">
        <v>46201</v>
      </c>
      <c r="J26" s="342">
        <v>46209</v>
      </c>
      <c r="K26" s="344" t="s">
        <v>681</v>
      </c>
      <c r="L26" s="344" t="s">
        <v>681</v>
      </c>
      <c r="M26" s="346">
        <v>0.9</v>
      </c>
      <c r="N26" s="347">
        <v>46219</v>
      </c>
      <c r="O26" s="347">
        <v>46231</v>
      </c>
      <c r="P26" s="374" t="s">
        <v>682</v>
      </c>
      <c r="Q26" s="374" t="s">
        <v>683</v>
      </c>
      <c r="R26" s="350">
        <v>0.5</v>
      </c>
      <c r="S26" s="352">
        <v>46232</v>
      </c>
      <c r="T26" s="352">
        <v>46238</v>
      </c>
      <c r="U26" s="354" t="s">
        <v>40</v>
      </c>
      <c r="V26" s="354" t="s">
        <v>480</v>
      </c>
      <c r="W26" s="355">
        <v>0</v>
      </c>
      <c r="X26" s="357">
        <v>46247</v>
      </c>
      <c r="Y26" s="357">
        <v>46249</v>
      </c>
      <c r="Z26" s="359" t="s">
        <v>40</v>
      </c>
      <c r="AA26" s="359" t="s">
        <v>480</v>
      </c>
      <c r="AB26" s="360">
        <v>0</v>
      </c>
      <c r="AC26" s="362">
        <v>46250</v>
      </c>
      <c r="AD26" s="326">
        <v>46257</v>
      </c>
      <c r="AE26" s="327" t="s">
        <v>40</v>
      </c>
      <c r="AF26" s="365" t="s">
        <v>40</v>
      </c>
      <c r="AG26" s="366">
        <v>0</v>
      </c>
      <c r="AH26" s="368">
        <v>46266</v>
      </c>
      <c r="AI26" s="368">
        <v>46269</v>
      </c>
      <c r="AJ26" s="369" t="s">
        <v>165</v>
      </c>
      <c r="AK26" s="373" t="s">
        <v>40</v>
      </c>
      <c r="AL26" s="370">
        <v>0</v>
      </c>
      <c r="AM26" s="169">
        <v>46332</v>
      </c>
      <c r="AN26" s="169">
        <v>46338</v>
      </c>
      <c r="AO26" s="168" t="s">
        <v>40</v>
      </c>
      <c r="AP26" s="170">
        <v>0</v>
      </c>
      <c r="AQ26"/>
    </row>
    <row r="27" spans="1:43">
      <c r="A27" s="292" t="s">
        <v>670</v>
      </c>
      <c r="B27" s="299" t="s">
        <v>699</v>
      </c>
      <c r="C27" s="299">
        <v>1</v>
      </c>
      <c r="D27" s="149">
        <v>46195</v>
      </c>
      <c r="E27" s="149">
        <v>46200</v>
      </c>
      <c r="F27" s="341" t="s">
        <v>34</v>
      </c>
      <c r="G27" s="340" t="s">
        <v>478</v>
      </c>
      <c r="H27" s="372">
        <v>1</v>
      </c>
      <c r="I27" s="169">
        <v>46201</v>
      </c>
      <c r="J27" s="342">
        <v>46209</v>
      </c>
      <c r="K27" s="344" t="s">
        <v>681</v>
      </c>
      <c r="L27" s="344" t="s">
        <v>681</v>
      </c>
      <c r="M27" s="346">
        <v>0.9</v>
      </c>
      <c r="N27" s="347">
        <v>46219</v>
      </c>
      <c r="O27" s="347">
        <v>46231</v>
      </c>
      <c r="P27" s="374" t="s">
        <v>682</v>
      </c>
      <c r="Q27" s="374" t="s">
        <v>683</v>
      </c>
      <c r="R27" s="350">
        <v>0.5</v>
      </c>
      <c r="S27" s="352">
        <v>46232</v>
      </c>
      <c r="T27" s="352">
        <v>46238</v>
      </c>
      <c r="U27" s="354" t="s">
        <v>40</v>
      </c>
      <c r="V27" s="354" t="s">
        <v>480</v>
      </c>
      <c r="W27" s="355">
        <v>0</v>
      </c>
      <c r="X27" s="357">
        <v>46247</v>
      </c>
      <c r="Y27" s="357">
        <v>46249</v>
      </c>
      <c r="Z27" s="359" t="s">
        <v>40</v>
      </c>
      <c r="AA27" s="359" t="s">
        <v>480</v>
      </c>
      <c r="AB27" s="360">
        <v>0</v>
      </c>
      <c r="AC27" s="362">
        <v>46250</v>
      </c>
      <c r="AD27" s="326">
        <v>46257</v>
      </c>
      <c r="AE27" s="327" t="s">
        <v>40</v>
      </c>
      <c r="AF27" s="365" t="s">
        <v>40</v>
      </c>
      <c r="AG27" s="366">
        <v>0</v>
      </c>
      <c r="AH27" s="368">
        <v>46266</v>
      </c>
      <c r="AI27" s="368">
        <v>46269</v>
      </c>
      <c r="AJ27" s="369" t="s">
        <v>165</v>
      </c>
      <c r="AK27" s="373" t="s">
        <v>40</v>
      </c>
      <c r="AL27" s="370">
        <v>0</v>
      </c>
      <c r="AM27" s="169">
        <v>46332</v>
      </c>
      <c r="AN27" s="169">
        <v>46338</v>
      </c>
      <c r="AO27" s="168" t="s">
        <v>40</v>
      </c>
      <c r="AP27" s="170">
        <v>0</v>
      </c>
      <c r="AQ27"/>
    </row>
    <row r="28" spans="1:43">
      <c r="A28" s="292" t="s">
        <v>670</v>
      </c>
      <c r="B28" s="299" t="s">
        <v>700</v>
      </c>
      <c r="C28" s="299">
        <v>1</v>
      </c>
      <c r="D28" s="149">
        <v>46195</v>
      </c>
      <c r="E28" s="149">
        <v>46200</v>
      </c>
      <c r="F28" s="341" t="s">
        <v>34</v>
      </c>
      <c r="G28" s="340" t="s">
        <v>478</v>
      </c>
      <c r="H28" s="372">
        <v>1</v>
      </c>
      <c r="I28" s="169">
        <v>46201</v>
      </c>
      <c r="J28" s="342">
        <v>46209</v>
      </c>
      <c r="K28" s="344" t="s">
        <v>681</v>
      </c>
      <c r="L28" s="344" t="s">
        <v>681</v>
      </c>
      <c r="M28" s="346">
        <v>0.9</v>
      </c>
      <c r="N28" s="347">
        <v>46219</v>
      </c>
      <c r="O28" s="347">
        <v>46231</v>
      </c>
      <c r="P28" s="374" t="s">
        <v>682</v>
      </c>
      <c r="Q28" s="374" t="s">
        <v>683</v>
      </c>
      <c r="R28" s="350">
        <v>0.5</v>
      </c>
      <c r="S28" s="352">
        <v>46232</v>
      </c>
      <c r="T28" s="352">
        <v>46238</v>
      </c>
      <c r="U28" s="354" t="s">
        <v>40</v>
      </c>
      <c r="V28" s="354" t="s">
        <v>480</v>
      </c>
      <c r="W28" s="355">
        <v>0</v>
      </c>
      <c r="X28" s="357">
        <v>46247</v>
      </c>
      <c r="Y28" s="357">
        <v>46249</v>
      </c>
      <c r="Z28" s="359" t="s">
        <v>40</v>
      </c>
      <c r="AA28" s="359" t="s">
        <v>480</v>
      </c>
      <c r="AB28" s="360">
        <v>0</v>
      </c>
      <c r="AC28" s="362">
        <v>46250</v>
      </c>
      <c r="AD28" s="326">
        <v>46257</v>
      </c>
      <c r="AE28" s="327" t="s">
        <v>40</v>
      </c>
      <c r="AF28" s="365" t="s">
        <v>40</v>
      </c>
      <c r="AG28" s="366">
        <v>0</v>
      </c>
      <c r="AH28" s="368">
        <v>46266</v>
      </c>
      <c r="AI28" s="368">
        <v>46269</v>
      </c>
      <c r="AJ28" s="369" t="s">
        <v>165</v>
      </c>
      <c r="AK28" s="373" t="s">
        <v>40</v>
      </c>
      <c r="AL28" s="370">
        <v>0</v>
      </c>
      <c r="AM28" s="169">
        <v>46332</v>
      </c>
      <c r="AN28" s="169">
        <v>46338</v>
      </c>
      <c r="AO28" s="168" t="s">
        <v>40</v>
      </c>
      <c r="AP28" s="170">
        <v>0</v>
      </c>
      <c r="AQ28"/>
    </row>
    <row r="29" spans="1:43">
      <c r="A29" s="292" t="s">
        <v>670</v>
      </c>
      <c r="B29" s="299" t="s">
        <v>701</v>
      </c>
      <c r="C29" s="299">
        <v>1</v>
      </c>
      <c r="D29" s="149">
        <v>46195</v>
      </c>
      <c r="E29" s="149">
        <v>46200</v>
      </c>
      <c r="F29" s="341" t="s">
        <v>34</v>
      </c>
      <c r="G29" s="340" t="s">
        <v>478</v>
      </c>
      <c r="H29" s="372">
        <v>1</v>
      </c>
      <c r="I29" s="169">
        <v>46201</v>
      </c>
      <c r="J29" s="342">
        <v>46209</v>
      </c>
      <c r="K29" s="344" t="s">
        <v>681</v>
      </c>
      <c r="L29" s="344" t="s">
        <v>681</v>
      </c>
      <c r="M29" s="346">
        <v>0.9</v>
      </c>
      <c r="N29" s="347">
        <v>46219</v>
      </c>
      <c r="O29" s="347">
        <v>46231</v>
      </c>
      <c r="P29" s="374" t="s">
        <v>682</v>
      </c>
      <c r="Q29" s="374" t="s">
        <v>683</v>
      </c>
      <c r="R29" s="350">
        <v>0.5</v>
      </c>
      <c r="S29" s="352">
        <v>46232</v>
      </c>
      <c r="T29" s="352">
        <v>46238</v>
      </c>
      <c r="U29" s="354" t="s">
        <v>40</v>
      </c>
      <c r="V29" s="354" t="s">
        <v>480</v>
      </c>
      <c r="W29" s="355">
        <v>0</v>
      </c>
      <c r="X29" s="357">
        <v>46247</v>
      </c>
      <c r="Y29" s="357">
        <v>46249</v>
      </c>
      <c r="Z29" s="359" t="s">
        <v>40</v>
      </c>
      <c r="AA29" s="359" t="s">
        <v>480</v>
      </c>
      <c r="AB29" s="360">
        <v>0</v>
      </c>
      <c r="AC29" s="362">
        <v>46250</v>
      </c>
      <c r="AD29" s="326">
        <v>46257</v>
      </c>
      <c r="AE29" s="327" t="s">
        <v>40</v>
      </c>
      <c r="AF29" s="365" t="s">
        <v>40</v>
      </c>
      <c r="AG29" s="366">
        <v>0</v>
      </c>
      <c r="AH29" s="368">
        <v>46266</v>
      </c>
      <c r="AI29" s="368">
        <v>46269</v>
      </c>
      <c r="AJ29" s="369" t="s">
        <v>165</v>
      </c>
      <c r="AK29" s="373" t="s">
        <v>40</v>
      </c>
      <c r="AL29" s="370">
        <v>0</v>
      </c>
      <c r="AM29" s="169">
        <v>46332</v>
      </c>
      <c r="AN29" s="169">
        <v>46338</v>
      </c>
      <c r="AO29" s="168" t="s">
        <v>40</v>
      </c>
      <c r="AP29" s="170">
        <v>0</v>
      </c>
      <c r="AQ29"/>
    </row>
    <row r="30" spans="1:43">
      <c r="A30" s="292" t="s">
        <v>670</v>
      </c>
      <c r="B30" s="299" t="s">
        <v>702</v>
      </c>
      <c r="C30" s="299">
        <v>1</v>
      </c>
      <c r="D30" s="149">
        <v>46195</v>
      </c>
      <c r="E30" s="149">
        <v>46200</v>
      </c>
      <c r="F30" s="341" t="s">
        <v>34</v>
      </c>
      <c r="G30" s="340" t="s">
        <v>478</v>
      </c>
      <c r="H30" s="372">
        <v>1</v>
      </c>
      <c r="I30" s="169">
        <v>46201</v>
      </c>
      <c r="J30" s="342">
        <v>46209</v>
      </c>
      <c r="K30" s="344" t="s">
        <v>681</v>
      </c>
      <c r="L30" s="344" t="s">
        <v>681</v>
      </c>
      <c r="M30" s="346">
        <v>0.9</v>
      </c>
      <c r="N30" s="347">
        <v>46219</v>
      </c>
      <c r="O30" s="347">
        <v>46231</v>
      </c>
      <c r="P30" s="374" t="s">
        <v>682</v>
      </c>
      <c r="Q30" s="374" t="s">
        <v>683</v>
      </c>
      <c r="R30" s="350">
        <v>0.5</v>
      </c>
      <c r="S30" s="352">
        <v>46232</v>
      </c>
      <c r="T30" s="352">
        <v>46238</v>
      </c>
      <c r="U30" s="354" t="s">
        <v>40</v>
      </c>
      <c r="V30" s="354" t="s">
        <v>480</v>
      </c>
      <c r="W30" s="355">
        <v>0</v>
      </c>
      <c r="X30" s="357">
        <v>46247</v>
      </c>
      <c r="Y30" s="357">
        <v>46249</v>
      </c>
      <c r="Z30" s="359" t="s">
        <v>40</v>
      </c>
      <c r="AA30" s="359" t="s">
        <v>480</v>
      </c>
      <c r="AB30" s="360">
        <v>0</v>
      </c>
      <c r="AC30" s="362">
        <v>46250</v>
      </c>
      <c r="AD30" s="326">
        <v>46257</v>
      </c>
      <c r="AE30" s="327" t="s">
        <v>40</v>
      </c>
      <c r="AF30" s="365" t="s">
        <v>40</v>
      </c>
      <c r="AG30" s="366">
        <v>0</v>
      </c>
      <c r="AH30" s="368">
        <v>46266</v>
      </c>
      <c r="AI30" s="368">
        <v>46269</v>
      </c>
      <c r="AJ30" s="369" t="s">
        <v>165</v>
      </c>
      <c r="AK30" s="373" t="s">
        <v>40</v>
      </c>
      <c r="AL30" s="370">
        <v>0</v>
      </c>
      <c r="AM30" s="169">
        <v>46332</v>
      </c>
      <c r="AN30" s="169">
        <v>46338</v>
      </c>
      <c r="AO30" s="168" t="s">
        <v>40</v>
      </c>
      <c r="AP30" s="170">
        <v>0</v>
      </c>
      <c r="AQ30"/>
    </row>
    <row r="31" spans="1:43">
      <c r="A31" s="292" t="s">
        <v>670</v>
      </c>
      <c r="B31" s="299" t="s">
        <v>703</v>
      </c>
      <c r="C31" s="299">
        <v>1</v>
      </c>
      <c r="D31" s="149">
        <v>46195</v>
      </c>
      <c r="E31" s="149">
        <v>46200</v>
      </c>
      <c r="F31" s="341" t="s">
        <v>34</v>
      </c>
      <c r="G31" s="340" t="s">
        <v>478</v>
      </c>
      <c r="H31" s="372">
        <v>1</v>
      </c>
      <c r="I31" s="169">
        <v>46201</v>
      </c>
      <c r="J31" s="342">
        <v>46209</v>
      </c>
      <c r="K31" s="344" t="s">
        <v>681</v>
      </c>
      <c r="L31" s="344" t="s">
        <v>681</v>
      </c>
      <c r="M31" s="346">
        <v>0.9</v>
      </c>
      <c r="N31" s="347">
        <v>46219</v>
      </c>
      <c r="O31" s="347">
        <v>46231</v>
      </c>
      <c r="P31" s="374" t="s">
        <v>682</v>
      </c>
      <c r="Q31" s="374" t="s">
        <v>683</v>
      </c>
      <c r="R31" s="350">
        <v>0.5</v>
      </c>
      <c r="S31" s="352">
        <v>46232</v>
      </c>
      <c r="T31" s="352">
        <v>46238</v>
      </c>
      <c r="U31" s="354" t="s">
        <v>40</v>
      </c>
      <c r="V31" s="354" t="s">
        <v>480</v>
      </c>
      <c r="W31" s="355">
        <v>0</v>
      </c>
      <c r="X31" s="357">
        <v>46247</v>
      </c>
      <c r="Y31" s="357">
        <v>46249</v>
      </c>
      <c r="Z31" s="359" t="s">
        <v>40</v>
      </c>
      <c r="AA31" s="359" t="s">
        <v>480</v>
      </c>
      <c r="AB31" s="360">
        <v>0</v>
      </c>
      <c r="AC31" s="362">
        <v>46250</v>
      </c>
      <c r="AD31" s="326">
        <v>46257</v>
      </c>
      <c r="AE31" s="327" t="s">
        <v>40</v>
      </c>
      <c r="AF31" s="365" t="s">
        <v>40</v>
      </c>
      <c r="AG31" s="366">
        <v>0</v>
      </c>
      <c r="AH31" s="368">
        <v>46266</v>
      </c>
      <c r="AI31" s="368">
        <v>46269</v>
      </c>
      <c r="AJ31" s="369" t="s">
        <v>165</v>
      </c>
      <c r="AK31" s="373" t="s">
        <v>40</v>
      </c>
      <c r="AL31" s="370">
        <v>0</v>
      </c>
      <c r="AM31" s="169">
        <v>46332</v>
      </c>
      <c r="AN31" s="169">
        <v>46338</v>
      </c>
      <c r="AO31" s="168" t="s">
        <v>40</v>
      </c>
      <c r="AP31" s="170">
        <v>0</v>
      </c>
      <c r="AQ31"/>
    </row>
    <row r="32" spans="1:43">
      <c r="A32" s="292" t="s">
        <v>670</v>
      </c>
      <c r="B32" s="299" t="s">
        <v>704</v>
      </c>
      <c r="C32" s="299">
        <v>1</v>
      </c>
      <c r="D32" s="149">
        <v>46195</v>
      </c>
      <c r="E32" s="149">
        <v>46200</v>
      </c>
      <c r="F32" s="308" t="s">
        <v>40</v>
      </c>
      <c r="G32" s="340" t="s">
        <v>479</v>
      </c>
      <c r="H32" s="372">
        <v>0</v>
      </c>
      <c r="I32" s="169">
        <v>46201</v>
      </c>
      <c r="J32" s="311">
        <v>46209</v>
      </c>
      <c r="K32" s="310" t="s">
        <v>40</v>
      </c>
      <c r="L32" s="345" t="s">
        <v>40</v>
      </c>
      <c r="M32" s="312">
        <v>0</v>
      </c>
      <c r="N32" s="314">
        <v>46219</v>
      </c>
      <c r="O32" s="314">
        <v>46231</v>
      </c>
      <c r="P32" s="315" t="s">
        <v>40</v>
      </c>
      <c r="Q32" s="336" t="s">
        <v>40</v>
      </c>
      <c r="R32" s="316">
        <v>0</v>
      </c>
      <c r="S32" s="318">
        <v>46232</v>
      </c>
      <c r="T32" s="318">
        <v>46238</v>
      </c>
      <c r="U32" s="319" t="s">
        <v>40</v>
      </c>
      <c r="V32" s="337" t="s">
        <v>40</v>
      </c>
      <c r="W32" s="320">
        <v>0</v>
      </c>
      <c r="X32" s="322">
        <v>46247</v>
      </c>
      <c r="Y32" s="322">
        <v>46249</v>
      </c>
      <c r="Z32" s="323" t="s">
        <v>40</v>
      </c>
      <c r="AA32" s="338" t="s">
        <v>40</v>
      </c>
      <c r="AB32" s="324">
        <v>0</v>
      </c>
      <c r="AC32" s="326">
        <v>46250</v>
      </c>
      <c r="AD32" s="326">
        <v>46257</v>
      </c>
      <c r="AE32" s="327" t="s">
        <v>40</v>
      </c>
      <c r="AF32" s="339" t="s">
        <v>40</v>
      </c>
      <c r="AG32" s="328">
        <v>0</v>
      </c>
      <c r="AH32" s="330">
        <v>46266</v>
      </c>
      <c r="AI32" s="330">
        <v>46269</v>
      </c>
      <c r="AJ32" s="331" t="s">
        <v>165</v>
      </c>
      <c r="AK32" s="333" t="s">
        <v>40</v>
      </c>
      <c r="AL32" s="332">
        <v>0</v>
      </c>
      <c r="AM32" s="169">
        <v>46332</v>
      </c>
      <c r="AN32" s="169">
        <v>46338</v>
      </c>
      <c r="AO32" s="168" t="s">
        <v>40</v>
      </c>
      <c r="AP32" s="170">
        <v>0</v>
      </c>
      <c r="AQ32"/>
    </row>
    <row r="33" spans="1:43">
      <c r="A33" s="292" t="s">
        <v>670</v>
      </c>
      <c r="B33" s="299" t="s">
        <v>705</v>
      </c>
      <c r="C33" s="299">
        <v>1</v>
      </c>
      <c r="D33" s="149">
        <v>46195</v>
      </c>
      <c r="E33" s="149">
        <v>46200</v>
      </c>
      <c r="F33" s="308" t="s">
        <v>40</v>
      </c>
      <c r="G33" s="340" t="s">
        <v>706</v>
      </c>
      <c r="H33" s="372">
        <v>0.95</v>
      </c>
      <c r="I33" s="169">
        <v>46201</v>
      </c>
      <c r="J33" s="311">
        <v>46209</v>
      </c>
      <c r="K33" s="310" t="s">
        <v>40</v>
      </c>
      <c r="L33" s="345"/>
      <c r="M33" s="312">
        <v>0.7</v>
      </c>
      <c r="N33" s="314">
        <v>46219</v>
      </c>
      <c r="O33" s="314">
        <v>46231</v>
      </c>
      <c r="P33" s="315" t="s">
        <v>40</v>
      </c>
      <c r="Q33" s="336" t="s">
        <v>40</v>
      </c>
      <c r="R33" s="316">
        <v>0</v>
      </c>
      <c r="S33" s="318">
        <v>46232</v>
      </c>
      <c r="T33" s="318">
        <v>46238</v>
      </c>
      <c r="U33" s="319" t="s">
        <v>40</v>
      </c>
      <c r="V33" s="337" t="s">
        <v>40</v>
      </c>
      <c r="W33" s="320">
        <v>0</v>
      </c>
      <c r="X33" s="322">
        <v>46247</v>
      </c>
      <c r="Y33" s="322">
        <v>46249</v>
      </c>
      <c r="Z33" s="323" t="s">
        <v>40</v>
      </c>
      <c r="AA33" s="338" t="s">
        <v>40</v>
      </c>
      <c r="AB33" s="324">
        <v>0</v>
      </c>
      <c r="AC33" s="326">
        <v>46250</v>
      </c>
      <c r="AD33" s="326">
        <v>46257</v>
      </c>
      <c r="AE33" s="327" t="s">
        <v>40</v>
      </c>
      <c r="AF33" s="339" t="s">
        <v>40</v>
      </c>
      <c r="AG33" s="328">
        <v>0</v>
      </c>
      <c r="AH33" s="330">
        <v>46266</v>
      </c>
      <c r="AI33" s="330">
        <v>46269</v>
      </c>
      <c r="AJ33" s="331" t="s">
        <v>165</v>
      </c>
      <c r="AK33" s="333" t="s">
        <v>40</v>
      </c>
      <c r="AL33" s="332">
        <v>0</v>
      </c>
      <c r="AM33" s="169">
        <v>46332</v>
      </c>
      <c r="AN33" s="169">
        <v>46338</v>
      </c>
      <c r="AO33" s="168" t="s">
        <v>40</v>
      </c>
      <c r="AP33" s="170">
        <v>0</v>
      </c>
      <c r="AQ33"/>
    </row>
    <row r="34" spans="1:43">
      <c r="A34" s="292" t="s">
        <v>670</v>
      </c>
      <c r="B34" s="299" t="s">
        <v>707</v>
      </c>
      <c r="C34" s="299">
        <v>1</v>
      </c>
      <c r="D34" s="149">
        <v>46195</v>
      </c>
      <c r="E34" s="149">
        <v>46200</v>
      </c>
      <c r="F34" s="308" t="s">
        <v>40</v>
      </c>
      <c r="G34" s="340"/>
      <c r="H34" s="372">
        <v>1</v>
      </c>
      <c r="I34" s="169">
        <v>46201</v>
      </c>
      <c r="J34" s="311">
        <v>46209</v>
      </c>
      <c r="K34" s="310" t="s">
        <v>40</v>
      </c>
      <c r="L34" s="345"/>
      <c r="M34" s="312">
        <v>1</v>
      </c>
      <c r="N34" s="314">
        <v>46219</v>
      </c>
      <c r="O34" s="314">
        <v>46231</v>
      </c>
      <c r="P34" s="315" t="s">
        <v>40</v>
      </c>
      <c r="Q34" s="336" t="s">
        <v>40</v>
      </c>
      <c r="R34" s="316">
        <v>0</v>
      </c>
      <c r="S34" s="318">
        <v>46232</v>
      </c>
      <c r="T34" s="318">
        <v>46238</v>
      </c>
      <c r="U34" s="319" t="s">
        <v>40</v>
      </c>
      <c r="V34" s="337" t="s">
        <v>40</v>
      </c>
      <c r="W34" s="320">
        <v>0</v>
      </c>
      <c r="X34" s="322">
        <v>46247</v>
      </c>
      <c r="Y34" s="322">
        <v>46249</v>
      </c>
      <c r="Z34" s="323" t="s">
        <v>40</v>
      </c>
      <c r="AA34" s="338" t="s">
        <v>40</v>
      </c>
      <c r="AB34" s="324">
        <v>0</v>
      </c>
      <c r="AC34" s="326">
        <v>46250</v>
      </c>
      <c r="AD34" s="326">
        <v>46257</v>
      </c>
      <c r="AE34" s="327" t="s">
        <v>40</v>
      </c>
      <c r="AF34" s="339" t="s">
        <v>40</v>
      </c>
      <c r="AG34" s="328">
        <v>0</v>
      </c>
      <c r="AH34" s="330">
        <v>46266</v>
      </c>
      <c r="AI34" s="330">
        <v>46269</v>
      </c>
      <c r="AJ34" s="331" t="s">
        <v>165</v>
      </c>
      <c r="AK34" s="333" t="s">
        <v>40</v>
      </c>
      <c r="AL34" s="332">
        <v>0</v>
      </c>
      <c r="AM34" s="169">
        <v>46332</v>
      </c>
      <c r="AN34" s="169">
        <v>46338</v>
      </c>
      <c r="AO34" s="168" t="s">
        <v>40</v>
      </c>
      <c r="AP34" s="170">
        <v>0</v>
      </c>
      <c r="AQ34"/>
    </row>
    <row r="35" spans="1:43">
      <c r="A35" s="292" t="s">
        <v>670</v>
      </c>
      <c r="B35" s="299" t="s">
        <v>708</v>
      </c>
      <c r="C35" s="299">
        <v>1</v>
      </c>
      <c r="D35" s="149">
        <v>46195</v>
      </c>
      <c r="E35" s="149">
        <v>46200</v>
      </c>
      <c r="F35" s="340" t="s">
        <v>40</v>
      </c>
      <c r="G35" s="340" t="s">
        <v>709</v>
      </c>
      <c r="H35" s="372">
        <v>1</v>
      </c>
      <c r="I35" s="169">
        <v>46201</v>
      </c>
      <c r="J35" s="311">
        <v>46209</v>
      </c>
      <c r="K35" s="310" t="s">
        <v>40</v>
      </c>
      <c r="L35" s="345" t="s">
        <v>40</v>
      </c>
      <c r="M35" s="312">
        <v>0.9</v>
      </c>
      <c r="N35" s="314">
        <v>46219</v>
      </c>
      <c r="O35" s="314">
        <v>46231</v>
      </c>
      <c r="P35" s="315" t="s">
        <v>40</v>
      </c>
      <c r="Q35" s="336" t="s">
        <v>40</v>
      </c>
      <c r="R35" s="316">
        <v>0</v>
      </c>
      <c r="S35" s="318">
        <v>46232</v>
      </c>
      <c r="T35" s="318">
        <v>46238</v>
      </c>
      <c r="U35" s="319" t="s">
        <v>40</v>
      </c>
      <c r="V35" s="337" t="s">
        <v>40</v>
      </c>
      <c r="W35" s="320">
        <v>0</v>
      </c>
      <c r="X35" s="322">
        <v>46247</v>
      </c>
      <c r="Y35" s="322">
        <v>46249</v>
      </c>
      <c r="Z35" s="323" t="s">
        <v>40</v>
      </c>
      <c r="AA35" s="338" t="s">
        <v>40</v>
      </c>
      <c r="AB35" s="324">
        <v>0</v>
      </c>
      <c r="AC35" s="326">
        <v>46250</v>
      </c>
      <c r="AD35" s="326">
        <v>46257</v>
      </c>
      <c r="AE35" s="327" t="s">
        <v>40</v>
      </c>
      <c r="AF35" s="339" t="s">
        <v>40</v>
      </c>
      <c r="AG35" s="328">
        <v>0</v>
      </c>
      <c r="AH35" s="330">
        <v>46266</v>
      </c>
      <c r="AI35" s="330">
        <v>46269</v>
      </c>
      <c r="AJ35" s="331" t="s">
        <v>165</v>
      </c>
      <c r="AK35" s="333" t="s">
        <v>40</v>
      </c>
      <c r="AL35" s="332">
        <v>0</v>
      </c>
      <c r="AM35" s="169">
        <v>46332</v>
      </c>
      <c r="AN35" s="169">
        <v>46338</v>
      </c>
      <c r="AO35" s="168" t="s">
        <v>40</v>
      </c>
      <c r="AP35" s="170">
        <v>0</v>
      </c>
      <c r="AQ35"/>
    </row>
    <row r="36" spans="1:43">
      <c r="A36" s="292" t="s">
        <v>670</v>
      </c>
      <c r="B36" s="299" t="s">
        <v>710</v>
      </c>
      <c r="C36" s="299">
        <v>1</v>
      </c>
      <c r="D36" s="149">
        <v>46195</v>
      </c>
      <c r="E36" s="149">
        <v>46200</v>
      </c>
      <c r="F36" s="341" t="s">
        <v>40</v>
      </c>
      <c r="G36" s="340" t="s">
        <v>674</v>
      </c>
      <c r="H36" s="372">
        <v>0</v>
      </c>
      <c r="I36" s="169">
        <v>46201</v>
      </c>
      <c r="J36" s="342">
        <v>46209</v>
      </c>
      <c r="K36" s="344" t="s">
        <v>40</v>
      </c>
      <c r="L36" s="345" t="s">
        <v>675</v>
      </c>
      <c r="M36" s="346">
        <v>0</v>
      </c>
      <c r="N36" s="347">
        <v>46219</v>
      </c>
      <c r="O36" s="347">
        <v>46231</v>
      </c>
      <c r="P36" s="349" t="s">
        <v>40</v>
      </c>
      <c r="Q36" s="374" t="s">
        <v>676</v>
      </c>
      <c r="R36" s="350">
        <v>0</v>
      </c>
      <c r="S36" s="352">
        <v>46232</v>
      </c>
      <c r="T36" s="352">
        <v>46238</v>
      </c>
      <c r="U36" s="354" t="s">
        <v>40</v>
      </c>
      <c r="V36" s="376" t="s">
        <v>676</v>
      </c>
      <c r="W36" s="355">
        <v>0</v>
      </c>
      <c r="X36" s="357">
        <v>46247</v>
      </c>
      <c r="Y36" s="357">
        <v>46249</v>
      </c>
      <c r="Z36" s="359" t="s">
        <v>40</v>
      </c>
      <c r="AA36" s="377" t="s">
        <v>676</v>
      </c>
      <c r="AB36" s="360">
        <v>0</v>
      </c>
      <c r="AC36" s="362">
        <v>46250</v>
      </c>
      <c r="AD36" s="326">
        <v>46257</v>
      </c>
      <c r="AE36" s="327" t="s">
        <v>40</v>
      </c>
      <c r="AF36" s="378" t="s">
        <v>676</v>
      </c>
      <c r="AG36" s="366">
        <v>0</v>
      </c>
      <c r="AH36" s="368">
        <v>46266</v>
      </c>
      <c r="AI36" s="368">
        <v>46269</v>
      </c>
      <c r="AJ36" s="369" t="s">
        <v>165</v>
      </c>
      <c r="AK36" s="373" t="s">
        <v>674</v>
      </c>
      <c r="AL36" s="370">
        <v>0</v>
      </c>
      <c r="AM36" s="169">
        <v>46332</v>
      </c>
      <c r="AN36" s="169">
        <v>46338</v>
      </c>
      <c r="AO36" s="168" t="s">
        <v>40</v>
      </c>
      <c r="AP36" s="170">
        <v>0</v>
      </c>
      <c r="AQ36"/>
    </row>
    <row r="37" spans="1:43" ht="15">
      <c r="A37" s="292" t="s">
        <v>670</v>
      </c>
      <c r="B37" s="299" t="s">
        <v>711</v>
      </c>
      <c r="C37" s="299">
        <v>1</v>
      </c>
      <c r="D37" s="149">
        <v>46195</v>
      </c>
      <c r="E37" s="149">
        <v>46200</v>
      </c>
      <c r="F37" s="341" t="s">
        <v>34</v>
      </c>
      <c r="G37" s="340" t="s">
        <v>478</v>
      </c>
      <c r="H37" s="372">
        <v>1</v>
      </c>
      <c r="I37" s="169">
        <v>46201</v>
      </c>
      <c r="J37" s="342">
        <v>46209</v>
      </c>
      <c r="K37" s="344" t="s">
        <v>681</v>
      </c>
      <c r="L37" s="344" t="s">
        <v>681</v>
      </c>
      <c r="M37" s="346">
        <v>0.9</v>
      </c>
      <c r="N37" s="347">
        <v>46219</v>
      </c>
      <c r="O37" s="347">
        <v>46231</v>
      </c>
      <c r="P37" s="374" t="s">
        <v>682</v>
      </c>
      <c r="Q37" s="374" t="s">
        <v>683</v>
      </c>
      <c r="R37" s="350">
        <v>0.5</v>
      </c>
      <c r="S37" s="352">
        <v>46232</v>
      </c>
      <c r="T37" s="352">
        <v>46238</v>
      </c>
      <c r="U37" s="354" t="s">
        <v>40</v>
      </c>
      <c r="V37" s="354" t="s">
        <v>480</v>
      </c>
      <c r="W37" s="355">
        <v>0.9</v>
      </c>
      <c r="X37" s="357">
        <v>46247</v>
      </c>
      <c r="Y37" s="357">
        <v>46249</v>
      </c>
      <c r="Z37" s="359" t="s">
        <v>40</v>
      </c>
      <c r="AA37" s="359" t="s">
        <v>480</v>
      </c>
      <c r="AB37" s="360">
        <v>0</v>
      </c>
      <c r="AC37" s="362">
        <v>46250</v>
      </c>
      <c r="AD37" s="326">
        <v>46257</v>
      </c>
      <c r="AE37" s="327" t="s">
        <v>40</v>
      </c>
      <c r="AF37" s="365" t="s">
        <v>40</v>
      </c>
      <c r="AG37" s="366">
        <v>0</v>
      </c>
      <c r="AH37" s="368">
        <v>46266</v>
      </c>
      <c r="AI37" s="368">
        <v>46269</v>
      </c>
      <c r="AJ37" s="369" t="s">
        <v>165</v>
      </c>
      <c r="AK37" s="373" t="s">
        <v>40</v>
      </c>
      <c r="AL37" s="370">
        <v>0.9</v>
      </c>
      <c r="AM37" s="169">
        <v>46332</v>
      </c>
      <c r="AN37" s="169">
        <v>46338</v>
      </c>
      <c r="AO37" s="168" t="s">
        <v>40</v>
      </c>
      <c r="AP37" s="170">
        <v>0</v>
      </c>
      <c r="AQ37"/>
    </row>
    <row r="38" spans="1:43" ht="15">
      <c r="A38" s="292" t="s">
        <v>670</v>
      </c>
      <c r="B38" s="299" t="s">
        <v>712</v>
      </c>
      <c r="C38" s="299">
        <v>1</v>
      </c>
      <c r="D38" s="149">
        <v>46195</v>
      </c>
      <c r="E38" s="149">
        <v>46200</v>
      </c>
      <c r="F38" s="341" t="s">
        <v>40</v>
      </c>
      <c r="G38" s="308" t="s">
        <v>479</v>
      </c>
      <c r="H38" s="372">
        <v>0</v>
      </c>
      <c r="I38" s="169">
        <v>46201</v>
      </c>
      <c r="J38" s="342">
        <v>46209</v>
      </c>
      <c r="K38" s="344" t="s">
        <v>40</v>
      </c>
      <c r="L38" s="344" t="s">
        <v>480</v>
      </c>
      <c r="M38" s="346">
        <v>0</v>
      </c>
      <c r="N38" s="347">
        <v>46219</v>
      </c>
      <c r="O38" s="347">
        <v>46231</v>
      </c>
      <c r="P38" s="349" t="s">
        <v>40</v>
      </c>
      <c r="Q38" s="349" t="s">
        <v>480</v>
      </c>
      <c r="R38" s="350">
        <v>0</v>
      </c>
      <c r="S38" s="352">
        <v>46232</v>
      </c>
      <c r="T38" s="352">
        <v>46238</v>
      </c>
      <c r="U38" s="354" t="s">
        <v>40</v>
      </c>
      <c r="V38" s="354" t="s">
        <v>480</v>
      </c>
      <c r="W38" s="355">
        <v>0</v>
      </c>
      <c r="X38" s="357">
        <v>46247</v>
      </c>
      <c r="Y38" s="357">
        <v>46249</v>
      </c>
      <c r="Z38" s="359" t="s">
        <v>40</v>
      </c>
      <c r="AA38" s="359" t="s">
        <v>480</v>
      </c>
      <c r="AB38" s="360">
        <v>0</v>
      </c>
      <c r="AC38" s="362">
        <v>46250</v>
      </c>
      <c r="AD38" s="326">
        <v>46257</v>
      </c>
      <c r="AE38" s="327" t="s">
        <v>40</v>
      </c>
      <c r="AF38" s="365" t="s">
        <v>480</v>
      </c>
      <c r="AG38" s="366">
        <v>0</v>
      </c>
      <c r="AH38" s="368">
        <v>46266</v>
      </c>
      <c r="AI38" s="368">
        <v>46269</v>
      </c>
      <c r="AJ38" s="369" t="s">
        <v>165</v>
      </c>
      <c r="AK38" s="373" t="s">
        <v>480</v>
      </c>
      <c r="AL38" s="370">
        <v>0</v>
      </c>
      <c r="AM38" s="169">
        <v>46332</v>
      </c>
      <c r="AN38" s="169">
        <v>46338</v>
      </c>
      <c r="AO38" s="168" t="s">
        <v>40</v>
      </c>
      <c r="AP38" s="170">
        <v>0</v>
      </c>
      <c r="AQ38"/>
    </row>
    <row r="39" spans="1:43">
      <c r="A39" s="292" t="s">
        <v>670</v>
      </c>
      <c r="B39" s="299" t="s">
        <v>713</v>
      </c>
      <c r="C39" s="299">
        <v>1</v>
      </c>
      <c r="D39" s="149">
        <v>46195</v>
      </c>
      <c r="E39" s="149">
        <v>46200</v>
      </c>
      <c r="F39" s="341" t="s">
        <v>40</v>
      </c>
      <c r="G39" s="308" t="s">
        <v>479</v>
      </c>
      <c r="H39" s="372">
        <v>0</v>
      </c>
      <c r="I39" s="169">
        <v>46201</v>
      </c>
      <c r="J39" s="342">
        <v>46209</v>
      </c>
      <c r="K39" s="344" t="s">
        <v>40</v>
      </c>
      <c r="L39" s="344" t="s">
        <v>480</v>
      </c>
      <c r="M39" s="346">
        <v>0</v>
      </c>
      <c r="N39" s="347">
        <v>46219</v>
      </c>
      <c r="O39" s="347">
        <v>46231</v>
      </c>
      <c r="P39" s="349" t="s">
        <v>40</v>
      </c>
      <c r="Q39" s="349" t="s">
        <v>480</v>
      </c>
      <c r="R39" s="350">
        <v>0</v>
      </c>
      <c r="S39" s="352">
        <v>46232</v>
      </c>
      <c r="T39" s="352">
        <v>46238</v>
      </c>
      <c r="U39" s="354" t="s">
        <v>40</v>
      </c>
      <c r="V39" s="354" t="s">
        <v>480</v>
      </c>
      <c r="W39" s="355">
        <v>0</v>
      </c>
      <c r="X39" s="357">
        <v>46247</v>
      </c>
      <c r="Y39" s="357">
        <v>46249</v>
      </c>
      <c r="Z39" s="359" t="s">
        <v>40</v>
      </c>
      <c r="AA39" s="359" t="s">
        <v>480</v>
      </c>
      <c r="AB39" s="360">
        <v>0</v>
      </c>
      <c r="AC39" s="362">
        <v>46250</v>
      </c>
      <c r="AD39" s="326">
        <v>46257</v>
      </c>
      <c r="AE39" s="327" t="s">
        <v>40</v>
      </c>
      <c r="AF39" s="365" t="s">
        <v>480</v>
      </c>
      <c r="AG39" s="366">
        <v>0</v>
      </c>
      <c r="AH39" s="368">
        <v>46266</v>
      </c>
      <c r="AI39" s="368">
        <v>46269</v>
      </c>
      <c r="AJ39" s="369" t="s">
        <v>165</v>
      </c>
      <c r="AK39" s="373" t="s">
        <v>480</v>
      </c>
      <c r="AL39" s="370">
        <v>0</v>
      </c>
      <c r="AM39" s="169">
        <v>46332</v>
      </c>
      <c r="AN39" s="169">
        <v>46338</v>
      </c>
      <c r="AO39" s="168" t="s">
        <v>40</v>
      </c>
      <c r="AP39" s="170">
        <v>0</v>
      </c>
      <c r="AQ39"/>
    </row>
    <row r="40" spans="1:43">
      <c r="A40" s="292" t="s">
        <v>670</v>
      </c>
      <c r="B40" s="299" t="s">
        <v>714</v>
      </c>
      <c r="C40" s="299">
        <v>1</v>
      </c>
      <c r="D40" s="149">
        <v>46195</v>
      </c>
      <c r="E40" s="149">
        <v>46200</v>
      </c>
      <c r="F40" s="341" t="s">
        <v>40</v>
      </c>
      <c r="G40" s="308" t="s">
        <v>479</v>
      </c>
      <c r="H40" s="372">
        <v>0</v>
      </c>
      <c r="I40" s="169">
        <v>46201</v>
      </c>
      <c r="J40" s="342">
        <v>46209</v>
      </c>
      <c r="K40" s="344" t="s">
        <v>40</v>
      </c>
      <c r="L40" s="344" t="s">
        <v>480</v>
      </c>
      <c r="M40" s="346">
        <v>0</v>
      </c>
      <c r="N40" s="347">
        <v>46219</v>
      </c>
      <c r="O40" s="347">
        <v>46231</v>
      </c>
      <c r="P40" s="349" t="s">
        <v>40</v>
      </c>
      <c r="Q40" s="349" t="s">
        <v>480</v>
      </c>
      <c r="R40" s="350">
        <v>0</v>
      </c>
      <c r="S40" s="352">
        <v>46232</v>
      </c>
      <c r="T40" s="352">
        <v>46238</v>
      </c>
      <c r="U40" s="354" t="s">
        <v>40</v>
      </c>
      <c r="V40" s="354" t="s">
        <v>480</v>
      </c>
      <c r="W40" s="355">
        <v>0</v>
      </c>
      <c r="X40" s="357">
        <v>46247</v>
      </c>
      <c r="Y40" s="357">
        <v>46249</v>
      </c>
      <c r="Z40" s="359" t="s">
        <v>40</v>
      </c>
      <c r="AA40" s="359" t="s">
        <v>480</v>
      </c>
      <c r="AB40" s="360">
        <v>0</v>
      </c>
      <c r="AC40" s="362">
        <v>46250</v>
      </c>
      <c r="AD40" s="326">
        <v>46257</v>
      </c>
      <c r="AE40" s="327" t="s">
        <v>40</v>
      </c>
      <c r="AF40" s="365" t="s">
        <v>480</v>
      </c>
      <c r="AG40" s="366">
        <v>0</v>
      </c>
      <c r="AH40" s="368">
        <v>46266</v>
      </c>
      <c r="AI40" s="368">
        <v>46269</v>
      </c>
      <c r="AJ40" s="369" t="s">
        <v>165</v>
      </c>
      <c r="AK40" s="373" t="s">
        <v>480</v>
      </c>
      <c r="AL40" s="370">
        <v>0</v>
      </c>
      <c r="AM40" s="169">
        <v>46332</v>
      </c>
      <c r="AN40" s="169">
        <v>46338</v>
      </c>
      <c r="AO40" s="168" t="s">
        <v>40</v>
      </c>
      <c r="AP40" s="170">
        <v>0</v>
      </c>
      <c r="AQ40"/>
    </row>
    <row r="41" spans="1:43">
      <c r="A41" s="292" t="s">
        <v>670</v>
      </c>
      <c r="B41" s="299" t="s">
        <v>715</v>
      </c>
      <c r="C41" s="299">
        <v>1</v>
      </c>
      <c r="D41" s="149">
        <v>46195</v>
      </c>
      <c r="E41" s="149">
        <v>46200</v>
      </c>
      <c r="F41" s="308" t="s">
        <v>40</v>
      </c>
      <c r="G41" s="308" t="s">
        <v>479</v>
      </c>
      <c r="H41" s="372">
        <v>0</v>
      </c>
      <c r="I41" s="169">
        <v>46201</v>
      </c>
      <c r="J41" s="311">
        <v>46209</v>
      </c>
      <c r="K41" s="310" t="s">
        <v>40</v>
      </c>
      <c r="L41" s="344" t="s">
        <v>480</v>
      </c>
      <c r="M41" s="312">
        <v>0</v>
      </c>
      <c r="N41" s="314">
        <v>46219</v>
      </c>
      <c r="O41" s="314">
        <v>46231</v>
      </c>
      <c r="P41" s="315" t="s">
        <v>40</v>
      </c>
      <c r="Q41" s="349" t="s">
        <v>480</v>
      </c>
      <c r="R41" s="316">
        <v>0</v>
      </c>
      <c r="S41" s="318">
        <v>46232</v>
      </c>
      <c r="T41" s="318">
        <v>46238</v>
      </c>
      <c r="U41" s="319" t="s">
        <v>40</v>
      </c>
      <c r="V41" s="354" t="s">
        <v>480</v>
      </c>
      <c r="W41" s="320">
        <v>0</v>
      </c>
      <c r="X41" s="322">
        <v>46247</v>
      </c>
      <c r="Y41" s="322">
        <v>46249</v>
      </c>
      <c r="Z41" s="323" t="s">
        <v>40</v>
      </c>
      <c r="AA41" s="359" t="s">
        <v>480</v>
      </c>
      <c r="AB41" s="324">
        <v>0</v>
      </c>
      <c r="AC41" s="326">
        <v>46250</v>
      </c>
      <c r="AD41" s="326">
        <v>46257</v>
      </c>
      <c r="AE41" s="327" t="s">
        <v>40</v>
      </c>
      <c r="AF41" s="365" t="s">
        <v>480</v>
      </c>
      <c r="AG41" s="328">
        <v>0</v>
      </c>
      <c r="AH41" s="330">
        <v>46266</v>
      </c>
      <c r="AI41" s="330">
        <v>46269</v>
      </c>
      <c r="AJ41" s="331" t="s">
        <v>165</v>
      </c>
      <c r="AK41" s="373" t="s">
        <v>480</v>
      </c>
      <c r="AL41" s="332">
        <v>0</v>
      </c>
      <c r="AM41" s="169">
        <v>46332</v>
      </c>
      <c r="AN41" s="169">
        <v>46338</v>
      </c>
      <c r="AO41" s="168" t="s">
        <v>40</v>
      </c>
      <c r="AP41" s="170">
        <v>0</v>
      </c>
      <c r="AQ41"/>
    </row>
    <row r="42" spans="1:43">
      <c r="A42" s="292" t="s">
        <v>670</v>
      </c>
      <c r="B42" s="299" t="s">
        <v>716</v>
      </c>
      <c r="C42" s="299">
        <v>1</v>
      </c>
      <c r="D42" s="149">
        <v>46195</v>
      </c>
      <c r="E42" s="149">
        <v>46200</v>
      </c>
      <c r="F42" s="308" t="s">
        <v>40</v>
      </c>
      <c r="G42" s="308" t="s">
        <v>479</v>
      </c>
      <c r="H42" s="372">
        <v>0</v>
      </c>
      <c r="I42" s="169">
        <v>46201</v>
      </c>
      <c r="J42" s="311">
        <v>46209</v>
      </c>
      <c r="K42" s="310" t="s">
        <v>40</v>
      </c>
      <c r="L42" s="344" t="s">
        <v>480</v>
      </c>
      <c r="M42" s="312">
        <v>0</v>
      </c>
      <c r="N42" s="314">
        <v>46219</v>
      </c>
      <c r="O42" s="314">
        <v>46231</v>
      </c>
      <c r="P42" s="315" t="s">
        <v>40</v>
      </c>
      <c r="Q42" s="349" t="s">
        <v>480</v>
      </c>
      <c r="R42" s="316">
        <v>0</v>
      </c>
      <c r="S42" s="318">
        <v>46232</v>
      </c>
      <c r="T42" s="318">
        <v>46238</v>
      </c>
      <c r="U42" s="319" t="s">
        <v>40</v>
      </c>
      <c r="V42" s="354" t="s">
        <v>480</v>
      </c>
      <c r="W42" s="320">
        <v>0</v>
      </c>
      <c r="X42" s="322">
        <v>46247</v>
      </c>
      <c r="Y42" s="322">
        <v>46249</v>
      </c>
      <c r="Z42" s="323" t="s">
        <v>40</v>
      </c>
      <c r="AA42" s="359" t="s">
        <v>480</v>
      </c>
      <c r="AB42" s="324">
        <v>0</v>
      </c>
      <c r="AC42" s="326">
        <v>46250</v>
      </c>
      <c r="AD42" s="326">
        <v>46257</v>
      </c>
      <c r="AE42" s="327" t="s">
        <v>40</v>
      </c>
      <c r="AF42" s="365" t="s">
        <v>480</v>
      </c>
      <c r="AG42" s="328">
        <v>0</v>
      </c>
      <c r="AH42" s="330">
        <v>46266</v>
      </c>
      <c r="AI42" s="330">
        <v>46269</v>
      </c>
      <c r="AJ42" s="331" t="s">
        <v>165</v>
      </c>
      <c r="AK42" s="373" t="s">
        <v>480</v>
      </c>
      <c r="AL42" s="332">
        <v>0</v>
      </c>
      <c r="AM42" s="169">
        <v>46332</v>
      </c>
      <c r="AN42" s="169">
        <v>46338</v>
      </c>
      <c r="AO42" s="168" t="s">
        <v>40</v>
      </c>
      <c r="AP42" s="170">
        <v>0</v>
      </c>
      <c r="AQ42"/>
    </row>
    <row r="43" spans="1:43">
      <c r="A43" s="292" t="s">
        <v>670</v>
      </c>
      <c r="B43" s="299" t="s">
        <v>717</v>
      </c>
      <c r="C43" s="299">
        <v>1</v>
      </c>
      <c r="D43" s="149">
        <v>46195</v>
      </c>
      <c r="E43" s="149">
        <v>46200</v>
      </c>
      <c r="F43" s="308" t="s">
        <v>40</v>
      </c>
      <c r="G43" s="308" t="s">
        <v>479</v>
      </c>
      <c r="H43" s="372">
        <v>0</v>
      </c>
      <c r="I43" s="169">
        <v>46201</v>
      </c>
      <c r="J43" s="311">
        <v>46209</v>
      </c>
      <c r="K43" s="310" t="s">
        <v>40</v>
      </c>
      <c r="L43" s="344" t="s">
        <v>480</v>
      </c>
      <c r="M43" s="312">
        <v>0</v>
      </c>
      <c r="N43" s="314">
        <v>46219</v>
      </c>
      <c r="O43" s="314">
        <v>46231</v>
      </c>
      <c r="P43" s="315" t="s">
        <v>40</v>
      </c>
      <c r="Q43" s="349" t="s">
        <v>480</v>
      </c>
      <c r="R43" s="316">
        <v>0</v>
      </c>
      <c r="S43" s="318">
        <v>46232</v>
      </c>
      <c r="T43" s="318">
        <v>46238</v>
      </c>
      <c r="U43" s="319" t="s">
        <v>40</v>
      </c>
      <c r="V43" s="354" t="s">
        <v>480</v>
      </c>
      <c r="W43" s="320">
        <v>0</v>
      </c>
      <c r="X43" s="322">
        <v>46247</v>
      </c>
      <c r="Y43" s="322">
        <v>46249</v>
      </c>
      <c r="Z43" s="323" t="s">
        <v>40</v>
      </c>
      <c r="AA43" s="359" t="s">
        <v>480</v>
      </c>
      <c r="AB43" s="324">
        <v>0</v>
      </c>
      <c r="AC43" s="326">
        <v>46250</v>
      </c>
      <c r="AD43" s="326">
        <v>46257</v>
      </c>
      <c r="AE43" s="327" t="s">
        <v>40</v>
      </c>
      <c r="AF43" s="365" t="s">
        <v>480</v>
      </c>
      <c r="AG43" s="328">
        <v>0</v>
      </c>
      <c r="AH43" s="330">
        <v>46266</v>
      </c>
      <c r="AI43" s="330">
        <v>46269</v>
      </c>
      <c r="AJ43" s="331" t="s">
        <v>165</v>
      </c>
      <c r="AK43" s="373" t="s">
        <v>480</v>
      </c>
      <c r="AL43" s="332">
        <v>0</v>
      </c>
      <c r="AM43" s="169">
        <v>46332</v>
      </c>
      <c r="AN43" s="169">
        <v>46338</v>
      </c>
      <c r="AO43" s="168" t="s">
        <v>40</v>
      </c>
      <c r="AP43" s="170">
        <v>0</v>
      </c>
      <c r="AQ43"/>
    </row>
    <row r="44" spans="1:43">
      <c r="A44" s="292" t="s">
        <v>670</v>
      </c>
      <c r="B44" s="299" t="s">
        <v>718</v>
      </c>
      <c r="C44" s="299">
        <v>1</v>
      </c>
      <c r="D44" s="149">
        <v>46195</v>
      </c>
      <c r="E44" s="149">
        <v>46200</v>
      </c>
      <c r="F44" s="341" t="s">
        <v>34</v>
      </c>
      <c r="G44" s="340" t="s">
        <v>478</v>
      </c>
      <c r="H44" s="372">
        <v>1</v>
      </c>
      <c r="I44" s="169">
        <v>46201</v>
      </c>
      <c r="J44" s="342">
        <v>46209</v>
      </c>
      <c r="K44" s="344" t="s">
        <v>681</v>
      </c>
      <c r="L44" s="344" t="s">
        <v>681</v>
      </c>
      <c r="M44" s="346">
        <v>0.9</v>
      </c>
      <c r="N44" s="347">
        <v>46219</v>
      </c>
      <c r="O44" s="347">
        <v>46231</v>
      </c>
      <c r="P44" s="374" t="s">
        <v>682</v>
      </c>
      <c r="Q44" s="374" t="s">
        <v>683</v>
      </c>
      <c r="R44" s="350">
        <v>0.5</v>
      </c>
      <c r="S44" s="352">
        <v>46232</v>
      </c>
      <c r="T44" s="352">
        <v>46238</v>
      </c>
      <c r="U44" s="354" t="s">
        <v>40</v>
      </c>
      <c r="V44" s="354" t="s">
        <v>480</v>
      </c>
      <c r="W44" s="355">
        <v>0.9</v>
      </c>
      <c r="X44" s="357">
        <v>46247</v>
      </c>
      <c r="Y44" s="357">
        <v>46249</v>
      </c>
      <c r="Z44" s="359" t="s">
        <v>40</v>
      </c>
      <c r="AA44" s="359" t="s">
        <v>480</v>
      </c>
      <c r="AB44" s="360">
        <v>0</v>
      </c>
      <c r="AC44" s="362">
        <v>46250</v>
      </c>
      <c r="AD44" s="326">
        <v>46257</v>
      </c>
      <c r="AE44" s="327" t="s">
        <v>40</v>
      </c>
      <c r="AF44" s="365" t="s">
        <v>40</v>
      </c>
      <c r="AG44" s="366">
        <v>0</v>
      </c>
      <c r="AH44" s="368">
        <v>46266</v>
      </c>
      <c r="AI44" s="368">
        <v>46269</v>
      </c>
      <c r="AJ44" s="369" t="s">
        <v>165</v>
      </c>
      <c r="AK44" s="373" t="s">
        <v>222</v>
      </c>
      <c r="AL44" s="370">
        <v>0.9</v>
      </c>
      <c r="AM44" s="169">
        <v>46332</v>
      </c>
      <c r="AN44" s="169">
        <v>46338</v>
      </c>
      <c r="AO44" s="168" t="s">
        <v>40</v>
      </c>
      <c r="AP44" s="170">
        <v>0</v>
      </c>
      <c r="AQ44"/>
    </row>
    <row r="45" spans="1:43">
      <c r="A45" s="292" t="s">
        <v>670</v>
      </c>
      <c r="B45" s="299" t="s">
        <v>719</v>
      </c>
      <c r="C45" s="299">
        <v>1</v>
      </c>
      <c r="D45" s="149">
        <v>46195</v>
      </c>
      <c r="E45" s="149">
        <v>46200</v>
      </c>
      <c r="F45" s="341" t="s">
        <v>40</v>
      </c>
      <c r="G45" s="308" t="s">
        <v>479</v>
      </c>
      <c r="H45" s="372">
        <v>0</v>
      </c>
      <c r="I45" s="169">
        <v>46201</v>
      </c>
      <c r="J45" s="342">
        <v>46209</v>
      </c>
      <c r="K45" s="344" t="s">
        <v>40</v>
      </c>
      <c r="L45" s="344" t="s">
        <v>480</v>
      </c>
      <c r="M45" s="346">
        <v>0</v>
      </c>
      <c r="N45" s="347">
        <v>46219</v>
      </c>
      <c r="O45" s="347">
        <v>46231</v>
      </c>
      <c r="P45" s="349" t="s">
        <v>40</v>
      </c>
      <c r="Q45" s="349" t="s">
        <v>480</v>
      </c>
      <c r="R45" s="350">
        <v>0</v>
      </c>
      <c r="S45" s="352">
        <v>46232</v>
      </c>
      <c r="T45" s="352">
        <v>46238</v>
      </c>
      <c r="U45" s="354" t="s">
        <v>40</v>
      </c>
      <c r="V45" s="354" t="s">
        <v>480</v>
      </c>
      <c r="W45" s="355">
        <v>0</v>
      </c>
      <c r="X45" s="357">
        <v>46247</v>
      </c>
      <c r="Y45" s="357">
        <v>46249</v>
      </c>
      <c r="Z45" s="359" t="s">
        <v>40</v>
      </c>
      <c r="AA45" s="359" t="s">
        <v>480</v>
      </c>
      <c r="AB45" s="360">
        <v>0</v>
      </c>
      <c r="AC45" s="362">
        <v>46250</v>
      </c>
      <c r="AD45" s="326">
        <v>46257</v>
      </c>
      <c r="AE45" s="327" t="s">
        <v>40</v>
      </c>
      <c r="AF45" s="365" t="s">
        <v>480</v>
      </c>
      <c r="AG45" s="366">
        <v>0</v>
      </c>
      <c r="AH45" s="368">
        <v>46266</v>
      </c>
      <c r="AI45" s="368">
        <v>46269</v>
      </c>
      <c r="AJ45" s="369" t="s">
        <v>165</v>
      </c>
      <c r="AK45" s="373" t="s">
        <v>480</v>
      </c>
      <c r="AL45" s="370">
        <v>0</v>
      </c>
      <c r="AM45" s="169">
        <v>46332</v>
      </c>
      <c r="AN45" s="169">
        <v>46338</v>
      </c>
      <c r="AO45" s="168" t="s">
        <v>40</v>
      </c>
      <c r="AP45" s="170">
        <v>0</v>
      </c>
      <c r="AQ45"/>
    </row>
    <row r="46" spans="1:43">
      <c r="A46" s="292" t="s">
        <v>670</v>
      </c>
      <c r="B46" s="299" t="s">
        <v>720</v>
      </c>
      <c r="C46" s="299">
        <v>1</v>
      </c>
      <c r="D46" s="149">
        <v>46195</v>
      </c>
      <c r="E46" s="149">
        <v>46200</v>
      </c>
      <c r="F46" s="341" t="s">
        <v>40</v>
      </c>
      <c r="G46" s="308" t="s">
        <v>479</v>
      </c>
      <c r="H46" s="372">
        <v>0</v>
      </c>
      <c r="I46" s="169">
        <v>46201</v>
      </c>
      <c r="J46" s="342">
        <v>46209</v>
      </c>
      <c r="K46" s="344" t="s">
        <v>40</v>
      </c>
      <c r="L46" s="344" t="s">
        <v>480</v>
      </c>
      <c r="M46" s="346">
        <v>0</v>
      </c>
      <c r="N46" s="347">
        <v>46219</v>
      </c>
      <c r="O46" s="347">
        <v>46231</v>
      </c>
      <c r="P46" s="349" t="s">
        <v>40</v>
      </c>
      <c r="Q46" s="349" t="s">
        <v>480</v>
      </c>
      <c r="R46" s="350">
        <v>0</v>
      </c>
      <c r="S46" s="352">
        <v>46232</v>
      </c>
      <c r="T46" s="352">
        <v>46238</v>
      </c>
      <c r="U46" s="354" t="s">
        <v>40</v>
      </c>
      <c r="V46" s="354" t="s">
        <v>480</v>
      </c>
      <c r="W46" s="355">
        <v>0</v>
      </c>
      <c r="X46" s="357">
        <v>46247</v>
      </c>
      <c r="Y46" s="357">
        <v>46249</v>
      </c>
      <c r="Z46" s="359" t="s">
        <v>40</v>
      </c>
      <c r="AA46" s="359" t="s">
        <v>480</v>
      </c>
      <c r="AB46" s="360">
        <v>0</v>
      </c>
      <c r="AC46" s="362">
        <v>46250</v>
      </c>
      <c r="AD46" s="326">
        <v>46257</v>
      </c>
      <c r="AE46" s="327" t="s">
        <v>40</v>
      </c>
      <c r="AF46" s="365" t="s">
        <v>480</v>
      </c>
      <c r="AG46" s="366">
        <v>0</v>
      </c>
      <c r="AH46" s="368">
        <v>46266</v>
      </c>
      <c r="AI46" s="368">
        <v>46269</v>
      </c>
      <c r="AJ46" s="369" t="s">
        <v>165</v>
      </c>
      <c r="AK46" s="373" t="s">
        <v>480</v>
      </c>
      <c r="AL46" s="370">
        <v>0</v>
      </c>
      <c r="AM46" s="169">
        <v>46332</v>
      </c>
      <c r="AN46" s="169">
        <v>46338</v>
      </c>
      <c r="AO46" s="168" t="s">
        <v>40</v>
      </c>
      <c r="AP46" s="170">
        <v>0</v>
      </c>
      <c r="AQ46"/>
    </row>
    <row r="47" spans="1:43">
      <c r="A47" s="292" t="s">
        <v>670</v>
      </c>
      <c r="B47" s="299" t="s">
        <v>721</v>
      </c>
      <c r="C47" s="299">
        <v>1</v>
      </c>
      <c r="D47" s="149">
        <v>46195</v>
      </c>
      <c r="E47" s="149">
        <v>46200</v>
      </c>
      <c r="F47" s="341" t="s">
        <v>40</v>
      </c>
      <c r="G47" s="308" t="s">
        <v>479</v>
      </c>
      <c r="H47" s="372">
        <v>0</v>
      </c>
      <c r="I47" s="169">
        <v>46201</v>
      </c>
      <c r="J47" s="342">
        <v>46209</v>
      </c>
      <c r="K47" s="344" t="s">
        <v>40</v>
      </c>
      <c r="L47" s="344" t="s">
        <v>480</v>
      </c>
      <c r="M47" s="346">
        <v>0</v>
      </c>
      <c r="N47" s="347">
        <v>46219</v>
      </c>
      <c r="O47" s="347">
        <v>46231</v>
      </c>
      <c r="P47" s="349" t="s">
        <v>40</v>
      </c>
      <c r="Q47" s="349" t="s">
        <v>480</v>
      </c>
      <c r="R47" s="350">
        <v>0</v>
      </c>
      <c r="S47" s="352">
        <v>46232</v>
      </c>
      <c r="T47" s="352">
        <v>46238</v>
      </c>
      <c r="U47" s="354" t="s">
        <v>40</v>
      </c>
      <c r="V47" s="354" t="s">
        <v>480</v>
      </c>
      <c r="W47" s="355">
        <v>0</v>
      </c>
      <c r="X47" s="357">
        <v>46247</v>
      </c>
      <c r="Y47" s="357">
        <v>46249</v>
      </c>
      <c r="Z47" s="359" t="s">
        <v>40</v>
      </c>
      <c r="AA47" s="359" t="s">
        <v>480</v>
      </c>
      <c r="AB47" s="360">
        <v>0</v>
      </c>
      <c r="AC47" s="362">
        <v>46250</v>
      </c>
      <c r="AD47" s="326">
        <v>46257</v>
      </c>
      <c r="AE47" s="327" t="s">
        <v>40</v>
      </c>
      <c r="AF47" s="365" t="s">
        <v>480</v>
      </c>
      <c r="AG47" s="366">
        <v>0</v>
      </c>
      <c r="AH47" s="368">
        <v>46266</v>
      </c>
      <c r="AI47" s="368">
        <v>46269</v>
      </c>
      <c r="AJ47" s="369" t="s">
        <v>165</v>
      </c>
      <c r="AK47" s="373" t="s">
        <v>480</v>
      </c>
      <c r="AL47" s="370">
        <v>0</v>
      </c>
      <c r="AM47" s="169">
        <v>46332</v>
      </c>
      <c r="AN47" s="169">
        <v>46338</v>
      </c>
      <c r="AO47" s="168" t="s">
        <v>40</v>
      </c>
      <c r="AP47" s="170">
        <v>0</v>
      </c>
      <c r="AQ47"/>
    </row>
    <row r="48" spans="1:43">
      <c r="A48" s="292" t="s">
        <v>670</v>
      </c>
      <c r="B48" s="299" t="s">
        <v>722</v>
      </c>
      <c r="C48" s="299">
        <v>1</v>
      </c>
      <c r="D48" s="149">
        <v>46195</v>
      </c>
      <c r="E48" s="149">
        <v>46200</v>
      </c>
      <c r="F48" s="308" t="s">
        <v>40</v>
      </c>
      <c r="G48" s="308" t="s">
        <v>479</v>
      </c>
      <c r="H48" s="372">
        <v>0</v>
      </c>
      <c r="I48" s="169">
        <v>46201</v>
      </c>
      <c r="J48" s="311">
        <v>46209</v>
      </c>
      <c r="K48" s="310" t="s">
        <v>40</v>
      </c>
      <c r="L48" s="344" t="s">
        <v>480</v>
      </c>
      <c r="M48" s="312">
        <v>0</v>
      </c>
      <c r="N48" s="314">
        <v>46219</v>
      </c>
      <c r="O48" s="314">
        <v>46231</v>
      </c>
      <c r="P48" s="315" t="s">
        <v>40</v>
      </c>
      <c r="Q48" s="349" t="s">
        <v>480</v>
      </c>
      <c r="R48" s="316">
        <v>0</v>
      </c>
      <c r="S48" s="318">
        <v>46232</v>
      </c>
      <c r="T48" s="318">
        <v>46238</v>
      </c>
      <c r="U48" s="319" t="s">
        <v>40</v>
      </c>
      <c r="V48" s="354" t="s">
        <v>480</v>
      </c>
      <c r="W48" s="320">
        <v>0</v>
      </c>
      <c r="X48" s="322">
        <v>46247</v>
      </c>
      <c r="Y48" s="322">
        <v>46249</v>
      </c>
      <c r="Z48" s="323" t="s">
        <v>40</v>
      </c>
      <c r="AA48" s="359" t="s">
        <v>480</v>
      </c>
      <c r="AB48" s="324">
        <v>0</v>
      </c>
      <c r="AC48" s="326">
        <v>46250</v>
      </c>
      <c r="AD48" s="326">
        <v>46257</v>
      </c>
      <c r="AE48" s="327" t="s">
        <v>40</v>
      </c>
      <c r="AF48" s="365" t="s">
        <v>480</v>
      </c>
      <c r="AG48" s="328">
        <v>0</v>
      </c>
      <c r="AH48" s="330">
        <v>46266</v>
      </c>
      <c r="AI48" s="330">
        <v>46269</v>
      </c>
      <c r="AJ48" s="331" t="s">
        <v>165</v>
      </c>
      <c r="AK48" s="373" t="s">
        <v>480</v>
      </c>
      <c r="AL48" s="332">
        <v>0</v>
      </c>
      <c r="AM48" s="169">
        <v>46332</v>
      </c>
      <c r="AN48" s="169">
        <v>46338</v>
      </c>
      <c r="AO48" s="168" t="s">
        <v>40</v>
      </c>
      <c r="AP48" s="170">
        <v>0</v>
      </c>
      <c r="AQ48"/>
    </row>
    <row r="49" spans="1:43">
      <c r="A49" s="292" t="s">
        <v>670</v>
      </c>
      <c r="B49" s="299" t="s">
        <v>723</v>
      </c>
      <c r="C49" s="299">
        <v>1</v>
      </c>
      <c r="D49" s="149">
        <v>46195</v>
      </c>
      <c r="E49" s="149">
        <v>46200</v>
      </c>
      <c r="F49" s="308" t="s">
        <v>40</v>
      </c>
      <c r="G49" s="308" t="s">
        <v>479</v>
      </c>
      <c r="H49" s="372">
        <v>0</v>
      </c>
      <c r="I49" s="169">
        <v>46201</v>
      </c>
      <c r="J49" s="311">
        <v>46209</v>
      </c>
      <c r="K49" s="310" t="s">
        <v>40</v>
      </c>
      <c r="L49" s="344" t="s">
        <v>480</v>
      </c>
      <c r="M49" s="312">
        <v>0</v>
      </c>
      <c r="N49" s="314">
        <v>46219</v>
      </c>
      <c r="O49" s="314">
        <v>46231</v>
      </c>
      <c r="P49" s="315" t="s">
        <v>40</v>
      </c>
      <c r="Q49" s="349" t="s">
        <v>480</v>
      </c>
      <c r="R49" s="316">
        <v>0</v>
      </c>
      <c r="S49" s="318">
        <v>46232</v>
      </c>
      <c r="T49" s="318">
        <v>46238</v>
      </c>
      <c r="U49" s="319" t="s">
        <v>40</v>
      </c>
      <c r="V49" s="354" t="s">
        <v>480</v>
      </c>
      <c r="W49" s="320">
        <v>0</v>
      </c>
      <c r="X49" s="322">
        <v>46247</v>
      </c>
      <c r="Y49" s="322">
        <v>46249</v>
      </c>
      <c r="Z49" s="323" t="s">
        <v>40</v>
      </c>
      <c r="AA49" s="359" t="s">
        <v>480</v>
      </c>
      <c r="AB49" s="324">
        <v>0</v>
      </c>
      <c r="AC49" s="326">
        <v>46250</v>
      </c>
      <c r="AD49" s="326">
        <v>46257</v>
      </c>
      <c r="AE49" s="327" t="s">
        <v>40</v>
      </c>
      <c r="AF49" s="365" t="s">
        <v>480</v>
      </c>
      <c r="AG49" s="328">
        <v>0</v>
      </c>
      <c r="AH49" s="330">
        <v>46266</v>
      </c>
      <c r="AI49" s="330">
        <v>46269</v>
      </c>
      <c r="AJ49" s="331" t="s">
        <v>165</v>
      </c>
      <c r="AK49" s="373" t="s">
        <v>480</v>
      </c>
      <c r="AL49" s="332">
        <v>0</v>
      </c>
      <c r="AM49" s="169">
        <v>46332</v>
      </c>
      <c r="AN49" s="169">
        <v>46338</v>
      </c>
      <c r="AO49" s="168" t="s">
        <v>40</v>
      </c>
      <c r="AP49" s="170">
        <v>0</v>
      </c>
      <c r="AQ49"/>
    </row>
    <row r="50" spans="1:43">
      <c r="A50" s="292" t="s">
        <v>670</v>
      </c>
      <c r="B50" s="299" t="s">
        <v>724</v>
      </c>
      <c r="C50" s="299">
        <v>1</v>
      </c>
      <c r="D50" s="149">
        <v>46195</v>
      </c>
      <c r="E50" s="149">
        <v>46200</v>
      </c>
      <c r="F50" s="308" t="s">
        <v>40</v>
      </c>
      <c r="G50" s="308" t="s">
        <v>479</v>
      </c>
      <c r="H50" s="372">
        <v>0</v>
      </c>
      <c r="I50" s="169">
        <v>46201</v>
      </c>
      <c r="J50" s="311">
        <v>46209</v>
      </c>
      <c r="K50" s="310" t="s">
        <v>40</v>
      </c>
      <c r="L50" s="344" t="s">
        <v>480</v>
      </c>
      <c r="M50" s="312">
        <v>0</v>
      </c>
      <c r="N50" s="314">
        <v>46219</v>
      </c>
      <c r="O50" s="314">
        <v>46231</v>
      </c>
      <c r="P50" s="315" t="s">
        <v>40</v>
      </c>
      <c r="Q50" s="349" t="s">
        <v>480</v>
      </c>
      <c r="R50" s="316">
        <v>0</v>
      </c>
      <c r="S50" s="318">
        <v>46232</v>
      </c>
      <c r="T50" s="318">
        <v>46238</v>
      </c>
      <c r="U50" s="319" t="s">
        <v>40</v>
      </c>
      <c r="V50" s="354" t="s">
        <v>480</v>
      </c>
      <c r="W50" s="320">
        <v>0</v>
      </c>
      <c r="X50" s="322">
        <v>46247</v>
      </c>
      <c r="Y50" s="322">
        <v>46249</v>
      </c>
      <c r="Z50" s="323" t="s">
        <v>40</v>
      </c>
      <c r="AA50" s="359" t="s">
        <v>480</v>
      </c>
      <c r="AB50" s="324">
        <v>0</v>
      </c>
      <c r="AC50" s="326">
        <v>46250</v>
      </c>
      <c r="AD50" s="326">
        <v>46257</v>
      </c>
      <c r="AE50" s="327" t="s">
        <v>40</v>
      </c>
      <c r="AF50" s="365" t="s">
        <v>480</v>
      </c>
      <c r="AG50" s="328">
        <v>0</v>
      </c>
      <c r="AH50" s="330">
        <v>46266</v>
      </c>
      <c r="AI50" s="330">
        <v>46269</v>
      </c>
      <c r="AJ50" s="331" t="s">
        <v>165</v>
      </c>
      <c r="AK50" s="373" t="s">
        <v>480</v>
      </c>
      <c r="AL50" s="332">
        <v>0</v>
      </c>
      <c r="AM50" s="169">
        <v>46332</v>
      </c>
      <c r="AN50" s="169">
        <v>46338</v>
      </c>
      <c r="AO50" s="168" t="s">
        <v>40</v>
      </c>
      <c r="AP50" s="170">
        <v>0</v>
      </c>
      <c r="AQ50"/>
    </row>
    <row r="51" spans="1:43">
      <c r="A51" s="292" t="s">
        <v>670</v>
      </c>
      <c r="B51" s="299" t="s">
        <v>725</v>
      </c>
      <c r="C51" s="299">
        <v>1</v>
      </c>
      <c r="D51" s="149">
        <v>46195</v>
      </c>
      <c r="E51" s="149">
        <v>46200</v>
      </c>
      <c r="F51" s="341" t="s">
        <v>34</v>
      </c>
      <c r="G51" s="340" t="s">
        <v>478</v>
      </c>
      <c r="H51" s="372">
        <v>1</v>
      </c>
      <c r="I51" s="169">
        <v>46201</v>
      </c>
      <c r="J51" s="342">
        <v>46209</v>
      </c>
      <c r="K51" s="344" t="s">
        <v>681</v>
      </c>
      <c r="L51" s="344" t="s">
        <v>681</v>
      </c>
      <c r="M51" s="346">
        <v>0.9</v>
      </c>
      <c r="N51" s="347">
        <v>46219</v>
      </c>
      <c r="O51" s="347">
        <v>46231</v>
      </c>
      <c r="P51" s="374" t="s">
        <v>682</v>
      </c>
      <c r="Q51" s="374" t="s">
        <v>683</v>
      </c>
      <c r="R51" s="350">
        <v>0.5</v>
      </c>
      <c r="S51" s="352">
        <v>46232</v>
      </c>
      <c r="T51" s="352">
        <v>46238</v>
      </c>
      <c r="U51" s="354" t="s">
        <v>40</v>
      </c>
      <c r="V51" s="354" t="s">
        <v>480</v>
      </c>
      <c r="W51" s="355">
        <v>0.9</v>
      </c>
      <c r="X51" s="357">
        <v>46247</v>
      </c>
      <c r="Y51" s="357">
        <v>46249</v>
      </c>
      <c r="Z51" s="359" t="s">
        <v>40</v>
      </c>
      <c r="AA51" s="359" t="s">
        <v>480</v>
      </c>
      <c r="AB51" s="360">
        <v>0</v>
      </c>
      <c r="AC51" s="362">
        <v>46250</v>
      </c>
      <c r="AD51" s="326">
        <v>46257</v>
      </c>
      <c r="AE51" s="327" t="s">
        <v>40</v>
      </c>
      <c r="AF51" s="365" t="s">
        <v>40</v>
      </c>
      <c r="AG51" s="366">
        <v>0</v>
      </c>
      <c r="AH51" s="368">
        <v>46266</v>
      </c>
      <c r="AI51" s="368">
        <v>46269</v>
      </c>
      <c r="AJ51" s="369" t="s">
        <v>165</v>
      </c>
      <c r="AK51" s="373" t="s">
        <v>222</v>
      </c>
      <c r="AL51" s="370">
        <v>0.9</v>
      </c>
      <c r="AM51" s="169">
        <v>46332</v>
      </c>
      <c r="AN51" s="169">
        <v>46338</v>
      </c>
      <c r="AO51" s="168" t="s">
        <v>40</v>
      </c>
      <c r="AP51" s="170">
        <v>0</v>
      </c>
      <c r="AQ51"/>
    </row>
    <row r="52" spans="1:43">
      <c r="A52" s="292" t="s">
        <v>670</v>
      </c>
      <c r="B52" s="299" t="s">
        <v>726</v>
      </c>
      <c r="C52" s="299">
        <v>1</v>
      </c>
      <c r="D52" s="149">
        <v>46195</v>
      </c>
      <c r="E52" s="149">
        <v>46200</v>
      </c>
      <c r="F52" s="341" t="s">
        <v>40</v>
      </c>
      <c r="G52" s="308" t="s">
        <v>479</v>
      </c>
      <c r="H52" s="372">
        <v>0</v>
      </c>
      <c r="I52" s="169">
        <v>46201</v>
      </c>
      <c r="J52" s="342">
        <v>46209</v>
      </c>
      <c r="K52" s="344" t="s">
        <v>40</v>
      </c>
      <c r="L52" s="344" t="s">
        <v>480</v>
      </c>
      <c r="M52" s="346">
        <v>0</v>
      </c>
      <c r="N52" s="347">
        <v>46219</v>
      </c>
      <c r="O52" s="347">
        <v>46231</v>
      </c>
      <c r="P52" s="349" t="s">
        <v>40</v>
      </c>
      <c r="Q52" s="349" t="s">
        <v>480</v>
      </c>
      <c r="R52" s="350">
        <v>0</v>
      </c>
      <c r="S52" s="352">
        <v>46232</v>
      </c>
      <c r="T52" s="352">
        <v>46238</v>
      </c>
      <c r="U52" s="354" t="s">
        <v>40</v>
      </c>
      <c r="V52" s="354" t="s">
        <v>480</v>
      </c>
      <c r="W52" s="355">
        <v>0</v>
      </c>
      <c r="X52" s="357">
        <v>46247</v>
      </c>
      <c r="Y52" s="357">
        <v>46249</v>
      </c>
      <c r="Z52" s="359" t="s">
        <v>40</v>
      </c>
      <c r="AA52" s="359" t="s">
        <v>480</v>
      </c>
      <c r="AB52" s="360">
        <v>0</v>
      </c>
      <c r="AC52" s="362">
        <v>46250</v>
      </c>
      <c r="AD52" s="326">
        <v>46257</v>
      </c>
      <c r="AE52" s="327" t="s">
        <v>40</v>
      </c>
      <c r="AF52" s="365" t="s">
        <v>480</v>
      </c>
      <c r="AG52" s="366">
        <v>0</v>
      </c>
      <c r="AH52" s="368">
        <v>46266</v>
      </c>
      <c r="AI52" s="368">
        <v>46269</v>
      </c>
      <c r="AJ52" s="369" t="s">
        <v>165</v>
      </c>
      <c r="AK52" s="373" t="s">
        <v>480</v>
      </c>
      <c r="AL52" s="370">
        <v>0</v>
      </c>
      <c r="AM52" s="169">
        <v>46332</v>
      </c>
      <c r="AN52" s="169">
        <v>46338</v>
      </c>
      <c r="AO52" s="168" t="s">
        <v>40</v>
      </c>
      <c r="AP52" s="170">
        <v>0</v>
      </c>
      <c r="AQ52"/>
    </row>
    <row r="53" spans="1:43">
      <c r="A53" s="292" t="s">
        <v>670</v>
      </c>
      <c r="B53" s="299" t="s">
        <v>727</v>
      </c>
      <c r="C53" s="299">
        <v>1</v>
      </c>
      <c r="D53" s="149">
        <v>46195</v>
      </c>
      <c r="E53" s="149">
        <v>46200</v>
      </c>
      <c r="F53" s="341" t="s">
        <v>40</v>
      </c>
      <c r="G53" s="308" t="s">
        <v>479</v>
      </c>
      <c r="H53" s="372">
        <v>0</v>
      </c>
      <c r="I53" s="169">
        <v>46201</v>
      </c>
      <c r="J53" s="342">
        <v>46209</v>
      </c>
      <c r="K53" s="344" t="s">
        <v>40</v>
      </c>
      <c r="L53" s="344" t="s">
        <v>480</v>
      </c>
      <c r="M53" s="346">
        <v>0</v>
      </c>
      <c r="N53" s="347">
        <v>46219</v>
      </c>
      <c r="O53" s="347">
        <v>46231</v>
      </c>
      <c r="P53" s="349" t="s">
        <v>40</v>
      </c>
      <c r="Q53" s="349" t="s">
        <v>480</v>
      </c>
      <c r="R53" s="350">
        <v>0</v>
      </c>
      <c r="S53" s="352">
        <v>46232</v>
      </c>
      <c r="T53" s="352">
        <v>46238</v>
      </c>
      <c r="U53" s="354" t="s">
        <v>40</v>
      </c>
      <c r="V53" s="354" t="s">
        <v>480</v>
      </c>
      <c r="W53" s="355">
        <v>0</v>
      </c>
      <c r="X53" s="357">
        <v>46247</v>
      </c>
      <c r="Y53" s="357">
        <v>46249</v>
      </c>
      <c r="Z53" s="359" t="s">
        <v>40</v>
      </c>
      <c r="AA53" s="359" t="s">
        <v>480</v>
      </c>
      <c r="AB53" s="360">
        <v>0</v>
      </c>
      <c r="AC53" s="362">
        <v>46250</v>
      </c>
      <c r="AD53" s="326">
        <v>46257</v>
      </c>
      <c r="AE53" s="327" t="s">
        <v>40</v>
      </c>
      <c r="AF53" s="365" t="s">
        <v>480</v>
      </c>
      <c r="AG53" s="366">
        <v>0</v>
      </c>
      <c r="AH53" s="368">
        <v>46266</v>
      </c>
      <c r="AI53" s="368">
        <v>46269</v>
      </c>
      <c r="AJ53" s="369" t="s">
        <v>165</v>
      </c>
      <c r="AK53" s="373" t="s">
        <v>480</v>
      </c>
      <c r="AL53" s="370">
        <v>0</v>
      </c>
      <c r="AM53" s="169">
        <v>46332</v>
      </c>
      <c r="AN53" s="169">
        <v>46338</v>
      </c>
      <c r="AO53" s="168" t="s">
        <v>40</v>
      </c>
      <c r="AP53" s="170">
        <v>0</v>
      </c>
      <c r="AQ53"/>
    </row>
    <row r="54" spans="1:43">
      <c r="A54" s="292" t="s">
        <v>670</v>
      </c>
      <c r="B54" s="299" t="s">
        <v>728</v>
      </c>
      <c r="C54" s="299">
        <v>1</v>
      </c>
      <c r="D54" s="149">
        <v>46195</v>
      </c>
      <c r="E54" s="149">
        <v>46200</v>
      </c>
      <c r="F54" s="341" t="s">
        <v>40</v>
      </c>
      <c r="G54" s="308" t="s">
        <v>479</v>
      </c>
      <c r="H54" s="372">
        <v>0</v>
      </c>
      <c r="I54" s="169">
        <v>46201</v>
      </c>
      <c r="J54" s="342">
        <v>46209</v>
      </c>
      <c r="K54" s="344" t="s">
        <v>40</v>
      </c>
      <c r="L54" s="344" t="s">
        <v>480</v>
      </c>
      <c r="M54" s="346">
        <v>0</v>
      </c>
      <c r="N54" s="347">
        <v>46219</v>
      </c>
      <c r="O54" s="347">
        <v>46231</v>
      </c>
      <c r="P54" s="349" t="s">
        <v>40</v>
      </c>
      <c r="Q54" s="349" t="s">
        <v>480</v>
      </c>
      <c r="R54" s="350">
        <v>0</v>
      </c>
      <c r="S54" s="352">
        <v>46232</v>
      </c>
      <c r="T54" s="352">
        <v>46238</v>
      </c>
      <c r="U54" s="354" t="s">
        <v>40</v>
      </c>
      <c r="V54" s="354" t="s">
        <v>480</v>
      </c>
      <c r="W54" s="355">
        <v>0</v>
      </c>
      <c r="X54" s="357">
        <v>46247</v>
      </c>
      <c r="Y54" s="357">
        <v>46249</v>
      </c>
      <c r="Z54" s="359" t="s">
        <v>40</v>
      </c>
      <c r="AA54" s="359" t="s">
        <v>480</v>
      </c>
      <c r="AB54" s="360">
        <v>0</v>
      </c>
      <c r="AC54" s="362">
        <v>46250</v>
      </c>
      <c r="AD54" s="326">
        <v>46257</v>
      </c>
      <c r="AE54" s="327" t="s">
        <v>40</v>
      </c>
      <c r="AF54" s="365" t="s">
        <v>480</v>
      </c>
      <c r="AG54" s="366">
        <v>0</v>
      </c>
      <c r="AH54" s="368">
        <v>46266</v>
      </c>
      <c r="AI54" s="368">
        <v>46269</v>
      </c>
      <c r="AJ54" s="369" t="s">
        <v>165</v>
      </c>
      <c r="AK54" s="373" t="s">
        <v>480</v>
      </c>
      <c r="AL54" s="370">
        <v>0</v>
      </c>
      <c r="AM54" s="169">
        <v>46332</v>
      </c>
      <c r="AN54" s="169">
        <v>46338</v>
      </c>
      <c r="AO54" s="168" t="s">
        <v>40</v>
      </c>
      <c r="AP54" s="170">
        <v>0</v>
      </c>
      <c r="AQ54"/>
    </row>
    <row r="55" spans="1:43">
      <c r="A55" s="292" t="s">
        <v>670</v>
      </c>
      <c r="B55" s="299" t="s">
        <v>729</v>
      </c>
      <c r="C55" s="299">
        <v>1</v>
      </c>
      <c r="D55" s="149">
        <v>46195</v>
      </c>
      <c r="E55" s="149">
        <v>46200</v>
      </c>
      <c r="F55" s="308" t="s">
        <v>40</v>
      </c>
      <c r="G55" s="308" t="s">
        <v>479</v>
      </c>
      <c r="H55" s="372">
        <v>0</v>
      </c>
      <c r="I55" s="169">
        <v>46201</v>
      </c>
      <c r="J55" s="311">
        <v>46209</v>
      </c>
      <c r="K55" s="310" t="s">
        <v>40</v>
      </c>
      <c r="L55" s="344" t="s">
        <v>480</v>
      </c>
      <c r="M55" s="312">
        <v>0</v>
      </c>
      <c r="N55" s="314">
        <v>46219</v>
      </c>
      <c r="O55" s="314">
        <v>46231</v>
      </c>
      <c r="P55" s="315" t="s">
        <v>40</v>
      </c>
      <c r="Q55" s="349" t="s">
        <v>480</v>
      </c>
      <c r="R55" s="316">
        <v>0</v>
      </c>
      <c r="S55" s="318">
        <v>46232</v>
      </c>
      <c r="T55" s="318">
        <v>46238</v>
      </c>
      <c r="U55" s="319" t="s">
        <v>40</v>
      </c>
      <c r="V55" s="354" t="s">
        <v>480</v>
      </c>
      <c r="W55" s="320">
        <v>0</v>
      </c>
      <c r="X55" s="322">
        <v>46247</v>
      </c>
      <c r="Y55" s="322">
        <v>46249</v>
      </c>
      <c r="Z55" s="323" t="s">
        <v>40</v>
      </c>
      <c r="AA55" s="359" t="s">
        <v>480</v>
      </c>
      <c r="AB55" s="324">
        <v>0</v>
      </c>
      <c r="AC55" s="326">
        <v>46250</v>
      </c>
      <c r="AD55" s="326">
        <v>46257</v>
      </c>
      <c r="AE55" s="327" t="s">
        <v>40</v>
      </c>
      <c r="AF55" s="365" t="s">
        <v>480</v>
      </c>
      <c r="AG55" s="328">
        <v>0</v>
      </c>
      <c r="AH55" s="330">
        <v>46266</v>
      </c>
      <c r="AI55" s="330">
        <v>46269</v>
      </c>
      <c r="AJ55" s="331" t="s">
        <v>165</v>
      </c>
      <c r="AK55" s="373" t="s">
        <v>480</v>
      </c>
      <c r="AL55" s="332">
        <v>0</v>
      </c>
      <c r="AM55" s="169">
        <v>46332</v>
      </c>
      <c r="AN55" s="169">
        <v>46338</v>
      </c>
      <c r="AO55" s="168" t="s">
        <v>40</v>
      </c>
      <c r="AP55" s="170">
        <v>0</v>
      </c>
      <c r="AQ55"/>
    </row>
    <row r="56" spans="1:43">
      <c r="A56" s="292" t="s">
        <v>670</v>
      </c>
      <c r="B56" s="299" t="s">
        <v>730</v>
      </c>
      <c r="C56" s="299">
        <v>1</v>
      </c>
      <c r="D56" s="149">
        <v>46195</v>
      </c>
      <c r="E56" s="149">
        <v>46200</v>
      </c>
      <c r="F56" s="308" t="s">
        <v>40</v>
      </c>
      <c r="G56" s="308" t="s">
        <v>479</v>
      </c>
      <c r="H56" s="372">
        <v>0</v>
      </c>
      <c r="I56" s="169">
        <v>46201</v>
      </c>
      <c r="J56" s="311">
        <v>46209</v>
      </c>
      <c r="K56" s="310" t="s">
        <v>40</v>
      </c>
      <c r="L56" s="344" t="s">
        <v>480</v>
      </c>
      <c r="M56" s="312">
        <v>0</v>
      </c>
      <c r="N56" s="314">
        <v>46219</v>
      </c>
      <c r="O56" s="314">
        <v>46231</v>
      </c>
      <c r="P56" s="315" t="s">
        <v>40</v>
      </c>
      <c r="Q56" s="349" t="s">
        <v>480</v>
      </c>
      <c r="R56" s="316">
        <v>0</v>
      </c>
      <c r="S56" s="318">
        <v>46232</v>
      </c>
      <c r="T56" s="318">
        <v>46238</v>
      </c>
      <c r="U56" s="319" t="s">
        <v>40</v>
      </c>
      <c r="V56" s="354" t="s">
        <v>480</v>
      </c>
      <c r="W56" s="320">
        <v>0</v>
      </c>
      <c r="X56" s="322">
        <v>46247</v>
      </c>
      <c r="Y56" s="322">
        <v>46249</v>
      </c>
      <c r="Z56" s="323" t="s">
        <v>40</v>
      </c>
      <c r="AA56" s="359" t="s">
        <v>480</v>
      </c>
      <c r="AB56" s="324">
        <v>0</v>
      </c>
      <c r="AC56" s="326">
        <v>46250</v>
      </c>
      <c r="AD56" s="326">
        <v>46257</v>
      </c>
      <c r="AE56" s="327" t="s">
        <v>40</v>
      </c>
      <c r="AF56" s="365" t="s">
        <v>480</v>
      </c>
      <c r="AG56" s="328">
        <v>0</v>
      </c>
      <c r="AH56" s="330">
        <v>46266</v>
      </c>
      <c r="AI56" s="330">
        <v>46269</v>
      </c>
      <c r="AJ56" s="331" t="s">
        <v>165</v>
      </c>
      <c r="AK56" s="373" t="s">
        <v>480</v>
      </c>
      <c r="AL56" s="332">
        <v>0</v>
      </c>
      <c r="AM56" s="169">
        <v>46332</v>
      </c>
      <c r="AN56" s="169">
        <v>46338</v>
      </c>
      <c r="AO56" s="168" t="s">
        <v>40</v>
      </c>
      <c r="AP56" s="170">
        <v>0</v>
      </c>
      <c r="AQ56"/>
    </row>
    <row r="57" spans="1:43">
      <c r="A57" s="292" t="s">
        <v>670</v>
      </c>
      <c r="B57" s="299" t="s">
        <v>731</v>
      </c>
      <c r="C57" s="299">
        <v>1</v>
      </c>
      <c r="D57" s="149">
        <v>46195</v>
      </c>
      <c r="E57" s="149">
        <v>46200</v>
      </c>
      <c r="F57" s="308" t="s">
        <v>40</v>
      </c>
      <c r="G57" s="308" t="s">
        <v>479</v>
      </c>
      <c r="H57" s="372">
        <v>0</v>
      </c>
      <c r="I57" s="169">
        <v>46201</v>
      </c>
      <c r="J57" s="311">
        <v>46209</v>
      </c>
      <c r="K57" s="310" t="s">
        <v>40</v>
      </c>
      <c r="L57" s="344" t="s">
        <v>480</v>
      </c>
      <c r="M57" s="312">
        <v>0</v>
      </c>
      <c r="N57" s="314">
        <v>46219</v>
      </c>
      <c r="O57" s="314">
        <v>46231</v>
      </c>
      <c r="P57" s="315" t="s">
        <v>40</v>
      </c>
      <c r="Q57" s="349" t="s">
        <v>480</v>
      </c>
      <c r="R57" s="316">
        <v>0</v>
      </c>
      <c r="S57" s="318">
        <v>46232</v>
      </c>
      <c r="T57" s="318">
        <v>46238</v>
      </c>
      <c r="U57" s="319" t="s">
        <v>40</v>
      </c>
      <c r="V57" s="354" t="s">
        <v>480</v>
      </c>
      <c r="W57" s="320">
        <v>0</v>
      </c>
      <c r="X57" s="322">
        <v>46247</v>
      </c>
      <c r="Y57" s="322">
        <v>46249</v>
      </c>
      <c r="Z57" s="323" t="s">
        <v>40</v>
      </c>
      <c r="AA57" s="359" t="s">
        <v>480</v>
      </c>
      <c r="AB57" s="324">
        <v>0</v>
      </c>
      <c r="AC57" s="326">
        <v>46250</v>
      </c>
      <c r="AD57" s="326">
        <v>46257</v>
      </c>
      <c r="AE57" s="327" t="s">
        <v>40</v>
      </c>
      <c r="AF57" s="365" t="s">
        <v>480</v>
      </c>
      <c r="AG57" s="328">
        <v>0</v>
      </c>
      <c r="AH57" s="330">
        <v>46266</v>
      </c>
      <c r="AI57" s="330">
        <v>46269</v>
      </c>
      <c r="AJ57" s="331" t="s">
        <v>165</v>
      </c>
      <c r="AK57" s="373" t="s">
        <v>480</v>
      </c>
      <c r="AL57" s="332">
        <v>0</v>
      </c>
      <c r="AM57" s="169">
        <v>46332</v>
      </c>
      <c r="AN57" s="169">
        <v>46338</v>
      </c>
      <c r="AO57" s="168" t="s">
        <v>40</v>
      </c>
      <c r="AP57" s="170">
        <v>0</v>
      </c>
      <c r="AQ57"/>
    </row>
    <row r="58" spans="1:43">
      <c r="A58" s="292" t="s">
        <v>670</v>
      </c>
      <c r="B58" s="299" t="s">
        <v>732</v>
      </c>
      <c r="C58" s="299">
        <v>1</v>
      </c>
      <c r="D58" s="149">
        <v>46195</v>
      </c>
      <c r="E58" s="149">
        <v>46200</v>
      </c>
      <c r="F58" s="341" t="s">
        <v>34</v>
      </c>
      <c r="G58" s="340" t="s">
        <v>478</v>
      </c>
      <c r="H58" s="372">
        <v>1</v>
      </c>
      <c r="I58" s="169">
        <v>46201</v>
      </c>
      <c r="J58" s="342">
        <v>46209</v>
      </c>
      <c r="K58" s="344" t="s">
        <v>681</v>
      </c>
      <c r="L58" s="344" t="s">
        <v>681</v>
      </c>
      <c r="M58" s="346">
        <v>0.9</v>
      </c>
      <c r="N58" s="347">
        <v>46219</v>
      </c>
      <c r="O58" s="347">
        <v>46231</v>
      </c>
      <c r="P58" s="374" t="s">
        <v>682</v>
      </c>
      <c r="Q58" s="374" t="s">
        <v>683</v>
      </c>
      <c r="R58" s="350">
        <v>0.5</v>
      </c>
      <c r="S58" s="352">
        <v>46232</v>
      </c>
      <c r="T58" s="352">
        <v>46238</v>
      </c>
      <c r="U58" s="354" t="s">
        <v>40</v>
      </c>
      <c r="V58" s="354" t="s">
        <v>480</v>
      </c>
      <c r="W58" s="355">
        <v>0.9</v>
      </c>
      <c r="X58" s="357">
        <v>46247</v>
      </c>
      <c r="Y58" s="357">
        <v>46249</v>
      </c>
      <c r="Z58" s="359" t="s">
        <v>40</v>
      </c>
      <c r="AA58" s="359" t="s">
        <v>480</v>
      </c>
      <c r="AB58" s="360">
        <v>0</v>
      </c>
      <c r="AC58" s="362">
        <v>46250</v>
      </c>
      <c r="AD58" s="326">
        <v>46257</v>
      </c>
      <c r="AE58" s="327" t="s">
        <v>40</v>
      </c>
      <c r="AF58" s="365" t="s">
        <v>40</v>
      </c>
      <c r="AG58" s="366">
        <v>0</v>
      </c>
      <c r="AH58" s="368">
        <v>46266</v>
      </c>
      <c r="AI58" s="368">
        <v>46269</v>
      </c>
      <c r="AJ58" s="369" t="s">
        <v>165</v>
      </c>
      <c r="AK58" s="373" t="s">
        <v>40</v>
      </c>
      <c r="AL58" s="370">
        <v>0</v>
      </c>
      <c r="AM58" s="169">
        <v>46332</v>
      </c>
      <c r="AN58" s="169">
        <v>46338</v>
      </c>
      <c r="AO58" s="168" t="s">
        <v>40</v>
      </c>
      <c r="AP58" s="170">
        <v>0</v>
      </c>
      <c r="AQ58"/>
    </row>
    <row r="59" spans="1:43">
      <c r="A59" s="292" t="s">
        <v>670</v>
      </c>
      <c r="B59" s="299" t="s">
        <v>733</v>
      </c>
      <c r="C59" s="299">
        <v>1</v>
      </c>
      <c r="D59" s="149">
        <v>46195</v>
      </c>
      <c r="E59" s="149">
        <v>46200</v>
      </c>
      <c r="F59" s="375" t="s">
        <v>40</v>
      </c>
      <c r="G59" s="340" t="s">
        <v>40</v>
      </c>
      <c r="H59" s="372">
        <v>0</v>
      </c>
      <c r="I59" s="169">
        <v>46201</v>
      </c>
      <c r="J59" s="342">
        <v>46209</v>
      </c>
      <c r="K59" s="344" t="s">
        <v>40</v>
      </c>
      <c r="L59" s="345" t="s">
        <v>480</v>
      </c>
      <c r="M59" s="346">
        <v>0</v>
      </c>
      <c r="N59" s="347">
        <v>46219</v>
      </c>
      <c r="O59" s="347">
        <v>46231</v>
      </c>
      <c r="P59" s="349" t="s">
        <v>40</v>
      </c>
      <c r="Q59" s="374" t="s">
        <v>480</v>
      </c>
      <c r="R59" s="350">
        <v>0</v>
      </c>
      <c r="S59" s="352">
        <v>46232</v>
      </c>
      <c r="T59" s="352">
        <v>46238</v>
      </c>
      <c r="U59" s="354" t="s">
        <v>40</v>
      </c>
      <c r="V59" s="376" t="s">
        <v>480</v>
      </c>
      <c r="W59" s="355">
        <v>0</v>
      </c>
      <c r="X59" s="357">
        <v>46247</v>
      </c>
      <c r="Y59" s="357">
        <v>46249</v>
      </c>
      <c r="Z59" s="359" t="s">
        <v>40</v>
      </c>
      <c r="AA59" s="377" t="s">
        <v>480</v>
      </c>
      <c r="AB59" s="360">
        <v>0</v>
      </c>
      <c r="AC59" s="362">
        <v>46250</v>
      </c>
      <c r="AD59" s="326">
        <v>46257</v>
      </c>
      <c r="AE59" s="327" t="s">
        <v>40</v>
      </c>
      <c r="AF59" s="378" t="s">
        <v>480</v>
      </c>
      <c r="AG59" s="366">
        <v>0</v>
      </c>
      <c r="AH59" s="368">
        <v>46266</v>
      </c>
      <c r="AI59" s="368">
        <v>46269</v>
      </c>
      <c r="AJ59" s="369" t="s">
        <v>165</v>
      </c>
      <c r="AK59" s="373" t="s">
        <v>480</v>
      </c>
      <c r="AL59" s="370">
        <v>0</v>
      </c>
      <c r="AM59" s="169">
        <v>46332</v>
      </c>
      <c r="AN59" s="169">
        <v>46338</v>
      </c>
      <c r="AO59" s="168" t="s">
        <v>40</v>
      </c>
      <c r="AP59" s="170">
        <v>0</v>
      </c>
      <c r="AQ59"/>
    </row>
    <row r="60" spans="1:43">
      <c r="A60" s="292" t="s">
        <v>670</v>
      </c>
      <c r="B60" s="299" t="s">
        <v>734</v>
      </c>
      <c r="C60" s="299">
        <v>1</v>
      </c>
      <c r="D60" s="149">
        <v>46195</v>
      </c>
      <c r="E60" s="149">
        <v>46200</v>
      </c>
      <c r="F60" s="341" t="s">
        <v>40</v>
      </c>
      <c r="G60" s="340" t="s">
        <v>40</v>
      </c>
      <c r="H60" s="372">
        <v>0</v>
      </c>
      <c r="I60" s="169">
        <v>46201</v>
      </c>
      <c r="J60" s="342">
        <v>46209</v>
      </c>
      <c r="K60" s="344" t="s">
        <v>40</v>
      </c>
      <c r="L60" s="345" t="s">
        <v>480</v>
      </c>
      <c r="M60" s="346">
        <v>0</v>
      </c>
      <c r="N60" s="347">
        <v>46219</v>
      </c>
      <c r="O60" s="347">
        <v>46231</v>
      </c>
      <c r="P60" s="349" t="s">
        <v>40</v>
      </c>
      <c r="Q60" s="374" t="s">
        <v>480</v>
      </c>
      <c r="R60" s="350">
        <v>0</v>
      </c>
      <c r="S60" s="352">
        <v>46232</v>
      </c>
      <c r="T60" s="352">
        <v>46238</v>
      </c>
      <c r="U60" s="354" t="s">
        <v>40</v>
      </c>
      <c r="V60" s="376" t="s">
        <v>480</v>
      </c>
      <c r="W60" s="355">
        <v>0</v>
      </c>
      <c r="X60" s="357">
        <v>46247</v>
      </c>
      <c r="Y60" s="357">
        <v>46249</v>
      </c>
      <c r="Z60" s="359" t="s">
        <v>40</v>
      </c>
      <c r="AA60" s="377" t="s">
        <v>480</v>
      </c>
      <c r="AB60" s="360">
        <v>0</v>
      </c>
      <c r="AC60" s="362">
        <v>46250</v>
      </c>
      <c r="AD60" s="326">
        <v>46257</v>
      </c>
      <c r="AE60" s="327" t="s">
        <v>40</v>
      </c>
      <c r="AF60" s="378" t="s">
        <v>480</v>
      </c>
      <c r="AG60" s="366">
        <v>0</v>
      </c>
      <c r="AH60" s="368">
        <v>46266</v>
      </c>
      <c r="AI60" s="368">
        <v>46269</v>
      </c>
      <c r="AJ60" s="369" t="s">
        <v>165</v>
      </c>
      <c r="AK60" s="373" t="s">
        <v>480</v>
      </c>
      <c r="AL60" s="370">
        <v>0</v>
      </c>
      <c r="AM60" s="169">
        <v>46332</v>
      </c>
      <c r="AN60" s="169">
        <v>46338</v>
      </c>
      <c r="AO60" s="168" t="s">
        <v>40</v>
      </c>
      <c r="AP60" s="170">
        <v>0</v>
      </c>
      <c r="AQ60"/>
    </row>
    <row r="61" spans="1:43">
      <c r="A61" s="292" t="s">
        <v>670</v>
      </c>
      <c r="B61" s="299" t="s">
        <v>735</v>
      </c>
      <c r="C61" s="299">
        <v>1</v>
      </c>
      <c r="D61" s="149">
        <v>46195</v>
      </c>
      <c r="E61" s="149">
        <v>46200</v>
      </c>
      <c r="F61" s="341" t="s">
        <v>40</v>
      </c>
      <c r="G61" s="340" t="s">
        <v>40</v>
      </c>
      <c r="H61" s="372">
        <v>0</v>
      </c>
      <c r="I61" s="169">
        <v>46201</v>
      </c>
      <c r="J61" s="342">
        <v>46209</v>
      </c>
      <c r="K61" s="344" t="s">
        <v>40</v>
      </c>
      <c r="L61" s="345" t="s">
        <v>480</v>
      </c>
      <c r="M61" s="346">
        <v>0</v>
      </c>
      <c r="N61" s="347">
        <v>46219</v>
      </c>
      <c r="O61" s="347">
        <v>46231</v>
      </c>
      <c r="P61" s="349" t="s">
        <v>40</v>
      </c>
      <c r="Q61" s="374" t="s">
        <v>480</v>
      </c>
      <c r="R61" s="350">
        <v>0</v>
      </c>
      <c r="S61" s="352">
        <v>46232</v>
      </c>
      <c r="T61" s="352">
        <v>46238</v>
      </c>
      <c r="U61" s="354" t="s">
        <v>40</v>
      </c>
      <c r="V61" s="376" t="s">
        <v>480</v>
      </c>
      <c r="W61" s="355">
        <v>0</v>
      </c>
      <c r="X61" s="357">
        <v>46247</v>
      </c>
      <c r="Y61" s="357">
        <v>46249</v>
      </c>
      <c r="Z61" s="359" t="s">
        <v>40</v>
      </c>
      <c r="AA61" s="377" t="s">
        <v>480</v>
      </c>
      <c r="AB61" s="360">
        <v>0</v>
      </c>
      <c r="AC61" s="362">
        <v>46250</v>
      </c>
      <c r="AD61" s="326">
        <v>46257</v>
      </c>
      <c r="AE61" s="327" t="s">
        <v>40</v>
      </c>
      <c r="AF61" s="378" t="s">
        <v>480</v>
      </c>
      <c r="AG61" s="366">
        <v>0</v>
      </c>
      <c r="AH61" s="368">
        <v>46266</v>
      </c>
      <c r="AI61" s="368">
        <v>46269</v>
      </c>
      <c r="AJ61" s="369" t="s">
        <v>165</v>
      </c>
      <c r="AK61" s="373" t="s">
        <v>480</v>
      </c>
      <c r="AL61" s="370">
        <v>0</v>
      </c>
      <c r="AM61" s="169">
        <v>46332</v>
      </c>
      <c r="AN61" s="169">
        <v>46338</v>
      </c>
      <c r="AO61" s="168" t="s">
        <v>40</v>
      </c>
      <c r="AP61" s="170">
        <v>0</v>
      </c>
      <c r="AQ61"/>
    </row>
    <row r="62" spans="1:43">
      <c r="A62" s="292" t="s">
        <v>670</v>
      </c>
      <c r="B62" s="299" t="s">
        <v>736</v>
      </c>
      <c r="C62" s="299">
        <v>1</v>
      </c>
      <c r="D62" s="149">
        <v>46195</v>
      </c>
      <c r="E62" s="149">
        <v>46200</v>
      </c>
      <c r="F62" s="308" t="s">
        <v>40</v>
      </c>
      <c r="G62" s="340" t="s">
        <v>40</v>
      </c>
      <c r="H62" s="372">
        <v>0</v>
      </c>
      <c r="I62" s="169">
        <v>46201</v>
      </c>
      <c r="J62" s="311">
        <v>46209</v>
      </c>
      <c r="K62" s="310" t="s">
        <v>40</v>
      </c>
      <c r="L62" s="345" t="s">
        <v>40</v>
      </c>
      <c r="M62" s="312">
        <v>0</v>
      </c>
      <c r="N62" s="314">
        <v>46219</v>
      </c>
      <c r="O62" s="314">
        <v>46231</v>
      </c>
      <c r="P62" s="315" t="s">
        <v>40</v>
      </c>
      <c r="Q62" s="336" t="s">
        <v>40</v>
      </c>
      <c r="R62" s="316">
        <v>0</v>
      </c>
      <c r="S62" s="318">
        <v>46232</v>
      </c>
      <c r="T62" s="318">
        <v>46238</v>
      </c>
      <c r="U62" s="319" t="s">
        <v>40</v>
      </c>
      <c r="V62" s="337" t="s">
        <v>40</v>
      </c>
      <c r="W62" s="320">
        <v>0</v>
      </c>
      <c r="X62" s="322">
        <v>46247</v>
      </c>
      <c r="Y62" s="322">
        <v>46249</v>
      </c>
      <c r="Z62" s="323" t="s">
        <v>40</v>
      </c>
      <c r="AA62" s="338" t="s">
        <v>40</v>
      </c>
      <c r="AB62" s="324">
        <v>0</v>
      </c>
      <c r="AC62" s="326">
        <v>46250</v>
      </c>
      <c r="AD62" s="326">
        <v>46257</v>
      </c>
      <c r="AE62" s="327" t="s">
        <v>40</v>
      </c>
      <c r="AF62" s="339" t="s">
        <v>40</v>
      </c>
      <c r="AG62" s="328">
        <v>0</v>
      </c>
      <c r="AH62" s="330">
        <v>46266</v>
      </c>
      <c r="AI62" s="330">
        <v>46269</v>
      </c>
      <c r="AJ62" s="331" t="s">
        <v>165</v>
      </c>
      <c r="AK62" s="333" t="s">
        <v>40</v>
      </c>
      <c r="AL62" s="332">
        <v>0</v>
      </c>
      <c r="AM62" s="169">
        <v>46332</v>
      </c>
      <c r="AN62" s="169">
        <v>46338</v>
      </c>
      <c r="AO62" s="168" t="s">
        <v>40</v>
      </c>
      <c r="AP62" s="170">
        <v>0</v>
      </c>
      <c r="AQ62"/>
    </row>
    <row r="63" spans="1:43">
      <c r="A63" s="292" t="s">
        <v>670</v>
      </c>
      <c r="B63" s="299" t="s">
        <v>737</v>
      </c>
      <c r="C63" s="299">
        <v>1</v>
      </c>
      <c r="D63" s="149">
        <v>46195</v>
      </c>
      <c r="E63" s="149">
        <v>46200</v>
      </c>
      <c r="F63" s="308" t="s">
        <v>40</v>
      </c>
      <c r="G63" s="340" t="s">
        <v>40</v>
      </c>
      <c r="H63" s="372">
        <v>0</v>
      </c>
      <c r="I63" s="169">
        <v>46201</v>
      </c>
      <c r="J63" s="311">
        <v>46209</v>
      </c>
      <c r="K63" s="310" t="s">
        <v>40</v>
      </c>
      <c r="L63" s="345" t="s">
        <v>40</v>
      </c>
      <c r="M63" s="312">
        <v>0</v>
      </c>
      <c r="N63" s="314">
        <v>46219</v>
      </c>
      <c r="O63" s="314">
        <v>46231</v>
      </c>
      <c r="P63" s="315" t="s">
        <v>40</v>
      </c>
      <c r="Q63" s="336" t="s">
        <v>40</v>
      </c>
      <c r="R63" s="316">
        <v>0</v>
      </c>
      <c r="S63" s="318">
        <v>46232</v>
      </c>
      <c r="T63" s="318">
        <v>46238</v>
      </c>
      <c r="U63" s="319" t="s">
        <v>40</v>
      </c>
      <c r="V63" s="337" t="s">
        <v>40</v>
      </c>
      <c r="W63" s="320">
        <v>0</v>
      </c>
      <c r="X63" s="322">
        <v>46247</v>
      </c>
      <c r="Y63" s="322">
        <v>46249</v>
      </c>
      <c r="Z63" s="323" t="s">
        <v>40</v>
      </c>
      <c r="AA63" s="338" t="s">
        <v>40</v>
      </c>
      <c r="AB63" s="324">
        <v>0</v>
      </c>
      <c r="AC63" s="326">
        <v>46250</v>
      </c>
      <c r="AD63" s="326">
        <v>46257</v>
      </c>
      <c r="AE63" s="327" t="s">
        <v>40</v>
      </c>
      <c r="AF63" s="339" t="s">
        <v>40</v>
      </c>
      <c r="AG63" s="328">
        <v>0</v>
      </c>
      <c r="AH63" s="330">
        <v>46266</v>
      </c>
      <c r="AI63" s="330">
        <v>46269</v>
      </c>
      <c r="AJ63" s="331" t="s">
        <v>165</v>
      </c>
      <c r="AK63" s="333" t="s">
        <v>40</v>
      </c>
      <c r="AL63" s="332">
        <v>0</v>
      </c>
      <c r="AM63" s="169">
        <v>46332</v>
      </c>
      <c r="AN63" s="169">
        <v>46338</v>
      </c>
      <c r="AO63" s="168" t="s">
        <v>40</v>
      </c>
      <c r="AP63" s="170">
        <v>0</v>
      </c>
      <c r="AQ63"/>
    </row>
    <row r="64" spans="1:43">
      <c r="A64" s="292" t="s">
        <v>670</v>
      </c>
      <c r="B64" s="299" t="s">
        <v>738</v>
      </c>
      <c r="C64" s="299">
        <v>1</v>
      </c>
      <c r="D64" s="149">
        <v>46195</v>
      </c>
      <c r="E64" s="149">
        <v>46200</v>
      </c>
      <c r="F64" s="308" t="s">
        <v>40</v>
      </c>
      <c r="G64" s="340" t="s">
        <v>40</v>
      </c>
      <c r="H64" s="372">
        <v>0</v>
      </c>
      <c r="I64" s="169">
        <v>46201</v>
      </c>
      <c r="J64" s="311">
        <v>46209</v>
      </c>
      <c r="K64" s="310" t="s">
        <v>40</v>
      </c>
      <c r="L64" s="345" t="s">
        <v>40</v>
      </c>
      <c r="M64" s="312">
        <v>0</v>
      </c>
      <c r="N64" s="314">
        <v>46219</v>
      </c>
      <c r="O64" s="314">
        <v>46231</v>
      </c>
      <c r="P64" s="315" t="s">
        <v>40</v>
      </c>
      <c r="Q64" s="336" t="s">
        <v>40</v>
      </c>
      <c r="R64" s="316">
        <v>0</v>
      </c>
      <c r="S64" s="318">
        <v>46232</v>
      </c>
      <c r="T64" s="318">
        <v>46238</v>
      </c>
      <c r="U64" s="319" t="s">
        <v>40</v>
      </c>
      <c r="V64" s="337" t="s">
        <v>40</v>
      </c>
      <c r="W64" s="320">
        <v>0</v>
      </c>
      <c r="X64" s="322">
        <v>46247</v>
      </c>
      <c r="Y64" s="322">
        <v>46249</v>
      </c>
      <c r="Z64" s="323" t="s">
        <v>40</v>
      </c>
      <c r="AA64" s="338" t="s">
        <v>40</v>
      </c>
      <c r="AB64" s="324">
        <v>0</v>
      </c>
      <c r="AC64" s="326">
        <v>46250</v>
      </c>
      <c r="AD64" s="326">
        <v>46257</v>
      </c>
      <c r="AE64" s="327" t="s">
        <v>40</v>
      </c>
      <c r="AF64" s="339" t="s">
        <v>40</v>
      </c>
      <c r="AG64" s="328">
        <v>0</v>
      </c>
      <c r="AH64" s="330">
        <v>46266</v>
      </c>
      <c r="AI64" s="330">
        <v>46269</v>
      </c>
      <c r="AJ64" s="331" t="s">
        <v>165</v>
      </c>
      <c r="AK64" s="333" t="s">
        <v>40</v>
      </c>
      <c r="AL64" s="332">
        <v>0</v>
      </c>
      <c r="AM64" s="169">
        <v>46332</v>
      </c>
      <c r="AN64" s="169">
        <v>46338</v>
      </c>
      <c r="AO64" s="168" t="s">
        <v>40</v>
      </c>
      <c r="AP64" s="170">
        <v>0</v>
      </c>
      <c r="AQ64"/>
    </row>
    <row r="65" spans="1:43">
      <c r="A65" s="292" t="s">
        <v>670</v>
      </c>
      <c r="B65" s="299" t="s">
        <v>739</v>
      </c>
      <c r="C65" s="299">
        <v>1</v>
      </c>
      <c r="D65" s="149">
        <v>46195</v>
      </c>
      <c r="E65" s="149">
        <v>46200</v>
      </c>
      <c r="F65" s="341" t="s">
        <v>34</v>
      </c>
      <c r="G65" s="340" t="s">
        <v>478</v>
      </c>
      <c r="H65" s="372">
        <v>1</v>
      </c>
      <c r="I65" s="169">
        <v>46201</v>
      </c>
      <c r="J65" s="342">
        <v>46209</v>
      </c>
      <c r="K65" s="344" t="s">
        <v>681</v>
      </c>
      <c r="L65" s="344" t="s">
        <v>681</v>
      </c>
      <c r="M65" s="346">
        <v>0.9</v>
      </c>
      <c r="N65" s="347">
        <v>46219</v>
      </c>
      <c r="O65" s="347">
        <v>46231</v>
      </c>
      <c r="P65" s="374" t="s">
        <v>682</v>
      </c>
      <c r="Q65" s="374" t="s">
        <v>683</v>
      </c>
      <c r="R65" s="350">
        <v>0.5</v>
      </c>
      <c r="S65" s="352">
        <v>46232</v>
      </c>
      <c r="T65" s="352">
        <v>46238</v>
      </c>
      <c r="U65" s="354" t="s">
        <v>40</v>
      </c>
      <c r="V65" s="354" t="s">
        <v>480</v>
      </c>
      <c r="W65" s="355">
        <v>0.9</v>
      </c>
      <c r="X65" s="357">
        <v>46247</v>
      </c>
      <c r="Y65" s="357">
        <v>46249</v>
      </c>
      <c r="Z65" s="359" t="s">
        <v>40</v>
      </c>
      <c r="AA65" s="359" t="s">
        <v>480</v>
      </c>
      <c r="AB65" s="360">
        <v>0</v>
      </c>
      <c r="AC65" s="362">
        <v>46250</v>
      </c>
      <c r="AD65" s="326">
        <v>46257</v>
      </c>
      <c r="AE65" s="327" t="s">
        <v>40</v>
      </c>
      <c r="AF65" s="365" t="s">
        <v>40</v>
      </c>
      <c r="AG65" s="366">
        <v>0</v>
      </c>
      <c r="AH65" s="368">
        <v>46266</v>
      </c>
      <c r="AI65" s="368">
        <v>46269</v>
      </c>
      <c r="AJ65" s="369" t="s">
        <v>165</v>
      </c>
      <c r="AK65" s="373" t="s">
        <v>40</v>
      </c>
      <c r="AL65" s="370">
        <v>0</v>
      </c>
      <c r="AM65" s="169">
        <v>46332</v>
      </c>
      <c r="AN65" s="169">
        <v>46338</v>
      </c>
      <c r="AO65" s="168" t="s">
        <v>40</v>
      </c>
      <c r="AP65" s="170">
        <v>0</v>
      </c>
      <c r="AQ65"/>
    </row>
    <row r="66" spans="1:43">
      <c r="A66" s="292" t="s">
        <v>670</v>
      </c>
      <c r="B66" s="299" t="s">
        <v>740</v>
      </c>
      <c r="C66" s="299">
        <v>1</v>
      </c>
      <c r="D66" s="149">
        <v>46195</v>
      </c>
      <c r="E66" s="149">
        <v>46200</v>
      </c>
      <c r="F66" s="341" t="s">
        <v>40</v>
      </c>
      <c r="G66" s="308" t="s">
        <v>479</v>
      </c>
      <c r="H66" s="372">
        <v>0</v>
      </c>
      <c r="I66" s="169">
        <v>46201</v>
      </c>
      <c r="J66" s="342">
        <v>46209</v>
      </c>
      <c r="K66" s="344" t="s">
        <v>40</v>
      </c>
      <c r="L66" s="344" t="s">
        <v>480</v>
      </c>
      <c r="M66" s="346">
        <v>0</v>
      </c>
      <c r="N66" s="347">
        <v>46219</v>
      </c>
      <c r="O66" s="347">
        <v>46231</v>
      </c>
      <c r="P66" s="349" t="s">
        <v>40</v>
      </c>
      <c r="Q66" s="349" t="s">
        <v>480</v>
      </c>
      <c r="R66" s="350">
        <v>0</v>
      </c>
      <c r="S66" s="352">
        <v>46232</v>
      </c>
      <c r="T66" s="352">
        <v>46238</v>
      </c>
      <c r="U66" s="354" t="s">
        <v>40</v>
      </c>
      <c r="V66" s="354" t="s">
        <v>480</v>
      </c>
      <c r="W66" s="355">
        <v>0</v>
      </c>
      <c r="X66" s="357">
        <v>46247</v>
      </c>
      <c r="Y66" s="357">
        <v>46249</v>
      </c>
      <c r="Z66" s="359" t="s">
        <v>40</v>
      </c>
      <c r="AA66" s="359" t="s">
        <v>480</v>
      </c>
      <c r="AB66" s="360">
        <v>0</v>
      </c>
      <c r="AC66" s="362">
        <v>46250</v>
      </c>
      <c r="AD66" s="326">
        <v>46257</v>
      </c>
      <c r="AE66" s="327" t="s">
        <v>40</v>
      </c>
      <c r="AF66" s="365" t="s">
        <v>480</v>
      </c>
      <c r="AG66" s="366">
        <v>0</v>
      </c>
      <c r="AH66" s="368">
        <v>46266</v>
      </c>
      <c r="AI66" s="368">
        <v>46269</v>
      </c>
      <c r="AJ66" s="369" t="s">
        <v>165</v>
      </c>
      <c r="AK66" s="373" t="s">
        <v>480</v>
      </c>
      <c r="AL66" s="370">
        <v>0</v>
      </c>
      <c r="AM66" s="169">
        <v>46332</v>
      </c>
      <c r="AN66" s="169">
        <v>46338</v>
      </c>
      <c r="AO66" s="168" t="s">
        <v>40</v>
      </c>
      <c r="AP66" s="170">
        <v>0</v>
      </c>
      <c r="AQ66"/>
    </row>
    <row r="67" spans="1:43">
      <c r="A67" s="292" t="s">
        <v>670</v>
      </c>
      <c r="B67" s="299" t="s">
        <v>741</v>
      </c>
      <c r="C67" s="299">
        <v>1</v>
      </c>
      <c r="D67" s="149">
        <v>46195</v>
      </c>
      <c r="E67" s="149">
        <v>46200</v>
      </c>
      <c r="F67" s="341" t="s">
        <v>40</v>
      </c>
      <c r="G67" s="308" t="s">
        <v>479</v>
      </c>
      <c r="H67" s="372">
        <v>0</v>
      </c>
      <c r="I67" s="169">
        <v>46201</v>
      </c>
      <c r="J67" s="342">
        <v>46209</v>
      </c>
      <c r="K67" s="344" t="s">
        <v>40</v>
      </c>
      <c r="L67" s="344" t="s">
        <v>480</v>
      </c>
      <c r="M67" s="346">
        <v>0</v>
      </c>
      <c r="N67" s="347">
        <v>46219</v>
      </c>
      <c r="O67" s="347">
        <v>46231</v>
      </c>
      <c r="P67" s="349" t="s">
        <v>40</v>
      </c>
      <c r="Q67" s="349" t="s">
        <v>480</v>
      </c>
      <c r="R67" s="350">
        <v>0</v>
      </c>
      <c r="S67" s="352">
        <v>46232</v>
      </c>
      <c r="T67" s="352">
        <v>46238</v>
      </c>
      <c r="U67" s="354" t="s">
        <v>40</v>
      </c>
      <c r="V67" s="354" t="s">
        <v>480</v>
      </c>
      <c r="W67" s="355">
        <v>0</v>
      </c>
      <c r="X67" s="357">
        <v>46247</v>
      </c>
      <c r="Y67" s="357">
        <v>46249</v>
      </c>
      <c r="Z67" s="359" t="s">
        <v>40</v>
      </c>
      <c r="AA67" s="359" t="s">
        <v>480</v>
      </c>
      <c r="AB67" s="360">
        <v>0</v>
      </c>
      <c r="AC67" s="362">
        <v>46250</v>
      </c>
      <c r="AD67" s="326">
        <v>46257</v>
      </c>
      <c r="AE67" s="327" t="s">
        <v>40</v>
      </c>
      <c r="AF67" s="365" t="s">
        <v>480</v>
      </c>
      <c r="AG67" s="366">
        <v>0</v>
      </c>
      <c r="AH67" s="368">
        <v>46266</v>
      </c>
      <c r="AI67" s="368">
        <v>46269</v>
      </c>
      <c r="AJ67" s="369" t="s">
        <v>165</v>
      </c>
      <c r="AK67" s="373" t="s">
        <v>480</v>
      </c>
      <c r="AL67" s="370">
        <v>0</v>
      </c>
      <c r="AM67" s="169">
        <v>46332</v>
      </c>
      <c r="AN67" s="169">
        <v>46338</v>
      </c>
      <c r="AO67" s="168" t="s">
        <v>40</v>
      </c>
      <c r="AP67" s="170">
        <v>0</v>
      </c>
      <c r="AQ67"/>
    </row>
    <row r="68" spans="1:43">
      <c r="A68" s="292" t="s">
        <v>670</v>
      </c>
      <c r="B68" s="299" t="s">
        <v>742</v>
      </c>
      <c r="C68" s="299">
        <v>1</v>
      </c>
      <c r="D68" s="149">
        <v>46195</v>
      </c>
      <c r="E68" s="149">
        <v>46200</v>
      </c>
      <c r="F68" s="341" t="s">
        <v>40</v>
      </c>
      <c r="G68" s="308" t="s">
        <v>479</v>
      </c>
      <c r="H68" s="372">
        <v>0</v>
      </c>
      <c r="I68" s="169">
        <v>46201</v>
      </c>
      <c r="J68" s="342">
        <v>46209</v>
      </c>
      <c r="K68" s="344" t="s">
        <v>40</v>
      </c>
      <c r="L68" s="344" t="s">
        <v>480</v>
      </c>
      <c r="M68" s="346">
        <v>0</v>
      </c>
      <c r="N68" s="347">
        <v>46219</v>
      </c>
      <c r="O68" s="347">
        <v>46231</v>
      </c>
      <c r="P68" s="349" t="s">
        <v>40</v>
      </c>
      <c r="Q68" s="349" t="s">
        <v>480</v>
      </c>
      <c r="R68" s="350">
        <v>0</v>
      </c>
      <c r="S68" s="352">
        <v>46232</v>
      </c>
      <c r="T68" s="352">
        <v>46238</v>
      </c>
      <c r="U68" s="354" t="s">
        <v>40</v>
      </c>
      <c r="V68" s="354" t="s">
        <v>480</v>
      </c>
      <c r="W68" s="355">
        <v>0</v>
      </c>
      <c r="X68" s="357">
        <v>46247</v>
      </c>
      <c r="Y68" s="357">
        <v>46249</v>
      </c>
      <c r="Z68" s="359" t="s">
        <v>40</v>
      </c>
      <c r="AA68" s="359" t="s">
        <v>480</v>
      </c>
      <c r="AB68" s="360">
        <v>0</v>
      </c>
      <c r="AC68" s="362">
        <v>46250</v>
      </c>
      <c r="AD68" s="326">
        <v>46257</v>
      </c>
      <c r="AE68" s="327" t="s">
        <v>40</v>
      </c>
      <c r="AF68" s="365" t="s">
        <v>480</v>
      </c>
      <c r="AG68" s="366">
        <v>0</v>
      </c>
      <c r="AH68" s="368">
        <v>46266</v>
      </c>
      <c r="AI68" s="368">
        <v>46269</v>
      </c>
      <c r="AJ68" s="369" t="s">
        <v>165</v>
      </c>
      <c r="AK68" s="373" t="s">
        <v>480</v>
      </c>
      <c r="AL68" s="370">
        <v>0</v>
      </c>
      <c r="AM68" s="169">
        <v>46332</v>
      </c>
      <c r="AN68" s="169">
        <v>46338</v>
      </c>
      <c r="AO68" s="168" t="s">
        <v>40</v>
      </c>
      <c r="AP68" s="170">
        <v>0</v>
      </c>
      <c r="AQ68"/>
    </row>
    <row r="69" spans="1:43">
      <c r="A69" s="292" t="s">
        <v>670</v>
      </c>
      <c r="B69" s="299" t="s">
        <v>743</v>
      </c>
      <c r="C69" s="299">
        <v>1</v>
      </c>
      <c r="D69" s="149">
        <v>46195</v>
      </c>
      <c r="E69" s="149">
        <v>46200</v>
      </c>
      <c r="F69" s="308" t="s">
        <v>40</v>
      </c>
      <c r="G69" s="308" t="s">
        <v>479</v>
      </c>
      <c r="H69" s="372">
        <v>0</v>
      </c>
      <c r="I69" s="169">
        <v>46201</v>
      </c>
      <c r="J69" s="311">
        <v>46209</v>
      </c>
      <c r="K69" s="310" t="s">
        <v>40</v>
      </c>
      <c r="L69" s="344" t="s">
        <v>480</v>
      </c>
      <c r="M69" s="312">
        <v>0</v>
      </c>
      <c r="N69" s="314">
        <v>46219</v>
      </c>
      <c r="O69" s="314">
        <v>46231</v>
      </c>
      <c r="P69" s="315" t="s">
        <v>40</v>
      </c>
      <c r="Q69" s="349" t="s">
        <v>480</v>
      </c>
      <c r="R69" s="316">
        <v>0</v>
      </c>
      <c r="S69" s="318">
        <v>46232</v>
      </c>
      <c r="T69" s="318">
        <v>46238</v>
      </c>
      <c r="U69" s="319" t="s">
        <v>40</v>
      </c>
      <c r="V69" s="354" t="s">
        <v>480</v>
      </c>
      <c r="W69" s="320">
        <v>0</v>
      </c>
      <c r="X69" s="322">
        <v>46247</v>
      </c>
      <c r="Y69" s="322">
        <v>46249</v>
      </c>
      <c r="Z69" s="323" t="s">
        <v>40</v>
      </c>
      <c r="AA69" s="359" t="s">
        <v>480</v>
      </c>
      <c r="AB69" s="324">
        <v>0</v>
      </c>
      <c r="AC69" s="326">
        <v>46250</v>
      </c>
      <c r="AD69" s="326">
        <v>46257</v>
      </c>
      <c r="AE69" s="327" t="s">
        <v>40</v>
      </c>
      <c r="AF69" s="365" t="s">
        <v>480</v>
      </c>
      <c r="AG69" s="328">
        <v>0</v>
      </c>
      <c r="AH69" s="330">
        <v>46266</v>
      </c>
      <c r="AI69" s="330">
        <v>46269</v>
      </c>
      <c r="AJ69" s="331" t="s">
        <v>165</v>
      </c>
      <c r="AK69" s="373" t="s">
        <v>480</v>
      </c>
      <c r="AL69" s="332">
        <v>0</v>
      </c>
      <c r="AM69" s="169">
        <v>46332</v>
      </c>
      <c r="AN69" s="169">
        <v>46338</v>
      </c>
      <c r="AO69" s="168" t="s">
        <v>40</v>
      </c>
      <c r="AP69" s="170">
        <v>0</v>
      </c>
      <c r="AQ69"/>
    </row>
    <row r="70" spans="1:43">
      <c r="A70" s="292" t="s">
        <v>670</v>
      </c>
      <c r="B70" s="299" t="s">
        <v>744</v>
      </c>
      <c r="C70" s="299">
        <v>1</v>
      </c>
      <c r="D70" s="149">
        <v>46195</v>
      </c>
      <c r="E70" s="149">
        <v>46200</v>
      </c>
      <c r="F70" s="308" t="s">
        <v>40</v>
      </c>
      <c r="G70" s="308" t="s">
        <v>479</v>
      </c>
      <c r="H70" s="372">
        <v>0</v>
      </c>
      <c r="I70" s="169">
        <v>46201</v>
      </c>
      <c r="J70" s="311">
        <v>46209</v>
      </c>
      <c r="K70" s="310" t="s">
        <v>40</v>
      </c>
      <c r="L70" s="344" t="s">
        <v>480</v>
      </c>
      <c r="M70" s="312">
        <v>0</v>
      </c>
      <c r="N70" s="314">
        <v>46219</v>
      </c>
      <c r="O70" s="314">
        <v>46231</v>
      </c>
      <c r="P70" s="315" t="s">
        <v>40</v>
      </c>
      <c r="Q70" s="349" t="s">
        <v>480</v>
      </c>
      <c r="R70" s="316">
        <v>0</v>
      </c>
      <c r="S70" s="318">
        <v>46232</v>
      </c>
      <c r="T70" s="318">
        <v>46238</v>
      </c>
      <c r="U70" s="319" t="s">
        <v>40</v>
      </c>
      <c r="V70" s="354" t="s">
        <v>480</v>
      </c>
      <c r="W70" s="320">
        <v>0</v>
      </c>
      <c r="X70" s="322">
        <v>46247</v>
      </c>
      <c r="Y70" s="322">
        <v>46249</v>
      </c>
      <c r="Z70" s="323" t="s">
        <v>40</v>
      </c>
      <c r="AA70" s="359" t="s">
        <v>480</v>
      </c>
      <c r="AB70" s="324">
        <v>0</v>
      </c>
      <c r="AC70" s="326">
        <v>46250</v>
      </c>
      <c r="AD70" s="326">
        <v>46257</v>
      </c>
      <c r="AE70" s="327" t="s">
        <v>40</v>
      </c>
      <c r="AF70" s="365" t="s">
        <v>480</v>
      </c>
      <c r="AG70" s="328">
        <v>0</v>
      </c>
      <c r="AH70" s="330">
        <v>46266</v>
      </c>
      <c r="AI70" s="330">
        <v>46269</v>
      </c>
      <c r="AJ70" s="331" t="s">
        <v>165</v>
      </c>
      <c r="AK70" s="373" t="s">
        <v>480</v>
      </c>
      <c r="AL70" s="332">
        <v>0</v>
      </c>
      <c r="AM70" s="169">
        <v>46332</v>
      </c>
      <c r="AN70" s="169">
        <v>46338</v>
      </c>
      <c r="AO70" s="168" t="s">
        <v>40</v>
      </c>
      <c r="AP70" s="170">
        <v>0</v>
      </c>
      <c r="AQ70"/>
    </row>
    <row r="71" spans="1:43">
      <c r="A71" s="292" t="s">
        <v>670</v>
      </c>
      <c r="B71" s="299" t="s">
        <v>745</v>
      </c>
      <c r="C71" s="299">
        <v>1</v>
      </c>
      <c r="D71" s="149">
        <v>46195</v>
      </c>
      <c r="E71" s="149">
        <v>46200</v>
      </c>
      <c r="F71" s="308" t="s">
        <v>40</v>
      </c>
      <c r="G71" s="308" t="s">
        <v>479</v>
      </c>
      <c r="H71" s="372">
        <v>0</v>
      </c>
      <c r="I71" s="169">
        <v>46201</v>
      </c>
      <c r="J71" s="311">
        <v>46209</v>
      </c>
      <c r="K71" s="310" t="s">
        <v>40</v>
      </c>
      <c r="L71" s="344" t="s">
        <v>480</v>
      </c>
      <c r="M71" s="312">
        <v>0</v>
      </c>
      <c r="N71" s="314">
        <v>46219</v>
      </c>
      <c r="O71" s="314">
        <v>46231</v>
      </c>
      <c r="P71" s="315" t="s">
        <v>40</v>
      </c>
      <c r="Q71" s="349" t="s">
        <v>480</v>
      </c>
      <c r="R71" s="316">
        <v>0</v>
      </c>
      <c r="S71" s="318">
        <v>46232</v>
      </c>
      <c r="T71" s="318">
        <v>46238</v>
      </c>
      <c r="U71" s="319" t="s">
        <v>40</v>
      </c>
      <c r="V71" s="354" t="s">
        <v>480</v>
      </c>
      <c r="W71" s="320">
        <v>0</v>
      </c>
      <c r="X71" s="322">
        <v>46247</v>
      </c>
      <c r="Y71" s="322">
        <v>46249</v>
      </c>
      <c r="Z71" s="323" t="s">
        <v>40</v>
      </c>
      <c r="AA71" s="359" t="s">
        <v>480</v>
      </c>
      <c r="AB71" s="324">
        <v>0</v>
      </c>
      <c r="AC71" s="326">
        <v>46250</v>
      </c>
      <c r="AD71" s="326">
        <v>46257</v>
      </c>
      <c r="AE71" s="327" t="s">
        <v>40</v>
      </c>
      <c r="AF71" s="365" t="s">
        <v>480</v>
      </c>
      <c r="AG71" s="328">
        <v>0</v>
      </c>
      <c r="AH71" s="330">
        <v>46266</v>
      </c>
      <c r="AI71" s="330">
        <v>46269</v>
      </c>
      <c r="AJ71" s="331" t="s">
        <v>165</v>
      </c>
      <c r="AK71" s="373" t="s">
        <v>480</v>
      </c>
      <c r="AL71" s="332">
        <v>0</v>
      </c>
      <c r="AM71" s="169">
        <v>46332</v>
      </c>
      <c r="AN71" s="169">
        <v>46338</v>
      </c>
      <c r="AO71" s="168" t="s">
        <v>40</v>
      </c>
      <c r="AP71" s="170">
        <v>0</v>
      </c>
      <c r="AQ71"/>
    </row>
    <row r="72" spans="1:43">
      <c r="A72" s="292" t="s">
        <v>670</v>
      </c>
      <c r="B72" s="299" t="s">
        <v>746</v>
      </c>
      <c r="C72" s="299">
        <v>1</v>
      </c>
      <c r="D72" s="149">
        <v>46195</v>
      </c>
      <c r="E72" s="149">
        <v>46200</v>
      </c>
      <c r="F72" s="341" t="s">
        <v>34</v>
      </c>
      <c r="G72" s="340" t="s">
        <v>478</v>
      </c>
      <c r="H72" s="372">
        <v>1</v>
      </c>
      <c r="I72" s="169">
        <v>46201</v>
      </c>
      <c r="J72" s="342">
        <v>46209</v>
      </c>
      <c r="K72" s="344" t="s">
        <v>681</v>
      </c>
      <c r="L72" s="344" t="s">
        <v>681</v>
      </c>
      <c r="M72" s="346">
        <v>0.9</v>
      </c>
      <c r="N72" s="347">
        <v>46219</v>
      </c>
      <c r="O72" s="347">
        <v>46231</v>
      </c>
      <c r="P72" s="374" t="s">
        <v>682</v>
      </c>
      <c r="Q72" s="374" t="s">
        <v>683</v>
      </c>
      <c r="R72" s="350">
        <v>0.5</v>
      </c>
      <c r="S72" s="352">
        <v>46232</v>
      </c>
      <c r="T72" s="352">
        <v>46238</v>
      </c>
      <c r="U72" s="354" t="s">
        <v>40</v>
      </c>
      <c r="V72" s="354" t="s">
        <v>480</v>
      </c>
      <c r="W72" s="355">
        <v>0.9</v>
      </c>
      <c r="X72" s="357">
        <v>46247</v>
      </c>
      <c r="Y72" s="357">
        <v>46249</v>
      </c>
      <c r="Z72" s="359" t="s">
        <v>40</v>
      </c>
      <c r="AA72" s="359" t="s">
        <v>480</v>
      </c>
      <c r="AB72" s="360">
        <v>0</v>
      </c>
      <c r="AC72" s="362">
        <v>46250</v>
      </c>
      <c r="AD72" s="326">
        <v>46257</v>
      </c>
      <c r="AE72" s="327" t="s">
        <v>40</v>
      </c>
      <c r="AF72" s="365" t="s">
        <v>40</v>
      </c>
      <c r="AG72" s="366">
        <v>0</v>
      </c>
      <c r="AH72" s="368">
        <v>46266</v>
      </c>
      <c r="AI72" s="368">
        <v>46269</v>
      </c>
      <c r="AJ72" s="369" t="s">
        <v>165</v>
      </c>
      <c r="AK72" s="373" t="s">
        <v>40</v>
      </c>
      <c r="AL72" s="370">
        <v>0</v>
      </c>
      <c r="AM72" s="169">
        <v>46332</v>
      </c>
      <c r="AN72" s="169">
        <v>46338</v>
      </c>
      <c r="AO72" s="168" t="s">
        <v>40</v>
      </c>
      <c r="AP72" s="170">
        <v>0</v>
      </c>
      <c r="AQ72"/>
    </row>
    <row r="73" spans="1:43">
      <c r="A73" s="292" t="s">
        <v>670</v>
      </c>
      <c r="B73" s="299" t="s">
        <v>747</v>
      </c>
      <c r="C73" s="299">
        <v>1</v>
      </c>
      <c r="D73" s="149">
        <v>46195</v>
      </c>
      <c r="E73" s="149">
        <v>46200</v>
      </c>
      <c r="F73" s="341" t="s">
        <v>40</v>
      </c>
      <c r="G73" s="308" t="s">
        <v>479</v>
      </c>
      <c r="H73" s="372">
        <v>0</v>
      </c>
      <c r="I73" s="169">
        <v>46201</v>
      </c>
      <c r="J73" s="342">
        <v>46209</v>
      </c>
      <c r="K73" s="344" t="s">
        <v>40</v>
      </c>
      <c r="L73" s="344" t="s">
        <v>480</v>
      </c>
      <c r="M73" s="346">
        <v>0</v>
      </c>
      <c r="N73" s="347">
        <v>46219</v>
      </c>
      <c r="O73" s="347">
        <v>46231</v>
      </c>
      <c r="P73" s="349" t="s">
        <v>40</v>
      </c>
      <c r="Q73" s="349" t="s">
        <v>480</v>
      </c>
      <c r="R73" s="350">
        <v>0</v>
      </c>
      <c r="S73" s="352">
        <v>46232</v>
      </c>
      <c r="T73" s="352">
        <v>46238</v>
      </c>
      <c r="U73" s="354" t="s">
        <v>40</v>
      </c>
      <c r="V73" s="354" t="s">
        <v>480</v>
      </c>
      <c r="W73" s="355">
        <v>0</v>
      </c>
      <c r="X73" s="357">
        <v>46247</v>
      </c>
      <c r="Y73" s="357">
        <v>46249</v>
      </c>
      <c r="Z73" s="359" t="s">
        <v>40</v>
      </c>
      <c r="AA73" s="359" t="s">
        <v>480</v>
      </c>
      <c r="AB73" s="360">
        <v>0</v>
      </c>
      <c r="AC73" s="362">
        <v>46250</v>
      </c>
      <c r="AD73" s="326">
        <v>46257</v>
      </c>
      <c r="AE73" s="327" t="s">
        <v>40</v>
      </c>
      <c r="AF73" s="365" t="s">
        <v>480</v>
      </c>
      <c r="AG73" s="366">
        <v>0</v>
      </c>
      <c r="AH73" s="368">
        <v>46266</v>
      </c>
      <c r="AI73" s="368">
        <v>46269</v>
      </c>
      <c r="AJ73" s="369" t="s">
        <v>165</v>
      </c>
      <c r="AK73" s="373" t="s">
        <v>480</v>
      </c>
      <c r="AL73" s="370">
        <v>0</v>
      </c>
      <c r="AM73" s="169">
        <v>46332</v>
      </c>
      <c r="AN73" s="169">
        <v>46338</v>
      </c>
      <c r="AO73" s="168" t="s">
        <v>40</v>
      </c>
      <c r="AP73" s="170">
        <v>0</v>
      </c>
      <c r="AQ73"/>
    </row>
    <row r="74" spans="1:43">
      <c r="A74" s="292" t="s">
        <v>670</v>
      </c>
      <c r="B74" s="299" t="s">
        <v>748</v>
      </c>
      <c r="C74" s="299">
        <v>1</v>
      </c>
      <c r="D74" s="149">
        <v>46195</v>
      </c>
      <c r="E74" s="149">
        <v>46200</v>
      </c>
      <c r="F74" s="341" t="s">
        <v>40</v>
      </c>
      <c r="G74" s="308" t="s">
        <v>479</v>
      </c>
      <c r="H74" s="372">
        <v>0</v>
      </c>
      <c r="I74" s="169">
        <v>46201</v>
      </c>
      <c r="J74" s="342">
        <v>46209</v>
      </c>
      <c r="K74" s="344" t="s">
        <v>40</v>
      </c>
      <c r="L74" s="344" t="s">
        <v>480</v>
      </c>
      <c r="M74" s="346">
        <v>0</v>
      </c>
      <c r="N74" s="347">
        <v>46219</v>
      </c>
      <c r="O74" s="347">
        <v>46231</v>
      </c>
      <c r="P74" s="349" t="s">
        <v>40</v>
      </c>
      <c r="Q74" s="349" t="s">
        <v>480</v>
      </c>
      <c r="R74" s="350">
        <v>0</v>
      </c>
      <c r="S74" s="352">
        <v>46232</v>
      </c>
      <c r="T74" s="352">
        <v>46238</v>
      </c>
      <c r="U74" s="354" t="s">
        <v>40</v>
      </c>
      <c r="V74" s="354" t="s">
        <v>480</v>
      </c>
      <c r="W74" s="355">
        <v>0</v>
      </c>
      <c r="X74" s="357">
        <v>46247</v>
      </c>
      <c r="Y74" s="357">
        <v>46249</v>
      </c>
      <c r="Z74" s="359" t="s">
        <v>40</v>
      </c>
      <c r="AA74" s="359" t="s">
        <v>480</v>
      </c>
      <c r="AB74" s="360">
        <v>0</v>
      </c>
      <c r="AC74" s="362">
        <v>46250</v>
      </c>
      <c r="AD74" s="326">
        <v>46257</v>
      </c>
      <c r="AE74" s="327" t="s">
        <v>40</v>
      </c>
      <c r="AF74" s="365" t="s">
        <v>480</v>
      </c>
      <c r="AG74" s="366">
        <v>0</v>
      </c>
      <c r="AH74" s="368">
        <v>46266</v>
      </c>
      <c r="AI74" s="368">
        <v>46269</v>
      </c>
      <c r="AJ74" s="369" t="s">
        <v>165</v>
      </c>
      <c r="AK74" s="373" t="s">
        <v>480</v>
      </c>
      <c r="AL74" s="370">
        <v>0</v>
      </c>
      <c r="AM74" s="169">
        <v>46332</v>
      </c>
      <c r="AN74" s="169">
        <v>46338</v>
      </c>
      <c r="AO74" s="168" t="s">
        <v>40</v>
      </c>
      <c r="AP74" s="170">
        <v>0</v>
      </c>
      <c r="AQ74"/>
    </row>
    <row r="75" spans="1:43">
      <c r="A75" s="292" t="s">
        <v>670</v>
      </c>
      <c r="B75" s="299" t="s">
        <v>749</v>
      </c>
      <c r="C75" s="299">
        <v>1</v>
      </c>
      <c r="D75" s="149">
        <v>46195</v>
      </c>
      <c r="E75" s="149">
        <v>46200</v>
      </c>
      <c r="F75" s="341" t="s">
        <v>40</v>
      </c>
      <c r="G75" s="308" t="s">
        <v>479</v>
      </c>
      <c r="H75" s="372">
        <v>0</v>
      </c>
      <c r="I75" s="169">
        <v>46201</v>
      </c>
      <c r="J75" s="342">
        <v>46209</v>
      </c>
      <c r="K75" s="344" t="s">
        <v>40</v>
      </c>
      <c r="L75" s="344" t="s">
        <v>480</v>
      </c>
      <c r="M75" s="346">
        <v>0</v>
      </c>
      <c r="N75" s="347">
        <v>46219</v>
      </c>
      <c r="O75" s="347">
        <v>46231</v>
      </c>
      <c r="P75" s="349" t="s">
        <v>40</v>
      </c>
      <c r="Q75" s="349" t="s">
        <v>480</v>
      </c>
      <c r="R75" s="350">
        <v>0</v>
      </c>
      <c r="S75" s="352">
        <v>46232</v>
      </c>
      <c r="T75" s="352">
        <v>46238</v>
      </c>
      <c r="U75" s="354" t="s">
        <v>40</v>
      </c>
      <c r="V75" s="354" t="s">
        <v>480</v>
      </c>
      <c r="W75" s="355">
        <v>0</v>
      </c>
      <c r="X75" s="357">
        <v>46247</v>
      </c>
      <c r="Y75" s="357">
        <v>46249</v>
      </c>
      <c r="Z75" s="359" t="s">
        <v>40</v>
      </c>
      <c r="AA75" s="359" t="s">
        <v>480</v>
      </c>
      <c r="AB75" s="360">
        <v>0</v>
      </c>
      <c r="AC75" s="362">
        <v>46250</v>
      </c>
      <c r="AD75" s="326">
        <v>46257</v>
      </c>
      <c r="AE75" s="327" t="s">
        <v>40</v>
      </c>
      <c r="AF75" s="365" t="s">
        <v>480</v>
      </c>
      <c r="AG75" s="366">
        <v>0</v>
      </c>
      <c r="AH75" s="368">
        <v>46266</v>
      </c>
      <c r="AI75" s="368">
        <v>46269</v>
      </c>
      <c r="AJ75" s="369" t="s">
        <v>165</v>
      </c>
      <c r="AK75" s="373" t="s">
        <v>480</v>
      </c>
      <c r="AL75" s="370">
        <v>0</v>
      </c>
      <c r="AM75" s="169">
        <v>46332</v>
      </c>
      <c r="AN75" s="169">
        <v>46338</v>
      </c>
      <c r="AO75" s="168" t="s">
        <v>40</v>
      </c>
      <c r="AP75" s="170">
        <v>0</v>
      </c>
      <c r="AQ75"/>
    </row>
    <row r="76" spans="1:43">
      <c r="A76" s="292" t="s">
        <v>670</v>
      </c>
      <c r="B76" s="299" t="s">
        <v>750</v>
      </c>
      <c r="C76" s="299">
        <v>1</v>
      </c>
      <c r="D76" s="149">
        <v>46195</v>
      </c>
      <c r="E76" s="149">
        <v>46200</v>
      </c>
      <c r="F76" s="308" t="s">
        <v>40</v>
      </c>
      <c r="G76" s="308" t="s">
        <v>479</v>
      </c>
      <c r="H76" s="372">
        <v>0</v>
      </c>
      <c r="I76" s="169">
        <v>46201</v>
      </c>
      <c r="J76" s="311">
        <v>46209</v>
      </c>
      <c r="K76" s="310" t="s">
        <v>40</v>
      </c>
      <c r="L76" s="344" t="s">
        <v>480</v>
      </c>
      <c r="M76" s="312">
        <v>0</v>
      </c>
      <c r="N76" s="314">
        <v>46219</v>
      </c>
      <c r="O76" s="314">
        <v>46231</v>
      </c>
      <c r="P76" s="315" t="s">
        <v>40</v>
      </c>
      <c r="Q76" s="349" t="s">
        <v>480</v>
      </c>
      <c r="R76" s="316">
        <v>0</v>
      </c>
      <c r="S76" s="318">
        <v>46232</v>
      </c>
      <c r="T76" s="318">
        <v>46238</v>
      </c>
      <c r="U76" s="319" t="s">
        <v>40</v>
      </c>
      <c r="V76" s="354" t="s">
        <v>480</v>
      </c>
      <c r="W76" s="320">
        <v>0</v>
      </c>
      <c r="X76" s="322">
        <v>46247</v>
      </c>
      <c r="Y76" s="322">
        <v>46249</v>
      </c>
      <c r="Z76" s="323" t="s">
        <v>40</v>
      </c>
      <c r="AA76" s="359" t="s">
        <v>480</v>
      </c>
      <c r="AB76" s="324">
        <v>0</v>
      </c>
      <c r="AC76" s="326">
        <v>46250</v>
      </c>
      <c r="AD76" s="326">
        <v>46257</v>
      </c>
      <c r="AE76" s="327" t="s">
        <v>40</v>
      </c>
      <c r="AF76" s="365" t="s">
        <v>480</v>
      </c>
      <c r="AG76" s="328">
        <v>0</v>
      </c>
      <c r="AH76" s="330">
        <v>46266</v>
      </c>
      <c r="AI76" s="330">
        <v>46269</v>
      </c>
      <c r="AJ76" s="331" t="s">
        <v>165</v>
      </c>
      <c r="AK76" s="373" t="s">
        <v>480</v>
      </c>
      <c r="AL76" s="332">
        <v>0</v>
      </c>
      <c r="AM76" s="169">
        <v>46332</v>
      </c>
      <c r="AN76" s="169">
        <v>46338</v>
      </c>
      <c r="AO76" s="168" t="s">
        <v>40</v>
      </c>
      <c r="AP76" s="170">
        <v>0</v>
      </c>
      <c r="AQ76"/>
    </row>
    <row r="77" spans="1:43">
      <c r="A77" s="292" t="s">
        <v>670</v>
      </c>
      <c r="B77" s="299" t="s">
        <v>751</v>
      </c>
      <c r="C77" s="299">
        <v>1</v>
      </c>
      <c r="D77" s="149">
        <v>46195</v>
      </c>
      <c r="E77" s="149">
        <v>46200</v>
      </c>
      <c r="F77" s="308" t="s">
        <v>40</v>
      </c>
      <c r="G77" s="308" t="s">
        <v>479</v>
      </c>
      <c r="H77" s="372">
        <v>0</v>
      </c>
      <c r="I77" s="169">
        <v>46201</v>
      </c>
      <c r="J77" s="311">
        <v>46209</v>
      </c>
      <c r="K77" s="310" t="s">
        <v>40</v>
      </c>
      <c r="L77" s="344" t="s">
        <v>480</v>
      </c>
      <c r="M77" s="312">
        <v>0</v>
      </c>
      <c r="N77" s="314">
        <v>46219</v>
      </c>
      <c r="O77" s="314">
        <v>46231</v>
      </c>
      <c r="P77" s="315" t="s">
        <v>40</v>
      </c>
      <c r="Q77" s="349" t="s">
        <v>480</v>
      </c>
      <c r="R77" s="316">
        <v>0</v>
      </c>
      <c r="S77" s="318">
        <v>46232</v>
      </c>
      <c r="T77" s="318">
        <v>46238</v>
      </c>
      <c r="U77" s="319" t="s">
        <v>40</v>
      </c>
      <c r="V77" s="354" t="s">
        <v>480</v>
      </c>
      <c r="W77" s="320">
        <v>0</v>
      </c>
      <c r="X77" s="322">
        <v>46247</v>
      </c>
      <c r="Y77" s="322">
        <v>46249</v>
      </c>
      <c r="Z77" s="323" t="s">
        <v>40</v>
      </c>
      <c r="AA77" s="359" t="s">
        <v>480</v>
      </c>
      <c r="AB77" s="324">
        <v>0</v>
      </c>
      <c r="AC77" s="326">
        <v>46250</v>
      </c>
      <c r="AD77" s="326">
        <v>46257</v>
      </c>
      <c r="AE77" s="327" t="s">
        <v>40</v>
      </c>
      <c r="AF77" s="365" t="s">
        <v>480</v>
      </c>
      <c r="AG77" s="328">
        <v>0</v>
      </c>
      <c r="AH77" s="330">
        <v>46266</v>
      </c>
      <c r="AI77" s="330">
        <v>46269</v>
      </c>
      <c r="AJ77" s="331" t="s">
        <v>165</v>
      </c>
      <c r="AK77" s="373" t="s">
        <v>480</v>
      </c>
      <c r="AL77" s="332">
        <v>0</v>
      </c>
      <c r="AM77" s="169">
        <v>46332</v>
      </c>
      <c r="AN77" s="169">
        <v>46338</v>
      </c>
      <c r="AO77" s="168" t="s">
        <v>40</v>
      </c>
      <c r="AP77" s="170">
        <v>0</v>
      </c>
      <c r="AQ77"/>
    </row>
    <row r="78" spans="1:43">
      <c r="A78" s="292" t="s">
        <v>670</v>
      </c>
      <c r="B78" s="299" t="s">
        <v>752</v>
      </c>
      <c r="C78" s="299">
        <v>1</v>
      </c>
      <c r="D78" s="149">
        <v>46195</v>
      </c>
      <c r="E78" s="149">
        <v>46200</v>
      </c>
      <c r="F78" s="308" t="s">
        <v>40</v>
      </c>
      <c r="G78" s="308" t="s">
        <v>479</v>
      </c>
      <c r="H78" s="372">
        <v>0</v>
      </c>
      <c r="I78" s="169">
        <v>46201</v>
      </c>
      <c r="J78" s="311">
        <v>46209</v>
      </c>
      <c r="K78" s="310" t="s">
        <v>40</v>
      </c>
      <c r="L78" s="344" t="s">
        <v>480</v>
      </c>
      <c r="M78" s="312">
        <v>0</v>
      </c>
      <c r="N78" s="314">
        <v>46219</v>
      </c>
      <c r="O78" s="314">
        <v>46231</v>
      </c>
      <c r="P78" s="315" t="s">
        <v>40</v>
      </c>
      <c r="Q78" s="349" t="s">
        <v>480</v>
      </c>
      <c r="R78" s="316">
        <v>0</v>
      </c>
      <c r="S78" s="318">
        <v>46232</v>
      </c>
      <c r="T78" s="318">
        <v>46238</v>
      </c>
      <c r="U78" s="319" t="s">
        <v>40</v>
      </c>
      <c r="V78" s="354" t="s">
        <v>480</v>
      </c>
      <c r="W78" s="320">
        <v>0</v>
      </c>
      <c r="X78" s="322">
        <v>46247</v>
      </c>
      <c r="Y78" s="322">
        <v>46249</v>
      </c>
      <c r="Z78" s="323" t="s">
        <v>40</v>
      </c>
      <c r="AA78" s="359" t="s">
        <v>480</v>
      </c>
      <c r="AB78" s="324">
        <v>0</v>
      </c>
      <c r="AC78" s="326">
        <v>46250</v>
      </c>
      <c r="AD78" s="326">
        <v>46257</v>
      </c>
      <c r="AE78" s="327" t="s">
        <v>40</v>
      </c>
      <c r="AF78" s="365" t="s">
        <v>480</v>
      </c>
      <c r="AG78" s="328">
        <v>0</v>
      </c>
      <c r="AH78" s="330">
        <v>46266</v>
      </c>
      <c r="AI78" s="330">
        <v>46269</v>
      </c>
      <c r="AJ78" s="331" t="s">
        <v>165</v>
      </c>
      <c r="AK78" s="373" t="s">
        <v>480</v>
      </c>
      <c r="AL78" s="332">
        <v>0</v>
      </c>
      <c r="AM78" s="169">
        <v>46332</v>
      </c>
      <c r="AN78" s="169">
        <v>46338</v>
      </c>
      <c r="AO78" s="168" t="s">
        <v>40</v>
      </c>
      <c r="AP78" s="170">
        <v>0</v>
      </c>
      <c r="AQ78"/>
    </row>
    <row r="79" spans="1:43">
      <c r="A79" s="292" t="s">
        <v>670</v>
      </c>
      <c r="B79" s="299" t="s">
        <v>753</v>
      </c>
      <c r="C79" s="299">
        <v>1</v>
      </c>
      <c r="D79" s="149">
        <v>46195</v>
      </c>
      <c r="E79" s="149">
        <v>46200</v>
      </c>
      <c r="F79" s="341" t="s">
        <v>34</v>
      </c>
      <c r="G79" s="340" t="s">
        <v>478</v>
      </c>
      <c r="H79" s="372">
        <v>1</v>
      </c>
      <c r="I79" s="169">
        <v>46201</v>
      </c>
      <c r="J79" s="342">
        <v>46209</v>
      </c>
      <c r="K79" s="344" t="s">
        <v>681</v>
      </c>
      <c r="L79" s="344" t="s">
        <v>681</v>
      </c>
      <c r="M79" s="346">
        <v>0.9</v>
      </c>
      <c r="N79" s="347">
        <v>46219</v>
      </c>
      <c r="O79" s="347">
        <v>46231</v>
      </c>
      <c r="P79" s="374" t="s">
        <v>682</v>
      </c>
      <c r="Q79" s="374" t="s">
        <v>683</v>
      </c>
      <c r="R79" s="350">
        <v>0.5</v>
      </c>
      <c r="S79" s="352">
        <v>46232</v>
      </c>
      <c r="T79" s="352">
        <v>46238</v>
      </c>
      <c r="U79" s="354" t="s">
        <v>40</v>
      </c>
      <c r="V79" s="354" t="s">
        <v>480</v>
      </c>
      <c r="W79" s="355">
        <v>0.9</v>
      </c>
      <c r="X79" s="357">
        <v>46247</v>
      </c>
      <c r="Y79" s="357">
        <v>46249</v>
      </c>
      <c r="Z79" s="359" t="s">
        <v>40</v>
      </c>
      <c r="AA79" s="359" t="s">
        <v>480</v>
      </c>
      <c r="AB79" s="360">
        <v>0</v>
      </c>
      <c r="AC79" s="362">
        <v>46250</v>
      </c>
      <c r="AD79" s="326">
        <v>46257</v>
      </c>
      <c r="AE79" s="327" t="s">
        <v>40</v>
      </c>
      <c r="AF79" s="365" t="s">
        <v>40</v>
      </c>
      <c r="AG79" s="366">
        <v>0</v>
      </c>
      <c r="AH79" s="368">
        <v>46266</v>
      </c>
      <c r="AI79" s="368">
        <v>46269</v>
      </c>
      <c r="AJ79" s="369" t="s">
        <v>165</v>
      </c>
      <c r="AK79" s="373" t="s">
        <v>40</v>
      </c>
      <c r="AL79" s="370">
        <v>0</v>
      </c>
      <c r="AM79" s="169">
        <v>46332</v>
      </c>
      <c r="AN79" s="169">
        <v>46338</v>
      </c>
      <c r="AO79" s="168" t="s">
        <v>40</v>
      </c>
      <c r="AP79" s="170">
        <v>0</v>
      </c>
      <c r="AQ79"/>
    </row>
    <row r="80" spans="1:43">
      <c r="A80" s="292" t="s">
        <v>670</v>
      </c>
      <c r="B80" s="299" t="s">
        <v>754</v>
      </c>
      <c r="C80" s="299">
        <v>1</v>
      </c>
      <c r="D80" s="149">
        <v>46195</v>
      </c>
      <c r="E80" s="149">
        <v>46200</v>
      </c>
      <c r="F80" s="341" t="s">
        <v>40</v>
      </c>
      <c r="G80" s="340" t="s">
        <v>40</v>
      </c>
      <c r="H80" s="372">
        <v>0</v>
      </c>
      <c r="I80" s="169">
        <v>46201</v>
      </c>
      <c r="J80" s="342">
        <v>46209</v>
      </c>
      <c r="K80" s="344" t="s">
        <v>40</v>
      </c>
      <c r="L80" s="345" t="s">
        <v>480</v>
      </c>
      <c r="M80" s="346">
        <v>0</v>
      </c>
      <c r="N80" s="347">
        <v>46219</v>
      </c>
      <c r="O80" s="347">
        <v>46231</v>
      </c>
      <c r="P80" s="349" t="s">
        <v>40</v>
      </c>
      <c r="Q80" s="374" t="s">
        <v>480</v>
      </c>
      <c r="R80" s="350">
        <v>0</v>
      </c>
      <c r="S80" s="352">
        <v>46232</v>
      </c>
      <c r="T80" s="352">
        <v>46238</v>
      </c>
      <c r="U80" s="354" t="s">
        <v>40</v>
      </c>
      <c r="V80" s="376" t="s">
        <v>480</v>
      </c>
      <c r="W80" s="355">
        <v>0</v>
      </c>
      <c r="X80" s="357">
        <v>46247</v>
      </c>
      <c r="Y80" s="357">
        <v>46249</v>
      </c>
      <c r="Z80" s="359" t="s">
        <v>40</v>
      </c>
      <c r="AA80" s="377" t="s">
        <v>480</v>
      </c>
      <c r="AB80" s="360">
        <v>0</v>
      </c>
      <c r="AC80" s="362">
        <v>46250</v>
      </c>
      <c r="AD80" s="326">
        <v>46257</v>
      </c>
      <c r="AE80" s="327" t="s">
        <v>40</v>
      </c>
      <c r="AF80" s="378" t="s">
        <v>480</v>
      </c>
      <c r="AG80" s="366">
        <v>0</v>
      </c>
      <c r="AH80" s="368">
        <v>46266</v>
      </c>
      <c r="AI80" s="368">
        <v>46269</v>
      </c>
      <c r="AJ80" s="369" t="s">
        <v>165</v>
      </c>
      <c r="AK80" s="373" t="s">
        <v>480</v>
      </c>
      <c r="AL80" s="370">
        <v>0</v>
      </c>
      <c r="AM80" s="169">
        <v>46332</v>
      </c>
      <c r="AN80" s="169">
        <v>46338</v>
      </c>
      <c r="AO80" s="168" t="s">
        <v>40</v>
      </c>
      <c r="AP80" s="170">
        <v>0</v>
      </c>
      <c r="AQ80"/>
    </row>
    <row r="81" spans="1:43">
      <c r="A81" s="292" t="s">
        <v>670</v>
      </c>
      <c r="B81" s="299" t="s">
        <v>755</v>
      </c>
      <c r="C81" s="299">
        <v>1</v>
      </c>
      <c r="D81" s="149">
        <v>46195</v>
      </c>
      <c r="E81" s="149">
        <v>46200</v>
      </c>
      <c r="F81" s="341" t="s">
        <v>40</v>
      </c>
      <c r="G81" s="308" t="s">
        <v>479</v>
      </c>
      <c r="H81" s="372">
        <v>0</v>
      </c>
      <c r="I81" s="169">
        <v>46201</v>
      </c>
      <c r="J81" s="342">
        <v>46209</v>
      </c>
      <c r="K81" s="344" t="s">
        <v>40</v>
      </c>
      <c r="L81" s="344" t="s">
        <v>480</v>
      </c>
      <c r="M81" s="346">
        <v>0</v>
      </c>
      <c r="N81" s="347">
        <v>46219</v>
      </c>
      <c r="O81" s="347">
        <v>46231</v>
      </c>
      <c r="P81" s="349" t="s">
        <v>40</v>
      </c>
      <c r="Q81" s="349" t="s">
        <v>480</v>
      </c>
      <c r="R81" s="350">
        <v>0</v>
      </c>
      <c r="S81" s="352">
        <v>46232</v>
      </c>
      <c r="T81" s="352">
        <v>46238</v>
      </c>
      <c r="U81" s="354" t="s">
        <v>40</v>
      </c>
      <c r="V81" s="354" t="s">
        <v>480</v>
      </c>
      <c r="W81" s="355">
        <v>0</v>
      </c>
      <c r="X81" s="357">
        <v>46247</v>
      </c>
      <c r="Y81" s="357">
        <v>46249</v>
      </c>
      <c r="Z81" s="359" t="s">
        <v>40</v>
      </c>
      <c r="AA81" s="359" t="s">
        <v>480</v>
      </c>
      <c r="AB81" s="360">
        <v>0</v>
      </c>
      <c r="AC81" s="362">
        <v>46250</v>
      </c>
      <c r="AD81" s="326">
        <v>46257</v>
      </c>
      <c r="AE81" s="327" t="s">
        <v>40</v>
      </c>
      <c r="AF81" s="365" t="s">
        <v>480</v>
      </c>
      <c r="AG81" s="366">
        <v>0</v>
      </c>
      <c r="AH81" s="368">
        <v>46266</v>
      </c>
      <c r="AI81" s="368">
        <v>46269</v>
      </c>
      <c r="AJ81" s="369" t="s">
        <v>165</v>
      </c>
      <c r="AK81" s="373" t="s">
        <v>480</v>
      </c>
      <c r="AL81" s="370">
        <v>0</v>
      </c>
      <c r="AM81" s="169">
        <v>46332</v>
      </c>
      <c r="AN81" s="169">
        <v>46338</v>
      </c>
      <c r="AO81" s="168" t="s">
        <v>40</v>
      </c>
      <c r="AP81" s="170">
        <v>0</v>
      </c>
      <c r="AQ81"/>
    </row>
    <row r="82" spans="1:43">
      <c r="A82" s="292" t="s">
        <v>670</v>
      </c>
      <c r="B82" s="299" t="s">
        <v>756</v>
      </c>
      <c r="C82" s="299">
        <v>1</v>
      </c>
      <c r="D82" s="149">
        <v>46195</v>
      </c>
      <c r="E82" s="149">
        <v>46200</v>
      </c>
      <c r="F82" s="341" t="s">
        <v>40</v>
      </c>
      <c r="G82" s="308" t="s">
        <v>479</v>
      </c>
      <c r="H82" s="372">
        <v>0</v>
      </c>
      <c r="I82" s="169">
        <v>46201</v>
      </c>
      <c r="J82" s="342">
        <v>46209</v>
      </c>
      <c r="K82" s="344" t="s">
        <v>40</v>
      </c>
      <c r="L82" s="344" t="s">
        <v>480</v>
      </c>
      <c r="M82" s="346">
        <v>0</v>
      </c>
      <c r="N82" s="347">
        <v>46219</v>
      </c>
      <c r="O82" s="347">
        <v>46231</v>
      </c>
      <c r="P82" s="349" t="s">
        <v>40</v>
      </c>
      <c r="Q82" s="349" t="s">
        <v>480</v>
      </c>
      <c r="R82" s="350">
        <v>0</v>
      </c>
      <c r="S82" s="352">
        <v>46232</v>
      </c>
      <c r="T82" s="352">
        <v>46238</v>
      </c>
      <c r="U82" s="354" t="s">
        <v>40</v>
      </c>
      <c r="V82" s="354" t="s">
        <v>480</v>
      </c>
      <c r="W82" s="355">
        <v>0</v>
      </c>
      <c r="X82" s="357">
        <v>46247</v>
      </c>
      <c r="Y82" s="357">
        <v>46249</v>
      </c>
      <c r="Z82" s="359" t="s">
        <v>40</v>
      </c>
      <c r="AA82" s="359" t="s">
        <v>480</v>
      </c>
      <c r="AB82" s="360">
        <v>0</v>
      </c>
      <c r="AC82" s="362">
        <v>46250</v>
      </c>
      <c r="AD82" s="326">
        <v>46257</v>
      </c>
      <c r="AE82" s="327" t="s">
        <v>40</v>
      </c>
      <c r="AF82" s="365" t="s">
        <v>480</v>
      </c>
      <c r="AG82" s="366">
        <v>0</v>
      </c>
      <c r="AH82" s="368">
        <v>46266</v>
      </c>
      <c r="AI82" s="368">
        <v>46269</v>
      </c>
      <c r="AJ82" s="369" t="s">
        <v>165</v>
      </c>
      <c r="AK82" s="373" t="s">
        <v>480</v>
      </c>
      <c r="AL82" s="370">
        <v>0</v>
      </c>
      <c r="AM82" s="169">
        <v>46332</v>
      </c>
      <c r="AN82" s="169">
        <v>46338</v>
      </c>
      <c r="AO82" s="168" t="s">
        <v>40</v>
      </c>
      <c r="AP82" s="170">
        <v>0</v>
      </c>
      <c r="AQ82"/>
    </row>
    <row r="83" spans="1:43">
      <c r="A83" s="292" t="s">
        <v>670</v>
      </c>
      <c r="B83" s="299" t="s">
        <v>757</v>
      </c>
      <c r="C83" s="299">
        <v>1</v>
      </c>
      <c r="D83" s="149">
        <v>46195</v>
      </c>
      <c r="E83" s="149">
        <v>46200</v>
      </c>
      <c r="F83" s="308" t="s">
        <v>40</v>
      </c>
      <c r="G83" s="308" t="s">
        <v>479</v>
      </c>
      <c r="H83" s="372">
        <v>0</v>
      </c>
      <c r="I83" s="169">
        <v>46201</v>
      </c>
      <c r="J83" s="311">
        <v>46209</v>
      </c>
      <c r="K83" s="310" t="s">
        <v>40</v>
      </c>
      <c r="L83" s="344" t="s">
        <v>480</v>
      </c>
      <c r="M83" s="312">
        <v>0</v>
      </c>
      <c r="N83" s="314">
        <v>46219</v>
      </c>
      <c r="O83" s="314">
        <v>46231</v>
      </c>
      <c r="P83" s="315" t="s">
        <v>40</v>
      </c>
      <c r="Q83" s="349" t="s">
        <v>480</v>
      </c>
      <c r="R83" s="316">
        <v>0</v>
      </c>
      <c r="S83" s="318">
        <v>46232</v>
      </c>
      <c r="T83" s="318">
        <v>46238</v>
      </c>
      <c r="U83" s="319" t="s">
        <v>40</v>
      </c>
      <c r="V83" s="354" t="s">
        <v>480</v>
      </c>
      <c r="W83" s="320">
        <v>0</v>
      </c>
      <c r="X83" s="322">
        <v>46247</v>
      </c>
      <c r="Y83" s="322">
        <v>46249</v>
      </c>
      <c r="Z83" s="323" t="s">
        <v>40</v>
      </c>
      <c r="AA83" s="359" t="s">
        <v>480</v>
      </c>
      <c r="AB83" s="324">
        <v>0</v>
      </c>
      <c r="AC83" s="326">
        <v>46250</v>
      </c>
      <c r="AD83" s="326">
        <v>46257</v>
      </c>
      <c r="AE83" s="327" t="s">
        <v>40</v>
      </c>
      <c r="AF83" s="365" t="s">
        <v>480</v>
      </c>
      <c r="AG83" s="328">
        <v>0</v>
      </c>
      <c r="AH83" s="330">
        <v>46266</v>
      </c>
      <c r="AI83" s="330">
        <v>46269</v>
      </c>
      <c r="AJ83" s="331" t="s">
        <v>165</v>
      </c>
      <c r="AK83" s="373" t="s">
        <v>480</v>
      </c>
      <c r="AL83" s="332">
        <v>0</v>
      </c>
      <c r="AM83" s="169">
        <v>46332</v>
      </c>
      <c r="AN83" s="169">
        <v>46338</v>
      </c>
      <c r="AO83" s="168" t="s">
        <v>40</v>
      </c>
      <c r="AP83" s="170">
        <v>0</v>
      </c>
      <c r="AQ83"/>
    </row>
    <row r="84" spans="1:43">
      <c r="A84" s="292" t="s">
        <v>670</v>
      </c>
      <c r="B84" s="299" t="s">
        <v>758</v>
      </c>
      <c r="C84" s="299">
        <v>1</v>
      </c>
      <c r="D84" s="149">
        <v>46195</v>
      </c>
      <c r="E84" s="149">
        <v>46200</v>
      </c>
      <c r="F84" s="308" t="s">
        <v>40</v>
      </c>
      <c r="G84" s="308" t="s">
        <v>479</v>
      </c>
      <c r="H84" s="372">
        <v>0</v>
      </c>
      <c r="I84" s="169">
        <v>46201</v>
      </c>
      <c r="J84" s="311">
        <v>46209</v>
      </c>
      <c r="K84" s="310" t="s">
        <v>40</v>
      </c>
      <c r="L84" s="344" t="s">
        <v>480</v>
      </c>
      <c r="M84" s="312">
        <v>0</v>
      </c>
      <c r="N84" s="314">
        <v>46219</v>
      </c>
      <c r="O84" s="314">
        <v>46231</v>
      </c>
      <c r="P84" s="315" t="s">
        <v>40</v>
      </c>
      <c r="Q84" s="349" t="s">
        <v>480</v>
      </c>
      <c r="R84" s="316">
        <v>0</v>
      </c>
      <c r="S84" s="318">
        <v>46232</v>
      </c>
      <c r="T84" s="318">
        <v>46238</v>
      </c>
      <c r="U84" s="319" t="s">
        <v>40</v>
      </c>
      <c r="V84" s="354" t="s">
        <v>480</v>
      </c>
      <c r="W84" s="320">
        <v>0</v>
      </c>
      <c r="X84" s="322">
        <v>46247</v>
      </c>
      <c r="Y84" s="322">
        <v>46249</v>
      </c>
      <c r="Z84" s="323" t="s">
        <v>40</v>
      </c>
      <c r="AA84" s="359" t="s">
        <v>480</v>
      </c>
      <c r="AB84" s="324">
        <v>0</v>
      </c>
      <c r="AC84" s="326">
        <v>46250</v>
      </c>
      <c r="AD84" s="326">
        <v>46257</v>
      </c>
      <c r="AE84" s="327" t="s">
        <v>40</v>
      </c>
      <c r="AF84" s="365" t="s">
        <v>480</v>
      </c>
      <c r="AG84" s="328">
        <v>0</v>
      </c>
      <c r="AH84" s="330">
        <v>46266</v>
      </c>
      <c r="AI84" s="330">
        <v>46269</v>
      </c>
      <c r="AJ84" s="331" t="s">
        <v>165</v>
      </c>
      <c r="AK84" s="373" t="s">
        <v>480</v>
      </c>
      <c r="AL84" s="332">
        <v>0</v>
      </c>
      <c r="AM84" s="169">
        <v>46332</v>
      </c>
      <c r="AN84" s="169">
        <v>46338</v>
      </c>
      <c r="AO84" s="168" t="s">
        <v>40</v>
      </c>
      <c r="AP84" s="170">
        <v>0</v>
      </c>
      <c r="AQ84"/>
    </row>
    <row r="85" spans="1:43">
      <c r="A85" s="292" t="s">
        <v>670</v>
      </c>
      <c r="B85" s="299" t="s">
        <v>759</v>
      </c>
      <c r="C85" s="299">
        <v>1</v>
      </c>
      <c r="D85" s="149">
        <v>46195</v>
      </c>
      <c r="E85" s="149">
        <v>46200</v>
      </c>
      <c r="F85" s="308" t="s">
        <v>40</v>
      </c>
      <c r="G85" s="308" t="s">
        <v>479</v>
      </c>
      <c r="H85" s="372">
        <v>0</v>
      </c>
      <c r="I85" s="169">
        <v>46201</v>
      </c>
      <c r="J85" s="311">
        <v>46209</v>
      </c>
      <c r="K85" s="310" t="s">
        <v>40</v>
      </c>
      <c r="L85" s="344" t="s">
        <v>480</v>
      </c>
      <c r="M85" s="312">
        <v>0</v>
      </c>
      <c r="N85" s="314">
        <v>46219</v>
      </c>
      <c r="O85" s="314">
        <v>46231</v>
      </c>
      <c r="P85" s="315" t="s">
        <v>40</v>
      </c>
      <c r="Q85" s="349" t="s">
        <v>480</v>
      </c>
      <c r="R85" s="316">
        <v>0</v>
      </c>
      <c r="S85" s="318">
        <v>46232</v>
      </c>
      <c r="T85" s="318">
        <v>46238</v>
      </c>
      <c r="U85" s="319" t="s">
        <v>40</v>
      </c>
      <c r="V85" s="354" t="s">
        <v>480</v>
      </c>
      <c r="W85" s="320">
        <v>0</v>
      </c>
      <c r="X85" s="322">
        <v>46247</v>
      </c>
      <c r="Y85" s="322">
        <v>46249</v>
      </c>
      <c r="Z85" s="323" t="s">
        <v>40</v>
      </c>
      <c r="AA85" s="359" t="s">
        <v>480</v>
      </c>
      <c r="AB85" s="324">
        <v>0</v>
      </c>
      <c r="AC85" s="326">
        <v>46250</v>
      </c>
      <c r="AD85" s="326">
        <v>46257</v>
      </c>
      <c r="AE85" s="327" t="s">
        <v>40</v>
      </c>
      <c r="AF85" s="365" t="s">
        <v>480</v>
      </c>
      <c r="AG85" s="328">
        <v>0</v>
      </c>
      <c r="AH85" s="330">
        <v>46266</v>
      </c>
      <c r="AI85" s="330">
        <v>46269</v>
      </c>
      <c r="AJ85" s="331" t="s">
        <v>165</v>
      </c>
      <c r="AK85" s="373" t="s">
        <v>480</v>
      </c>
      <c r="AL85" s="332">
        <v>0</v>
      </c>
      <c r="AM85" s="169">
        <v>46332</v>
      </c>
      <c r="AN85" s="169">
        <v>46338</v>
      </c>
      <c r="AO85" s="168" t="s">
        <v>40</v>
      </c>
      <c r="AP85" s="170">
        <v>0</v>
      </c>
      <c r="AQ85"/>
    </row>
    <row r="86" spans="1:43">
      <c r="A86" s="292" t="s">
        <v>670</v>
      </c>
      <c r="B86" s="299" t="s">
        <v>760</v>
      </c>
      <c r="C86" s="299">
        <v>1</v>
      </c>
      <c r="D86" s="149">
        <v>46195</v>
      </c>
      <c r="E86" s="149">
        <v>46200</v>
      </c>
      <c r="F86" s="341" t="s">
        <v>34</v>
      </c>
      <c r="G86" s="340" t="s">
        <v>478</v>
      </c>
      <c r="H86" s="372">
        <v>1</v>
      </c>
      <c r="I86" s="169">
        <v>46201</v>
      </c>
      <c r="J86" s="342">
        <v>46209</v>
      </c>
      <c r="K86" s="344" t="s">
        <v>681</v>
      </c>
      <c r="L86" s="344" t="s">
        <v>681</v>
      </c>
      <c r="M86" s="346">
        <v>0.9</v>
      </c>
      <c r="N86" s="347">
        <v>46219</v>
      </c>
      <c r="O86" s="347">
        <v>46231</v>
      </c>
      <c r="P86" s="374" t="s">
        <v>682</v>
      </c>
      <c r="Q86" s="374" t="s">
        <v>683</v>
      </c>
      <c r="R86" s="350">
        <v>0.5</v>
      </c>
      <c r="S86" s="352">
        <v>46232</v>
      </c>
      <c r="T86" s="352">
        <v>46238</v>
      </c>
      <c r="U86" s="354" t="s">
        <v>40</v>
      </c>
      <c r="V86" s="354" t="s">
        <v>480</v>
      </c>
      <c r="W86" s="355">
        <v>0.9</v>
      </c>
      <c r="X86" s="357">
        <v>46247</v>
      </c>
      <c r="Y86" s="357">
        <v>46249</v>
      </c>
      <c r="Z86" s="359" t="s">
        <v>40</v>
      </c>
      <c r="AA86" s="359" t="s">
        <v>480</v>
      </c>
      <c r="AB86" s="360">
        <v>0</v>
      </c>
      <c r="AC86" s="362">
        <v>46250</v>
      </c>
      <c r="AD86" s="326">
        <v>46257</v>
      </c>
      <c r="AE86" s="327" t="s">
        <v>40</v>
      </c>
      <c r="AF86" s="365" t="s">
        <v>40</v>
      </c>
      <c r="AG86" s="366">
        <v>0</v>
      </c>
      <c r="AH86" s="368">
        <v>46266</v>
      </c>
      <c r="AI86" s="368">
        <v>46269</v>
      </c>
      <c r="AJ86" s="369" t="s">
        <v>165</v>
      </c>
      <c r="AK86" s="373" t="s">
        <v>40</v>
      </c>
      <c r="AL86" s="370">
        <v>0</v>
      </c>
      <c r="AM86" s="169">
        <v>46332</v>
      </c>
      <c r="AN86" s="169">
        <v>46338</v>
      </c>
      <c r="AO86" s="168" t="s">
        <v>40</v>
      </c>
      <c r="AP86" s="170">
        <v>0</v>
      </c>
      <c r="AQ86"/>
    </row>
    <row r="87" spans="1:43">
      <c r="A87" s="292" t="s">
        <v>670</v>
      </c>
      <c r="B87" s="299" t="s">
        <v>761</v>
      </c>
      <c r="C87" s="299">
        <v>1</v>
      </c>
      <c r="D87" s="149">
        <v>46195</v>
      </c>
      <c r="E87" s="149">
        <v>46200</v>
      </c>
      <c r="F87" s="341" t="s">
        <v>40</v>
      </c>
      <c r="G87" s="308" t="s">
        <v>479</v>
      </c>
      <c r="H87" s="372">
        <v>0</v>
      </c>
      <c r="I87" s="169">
        <v>46201</v>
      </c>
      <c r="J87" s="342">
        <v>46209</v>
      </c>
      <c r="K87" s="344" t="s">
        <v>40</v>
      </c>
      <c r="L87" s="344" t="s">
        <v>480</v>
      </c>
      <c r="M87" s="346">
        <v>0</v>
      </c>
      <c r="N87" s="347">
        <v>46219</v>
      </c>
      <c r="O87" s="347">
        <v>46231</v>
      </c>
      <c r="P87" s="349" t="s">
        <v>40</v>
      </c>
      <c r="Q87" s="349" t="s">
        <v>480</v>
      </c>
      <c r="R87" s="350">
        <v>0</v>
      </c>
      <c r="S87" s="352">
        <v>46232</v>
      </c>
      <c r="T87" s="352">
        <v>46238</v>
      </c>
      <c r="U87" s="354" t="s">
        <v>40</v>
      </c>
      <c r="V87" s="354" t="s">
        <v>480</v>
      </c>
      <c r="W87" s="355">
        <v>0</v>
      </c>
      <c r="X87" s="357">
        <v>46247</v>
      </c>
      <c r="Y87" s="357">
        <v>46249</v>
      </c>
      <c r="Z87" s="359" t="s">
        <v>40</v>
      </c>
      <c r="AA87" s="359" t="s">
        <v>480</v>
      </c>
      <c r="AB87" s="360">
        <v>0</v>
      </c>
      <c r="AC87" s="362">
        <v>46250</v>
      </c>
      <c r="AD87" s="326">
        <v>46257</v>
      </c>
      <c r="AE87" s="327" t="s">
        <v>40</v>
      </c>
      <c r="AF87" s="365" t="s">
        <v>480</v>
      </c>
      <c r="AG87" s="366">
        <v>0</v>
      </c>
      <c r="AH87" s="368">
        <v>46266</v>
      </c>
      <c r="AI87" s="368">
        <v>46269</v>
      </c>
      <c r="AJ87" s="369" t="s">
        <v>165</v>
      </c>
      <c r="AK87" s="373" t="s">
        <v>480</v>
      </c>
      <c r="AL87" s="370">
        <v>0</v>
      </c>
      <c r="AM87" s="169">
        <v>46332</v>
      </c>
      <c r="AN87" s="169">
        <v>46338</v>
      </c>
      <c r="AO87" s="168" t="s">
        <v>40</v>
      </c>
      <c r="AP87" s="170">
        <v>0</v>
      </c>
      <c r="AQ87"/>
    </row>
    <row r="88" spans="1:43">
      <c r="A88" s="292" t="s">
        <v>670</v>
      </c>
      <c r="B88" s="299" t="s">
        <v>762</v>
      </c>
      <c r="C88" s="299">
        <v>1</v>
      </c>
      <c r="D88" s="149">
        <v>46195</v>
      </c>
      <c r="E88" s="149">
        <v>46200</v>
      </c>
      <c r="F88" s="341" t="s">
        <v>40</v>
      </c>
      <c r="G88" s="308" t="s">
        <v>479</v>
      </c>
      <c r="H88" s="372">
        <v>0</v>
      </c>
      <c r="I88" s="169">
        <v>46201</v>
      </c>
      <c r="J88" s="342">
        <v>46209</v>
      </c>
      <c r="K88" s="344" t="s">
        <v>40</v>
      </c>
      <c r="L88" s="344" t="s">
        <v>480</v>
      </c>
      <c r="M88" s="346">
        <v>0</v>
      </c>
      <c r="N88" s="347">
        <v>46219</v>
      </c>
      <c r="O88" s="347">
        <v>46231</v>
      </c>
      <c r="P88" s="349" t="s">
        <v>40</v>
      </c>
      <c r="Q88" s="349" t="s">
        <v>480</v>
      </c>
      <c r="R88" s="350">
        <v>0</v>
      </c>
      <c r="S88" s="352">
        <v>46232</v>
      </c>
      <c r="T88" s="352">
        <v>46238</v>
      </c>
      <c r="U88" s="354" t="s">
        <v>40</v>
      </c>
      <c r="V88" s="354" t="s">
        <v>480</v>
      </c>
      <c r="W88" s="355">
        <v>0</v>
      </c>
      <c r="X88" s="357">
        <v>46247</v>
      </c>
      <c r="Y88" s="357">
        <v>46249</v>
      </c>
      <c r="Z88" s="359" t="s">
        <v>40</v>
      </c>
      <c r="AA88" s="359" t="s">
        <v>480</v>
      </c>
      <c r="AB88" s="360">
        <v>0</v>
      </c>
      <c r="AC88" s="362">
        <v>46250</v>
      </c>
      <c r="AD88" s="326">
        <v>46257</v>
      </c>
      <c r="AE88" s="327" t="s">
        <v>40</v>
      </c>
      <c r="AF88" s="365" t="s">
        <v>480</v>
      </c>
      <c r="AG88" s="366">
        <v>0</v>
      </c>
      <c r="AH88" s="368">
        <v>46266</v>
      </c>
      <c r="AI88" s="368">
        <v>46269</v>
      </c>
      <c r="AJ88" s="369" t="s">
        <v>165</v>
      </c>
      <c r="AK88" s="373" t="s">
        <v>480</v>
      </c>
      <c r="AL88" s="370">
        <v>0</v>
      </c>
      <c r="AM88" s="169">
        <v>46332</v>
      </c>
      <c r="AN88" s="169">
        <v>46338</v>
      </c>
      <c r="AO88" s="168" t="s">
        <v>40</v>
      </c>
      <c r="AP88" s="170">
        <v>0</v>
      </c>
      <c r="AQ88"/>
    </row>
    <row r="89" spans="1:43">
      <c r="A89" s="292" t="s">
        <v>670</v>
      </c>
      <c r="B89" s="299" t="s">
        <v>763</v>
      </c>
      <c r="C89" s="299">
        <v>1</v>
      </c>
      <c r="D89" s="149">
        <v>46195</v>
      </c>
      <c r="E89" s="149">
        <v>46200</v>
      </c>
      <c r="F89" s="341" t="s">
        <v>40</v>
      </c>
      <c r="G89" s="308" t="s">
        <v>479</v>
      </c>
      <c r="H89" s="372">
        <v>0</v>
      </c>
      <c r="I89" s="169">
        <v>46201</v>
      </c>
      <c r="J89" s="342">
        <v>46209</v>
      </c>
      <c r="K89" s="344" t="s">
        <v>40</v>
      </c>
      <c r="L89" s="344" t="s">
        <v>480</v>
      </c>
      <c r="M89" s="346">
        <v>0</v>
      </c>
      <c r="N89" s="347">
        <v>46219</v>
      </c>
      <c r="O89" s="347">
        <v>46231</v>
      </c>
      <c r="P89" s="349" t="s">
        <v>40</v>
      </c>
      <c r="Q89" s="349" t="s">
        <v>480</v>
      </c>
      <c r="R89" s="350">
        <v>0</v>
      </c>
      <c r="S89" s="352">
        <v>46232</v>
      </c>
      <c r="T89" s="352">
        <v>46238</v>
      </c>
      <c r="U89" s="354" t="s">
        <v>40</v>
      </c>
      <c r="V89" s="354" t="s">
        <v>480</v>
      </c>
      <c r="W89" s="355">
        <v>0</v>
      </c>
      <c r="X89" s="357">
        <v>46247</v>
      </c>
      <c r="Y89" s="357">
        <v>46249</v>
      </c>
      <c r="Z89" s="359" t="s">
        <v>40</v>
      </c>
      <c r="AA89" s="359" t="s">
        <v>480</v>
      </c>
      <c r="AB89" s="360">
        <v>0</v>
      </c>
      <c r="AC89" s="362">
        <v>46250</v>
      </c>
      <c r="AD89" s="326">
        <v>46257</v>
      </c>
      <c r="AE89" s="327" t="s">
        <v>40</v>
      </c>
      <c r="AF89" s="365" t="s">
        <v>480</v>
      </c>
      <c r="AG89" s="366">
        <v>0</v>
      </c>
      <c r="AH89" s="368">
        <v>46266</v>
      </c>
      <c r="AI89" s="368">
        <v>46269</v>
      </c>
      <c r="AJ89" s="369" t="s">
        <v>165</v>
      </c>
      <c r="AK89" s="373" t="s">
        <v>480</v>
      </c>
      <c r="AL89" s="370">
        <v>0</v>
      </c>
      <c r="AM89" s="169">
        <v>46332</v>
      </c>
      <c r="AN89" s="169">
        <v>46338</v>
      </c>
      <c r="AO89" s="168" t="s">
        <v>40</v>
      </c>
      <c r="AP89" s="170">
        <v>0</v>
      </c>
      <c r="AQ89"/>
    </row>
    <row r="90" spans="1:43">
      <c r="A90" s="292" t="s">
        <v>670</v>
      </c>
      <c r="B90" s="299" t="s">
        <v>764</v>
      </c>
      <c r="C90" s="299">
        <v>1</v>
      </c>
      <c r="D90" s="149">
        <v>46195</v>
      </c>
      <c r="E90" s="149">
        <v>46200</v>
      </c>
      <c r="F90" s="308" t="s">
        <v>40</v>
      </c>
      <c r="G90" s="308" t="s">
        <v>479</v>
      </c>
      <c r="H90" s="372">
        <v>0</v>
      </c>
      <c r="I90" s="169">
        <v>46201</v>
      </c>
      <c r="J90" s="311">
        <v>46209</v>
      </c>
      <c r="K90" s="310" t="s">
        <v>40</v>
      </c>
      <c r="L90" s="344" t="s">
        <v>480</v>
      </c>
      <c r="M90" s="312">
        <v>0</v>
      </c>
      <c r="N90" s="314">
        <v>46219</v>
      </c>
      <c r="O90" s="314">
        <v>46231</v>
      </c>
      <c r="P90" s="315" t="s">
        <v>40</v>
      </c>
      <c r="Q90" s="349" t="s">
        <v>480</v>
      </c>
      <c r="R90" s="316">
        <v>0</v>
      </c>
      <c r="S90" s="318">
        <v>46232</v>
      </c>
      <c r="T90" s="318">
        <v>46238</v>
      </c>
      <c r="U90" s="319" t="s">
        <v>40</v>
      </c>
      <c r="V90" s="354" t="s">
        <v>480</v>
      </c>
      <c r="W90" s="320">
        <v>0</v>
      </c>
      <c r="X90" s="322">
        <v>46247</v>
      </c>
      <c r="Y90" s="322">
        <v>46249</v>
      </c>
      <c r="Z90" s="323" t="s">
        <v>40</v>
      </c>
      <c r="AA90" s="359" t="s">
        <v>480</v>
      </c>
      <c r="AB90" s="324">
        <v>0</v>
      </c>
      <c r="AC90" s="326">
        <v>46250</v>
      </c>
      <c r="AD90" s="326">
        <v>46257</v>
      </c>
      <c r="AE90" s="327" t="s">
        <v>40</v>
      </c>
      <c r="AF90" s="365" t="s">
        <v>480</v>
      </c>
      <c r="AG90" s="328">
        <v>0</v>
      </c>
      <c r="AH90" s="330">
        <v>46266</v>
      </c>
      <c r="AI90" s="330">
        <v>46269</v>
      </c>
      <c r="AJ90" s="331" t="s">
        <v>165</v>
      </c>
      <c r="AK90" s="373" t="s">
        <v>480</v>
      </c>
      <c r="AL90" s="332">
        <v>0</v>
      </c>
      <c r="AM90" s="169">
        <v>46332</v>
      </c>
      <c r="AN90" s="169">
        <v>46338</v>
      </c>
      <c r="AO90" s="168" t="s">
        <v>40</v>
      </c>
      <c r="AP90" s="170">
        <v>0</v>
      </c>
      <c r="AQ90"/>
    </row>
    <row r="91" spans="1:43">
      <c r="A91" s="292" t="s">
        <v>670</v>
      </c>
      <c r="B91" s="299" t="s">
        <v>765</v>
      </c>
      <c r="C91" s="299">
        <v>1</v>
      </c>
      <c r="D91" s="149">
        <v>46195</v>
      </c>
      <c r="E91" s="149">
        <v>46200</v>
      </c>
      <c r="F91" s="308" t="s">
        <v>40</v>
      </c>
      <c r="G91" s="308" t="s">
        <v>479</v>
      </c>
      <c r="H91" s="372">
        <v>0</v>
      </c>
      <c r="I91" s="169">
        <v>46201</v>
      </c>
      <c r="J91" s="311">
        <v>46209</v>
      </c>
      <c r="K91" s="310" t="s">
        <v>40</v>
      </c>
      <c r="L91" s="344" t="s">
        <v>480</v>
      </c>
      <c r="M91" s="312">
        <v>0</v>
      </c>
      <c r="N91" s="314">
        <v>46219</v>
      </c>
      <c r="O91" s="314">
        <v>46231</v>
      </c>
      <c r="P91" s="315" t="s">
        <v>40</v>
      </c>
      <c r="Q91" s="349" t="s">
        <v>480</v>
      </c>
      <c r="R91" s="316">
        <v>0</v>
      </c>
      <c r="S91" s="318">
        <v>46232</v>
      </c>
      <c r="T91" s="318">
        <v>46238</v>
      </c>
      <c r="U91" s="319" t="s">
        <v>40</v>
      </c>
      <c r="V91" s="354" t="s">
        <v>480</v>
      </c>
      <c r="W91" s="320">
        <v>0</v>
      </c>
      <c r="X91" s="322">
        <v>46247</v>
      </c>
      <c r="Y91" s="322">
        <v>46249</v>
      </c>
      <c r="Z91" s="323" t="s">
        <v>40</v>
      </c>
      <c r="AA91" s="359" t="s">
        <v>480</v>
      </c>
      <c r="AB91" s="324">
        <v>0</v>
      </c>
      <c r="AC91" s="326">
        <v>46250</v>
      </c>
      <c r="AD91" s="326">
        <v>46257</v>
      </c>
      <c r="AE91" s="327" t="s">
        <v>40</v>
      </c>
      <c r="AF91" s="365" t="s">
        <v>480</v>
      </c>
      <c r="AG91" s="328">
        <v>0</v>
      </c>
      <c r="AH91" s="330">
        <v>46266</v>
      </c>
      <c r="AI91" s="330">
        <v>46269</v>
      </c>
      <c r="AJ91" s="331" t="s">
        <v>165</v>
      </c>
      <c r="AK91" s="373" t="s">
        <v>480</v>
      </c>
      <c r="AL91" s="332">
        <v>0</v>
      </c>
      <c r="AM91" s="169">
        <v>46332</v>
      </c>
      <c r="AN91" s="169">
        <v>46338</v>
      </c>
      <c r="AO91" s="168" t="s">
        <v>40</v>
      </c>
      <c r="AP91" s="170">
        <v>0</v>
      </c>
      <c r="AQ91"/>
    </row>
    <row r="92" spans="1:43">
      <c r="A92" s="292" t="s">
        <v>670</v>
      </c>
      <c r="B92" s="299" t="s">
        <v>766</v>
      </c>
      <c r="C92" s="299">
        <v>1</v>
      </c>
      <c r="D92" s="149">
        <v>46195</v>
      </c>
      <c r="E92" s="149">
        <v>46200</v>
      </c>
      <c r="F92" s="308" t="s">
        <v>40</v>
      </c>
      <c r="G92" s="340" t="s">
        <v>40</v>
      </c>
      <c r="H92" s="372">
        <v>0</v>
      </c>
      <c r="I92" s="169">
        <v>46201</v>
      </c>
      <c r="J92" s="311">
        <v>46209</v>
      </c>
      <c r="K92" s="310" t="s">
        <v>40</v>
      </c>
      <c r="L92" s="345" t="s">
        <v>40</v>
      </c>
      <c r="M92" s="312">
        <v>0</v>
      </c>
      <c r="N92" s="314">
        <v>46219</v>
      </c>
      <c r="O92" s="314">
        <v>46231</v>
      </c>
      <c r="P92" s="315" t="s">
        <v>40</v>
      </c>
      <c r="Q92" s="336" t="s">
        <v>40</v>
      </c>
      <c r="R92" s="316">
        <v>0</v>
      </c>
      <c r="S92" s="318">
        <v>46232</v>
      </c>
      <c r="T92" s="318">
        <v>46238</v>
      </c>
      <c r="U92" s="319" t="s">
        <v>40</v>
      </c>
      <c r="V92" s="337" t="s">
        <v>40</v>
      </c>
      <c r="W92" s="320">
        <v>0</v>
      </c>
      <c r="X92" s="322">
        <v>46247</v>
      </c>
      <c r="Y92" s="322">
        <v>46249</v>
      </c>
      <c r="Z92" s="323" t="s">
        <v>40</v>
      </c>
      <c r="AA92" s="338" t="s">
        <v>40</v>
      </c>
      <c r="AB92" s="324">
        <v>0</v>
      </c>
      <c r="AC92" s="326">
        <v>46250</v>
      </c>
      <c r="AD92" s="326">
        <v>46257</v>
      </c>
      <c r="AE92" s="327" t="s">
        <v>40</v>
      </c>
      <c r="AF92" s="339" t="s">
        <v>40</v>
      </c>
      <c r="AG92" s="328">
        <v>0</v>
      </c>
      <c r="AH92" s="330">
        <v>46266</v>
      </c>
      <c r="AI92" s="330">
        <v>46269</v>
      </c>
      <c r="AJ92" s="331" t="s">
        <v>165</v>
      </c>
      <c r="AK92" s="333" t="s">
        <v>40</v>
      </c>
      <c r="AL92" s="332">
        <v>0</v>
      </c>
      <c r="AM92" s="169">
        <v>46332</v>
      </c>
      <c r="AN92" s="169">
        <v>46338</v>
      </c>
      <c r="AO92" s="168" t="s">
        <v>40</v>
      </c>
      <c r="AP92" s="170">
        <v>0</v>
      </c>
      <c r="AQ92"/>
    </row>
    <row r="93" spans="1:43">
      <c r="A93" s="292" t="s">
        <v>670</v>
      </c>
      <c r="B93" s="299" t="s">
        <v>767</v>
      </c>
      <c r="C93" s="299">
        <v>1</v>
      </c>
      <c r="D93" s="149">
        <v>46195</v>
      </c>
      <c r="E93" s="149">
        <v>46200</v>
      </c>
      <c r="F93" s="341" t="s">
        <v>34</v>
      </c>
      <c r="G93" s="340" t="s">
        <v>478</v>
      </c>
      <c r="H93" s="372">
        <v>1</v>
      </c>
      <c r="I93" s="169">
        <v>46201</v>
      </c>
      <c r="J93" s="342">
        <v>46209</v>
      </c>
      <c r="K93" s="344" t="s">
        <v>681</v>
      </c>
      <c r="L93" s="344" t="s">
        <v>681</v>
      </c>
      <c r="M93" s="346">
        <v>0.9</v>
      </c>
      <c r="N93" s="347">
        <v>46219</v>
      </c>
      <c r="O93" s="347">
        <v>46231</v>
      </c>
      <c r="P93" s="374" t="s">
        <v>682</v>
      </c>
      <c r="Q93" s="374" t="s">
        <v>683</v>
      </c>
      <c r="R93" s="350">
        <v>0.5</v>
      </c>
      <c r="S93" s="352">
        <v>46232</v>
      </c>
      <c r="T93" s="352">
        <v>46238</v>
      </c>
      <c r="U93" s="354" t="s">
        <v>40</v>
      </c>
      <c r="V93" s="354" t="s">
        <v>480</v>
      </c>
      <c r="W93" s="355">
        <v>0.9</v>
      </c>
      <c r="X93" s="357">
        <v>46247</v>
      </c>
      <c r="Y93" s="357">
        <v>46249</v>
      </c>
      <c r="Z93" s="359" t="s">
        <v>40</v>
      </c>
      <c r="AA93" s="359" t="s">
        <v>480</v>
      </c>
      <c r="AB93" s="360">
        <v>0</v>
      </c>
      <c r="AC93" s="362">
        <v>46250</v>
      </c>
      <c r="AD93" s="326">
        <v>46257</v>
      </c>
      <c r="AE93" s="327" t="s">
        <v>40</v>
      </c>
      <c r="AF93" s="365" t="s">
        <v>40</v>
      </c>
      <c r="AG93" s="366">
        <v>0</v>
      </c>
      <c r="AH93" s="368">
        <v>46266</v>
      </c>
      <c r="AI93" s="368">
        <v>46269</v>
      </c>
      <c r="AJ93" s="369" t="s">
        <v>165</v>
      </c>
      <c r="AK93" s="373" t="s">
        <v>40</v>
      </c>
      <c r="AL93" s="370">
        <v>0</v>
      </c>
      <c r="AM93" s="169">
        <v>46332</v>
      </c>
      <c r="AN93" s="169">
        <v>46338</v>
      </c>
      <c r="AO93" s="168" t="s">
        <v>40</v>
      </c>
      <c r="AP93" s="170">
        <v>0</v>
      </c>
      <c r="AQ93"/>
    </row>
    <row r="94" spans="1:43">
      <c r="A94" s="292" t="s">
        <v>670</v>
      </c>
      <c r="B94" s="299" t="s">
        <v>768</v>
      </c>
      <c r="C94" s="299">
        <v>1</v>
      </c>
      <c r="D94" s="149">
        <v>46195</v>
      </c>
      <c r="E94" s="149">
        <v>46200</v>
      </c>
      <c r="F94" s="341" t="s">
        <v>40</v>
      </c>
      <c r="G94" s="308" t="s">
        <v>479</v>
      </c>
      <c r="H94" s="372">
        <v>0</v>
      </c>
      <c r="I94" s="169">
        <v>46201</v>
      </c>
      <c r="J94" s="342">
        <v>46209</v>
      </c>
      <c r="K94" s="344" t="s">
        <v>40</v>
      </c>
      <c r="L94" s="344" t="s">
        <v>480</v>
      </c>
      <c r="M94" s="346">
        <v>0</v>
      </c>
      <c r="N94" s="347">
        <v>46219</v>
      </c>
      <c r="O94" s="347">
        <v>46231</v>
      </c>
      <c r="P94" s="349" t="s">
        <v>40</v>
      </c>
      <c r="Q94" s="349" t="s">
        <v>480</v>
      </c>
      <c r="R94" s="350">
        <v>0</v>
      </c>
      <c r="S94" s="352">
        <v>46232</v>
      </c>
      <c r="T94" s="352">
        <v>46238</v>
      </c>
      <c r="U94" s="354" t="s">
        <v>40</v>
      </c>
      <c r="V94" s="354" t="s">
        <v>480</v>
      </c>
      <c r="W94" s="355">
        <v>0</v>
      </c>
      <c r="X94" s="357">
        <v>46247</v>
      </c>
      <c r="Y94" s="357">
        <v>46249</v>
      </c>
      <c r="Z94" s="359" t="s">
        <v>40</v>
      </c>
      <c r="AA94" s="359" t="s">
        <v>480</v>
      </c>
      <c r="AB94" s="360">
        <v>0</v>
      </c>
      <c r="AC94" s="362">
        <v>46250</v>
      </c>
      <c r="AD94" s="326">
        <v>46257</v>
      </c>
      <c r="AE94" s="327" t="s">
        <v>40</v>
      </c>
      <c r="AF94" s="365" t="s">
        <v>480</v>
      </c>
      <c r="AG94" s="366">
        <v>0</v>
      </c>
      <c r="AH94" s="368">
        <v>46266</v>
      </c>
      <c r="AI94" s="368">
        <v>46269</v>
      </c>
      <c r="AJ94" s="369" t="s">
        <v>165</v>
      </c>
      <c r="AK94" s="373" t="s">
        <v>480</v>
      </c>
      <c r="AL94" s="370">
        <v>0</v>
      </c>
      <c r="AM94" s="169">
        <v>46332</v>
      </c>
      <c r="AN94" s="169">
        <v>46338</v>
      </c>
      <c r="AO94" s="168" t="s">
        <v>40</v>
      </c>
      <c r="AP94" s="170">
        <v>0</v>
      </c>
      <c r="AQ94"/>
    </row>
    <row r="95" spans="1:43">
      <c r="A95" s="292" t="s">
        <v>670</v>
      </c>
      <c r="B95" s="299" t="s">
        <v>769</v>
      </c>
      <c r="C95" s="299">
        <v>1</v>
      </c>
      <c r="D95" s="149">
        <v>46195</v>
      </c>
      <c r="E95" s="149">
        <v>46200</v>
      </c>
      <c r="F95" s="341" t="s">
        <v>40</v>
      </c>
      <c r="G95" s="308" t="s">
        <v>479</v>
      </c>
      <c r="H95" s="372">
        <v>0</v>
      </c>
      <c r="I95" s="169">
        <v>46201</v>
      </c>
      <c r="J95" s="342">
        <v>46209</v>
      </c>
      <c r="K95" s="344" t="s">
        <v>40</v>
      </c>
      <c r="L95" s="344" t="s">
        <v>480</v>
      </c>
      <c r="M95" s="346">
        <v>0</v>
      </c>
      <c r="N95" s="347">
        <v>46219</v>
      </c>
      <c r="O95" s="347">
        <v>46231</v>
      </c>
      <c r="P95" s="349" t="s">
        <v>40</v>
      </c>
      <c r="Q95" s="349" t="s">
        <v>480</v>
      </c>
      <c r="R95" s="350">
        <v>0</v>
      </c>
      <c r="S95" s="352">
        <v>46232</v>
      </c>
      <c r="T95" s="352">
        <v>46238</v>
      </c>
      <c r="U95" s="354" t="s">
        <v>40</v>
      </c>
      <c r="V95" s="354" t="s">
        <v>480</v>
      </c>
      <c r="W95" s="355">
        <v>0</v>
      </c>
      <c r="X95" s="357">
        <v>46247</v>
      </c>
      <c r="Y95" s="357">
        <v>46249</v>
      </c>
      <c r="Z95" s="359" t="s">
        <v>40</v>
      </c>
      <c r="AA95" s="359" t="s">
        <v>480</v>
      </c>
      <c r="AB95" s="360">
        <v>0</v>
      </c>
      <c r="AC95" s="362">
        <v>46250</v>
      </c>
      <c r="AD95" s="326">
        <v>46257</v>
      </c>
      <c r="AE95" s="327" t="s">
        <v>40</v>
      </c>
      <c r="AF95" s="365" t="s">
        <v>480</v>
      </c>
      <c r="AG95" s="366">
        <v>0</v>
      </c>
      <c r="AH95" s="368">
        <v>46266</v>
      </c>
      <c r="AI95" s="368">
        <v>46269</v>
      </c>
      <c r="AJ95" s="369" t="s">
        <v>165</v>
      </c>
      <c r="AK95" s="373" t="s">
        <v>480</v>
      </c>
      <c r="AL95" s="370">
        <v>0</v>
      </c>
      <c r="AM95" s="169">
        <v>46332</v>
      </c>
      <c r="AN95" s="169">
        <v>46338</v>
      </c>
      <c r="AO95" s="168" t="s">
        <v>40</v>
      </c>
      <c r="AP95" s="170">
        <v>0</v>
      </c>
      <c r="AQ95"/>
    </row>
    <row r="96" spans="1:43">
      <c r="A96" s="292" t="s">
        <v>670</v>
      </c>
      <c r="B96" s="299" t="s">
        <v>770</v>
      </c>
      <c r="C96" s="299">
        <v>1</v>
      </c>
      <c r="D96" s="149">
        <v>46195</v>
      </c>
      <c r="E96" s="149">
        <v>46200</v>
      </c>
      <c r="F96" s="341" t="s">
        <v>40</v>
      </c>
      <c r="G96" s="308" t="s">
        <v>479</v>
      </c>
      <c r="H96" s="372">
        <v>0</v>
      </c>
      <c r="I96" s="169">
        <v>46201</v>
      </c>
      <c r="J96" s="342">
        <v>46209</v>
      </c>
      <c r="K96" s="344" t="s">
        <v>40</v>
      </c>
      <c r="L96" s="344" t="s">
        <v>480</v>
      </c>
      <c r="M96" s="346">
        <v>0</v>
      </c>
      <c r="N96" s="347">
        <v>46219</v>
      </c>
      <c r="O96" s="347">
        <v>46231</v>
      </c>
      <c r="P96" s="349" t="s">
        <v>40</v>
      </c>
      <c r="Q96" s="349" t="s">
        <v>480</v>
      </c>
      <c r="R96" s="350">
        <v>0</v>
      </c>
      <c r="S96" s="352">
        <v>46232</v>
      </c>
      <c r="T96" s="352">
        <v>46238</v>
      </c>
      <c r="U96" s="354" t="s">
        <v>40</v>
      </c>
      <c r="V96" s="354" t="s">
        <v>480</v>
      </c>
      <c r="W96" s="355">
        <v>0</v>
      </c>
      <c r="X96" s="357">
        <v>46247</v>
      </c>
      <c r="Y96" s="357">
        <v>46249</v>
      </c>
      <c r="Z96" s="359" t="s">
        <v>40</v>
      </c>
      <c r="AA96" s="359" t="s">
        <v>480</v>
      </c>
      <c r="AB96" s="360">
        <v>0</v>
      </c>
      <c r="AC96" s="362">
        <v>46250</v>
      </c>
      <c r="AD96" s="326">
        <v>46257</v>
      </c>
      <c r="AE96" s="327" t="s">
        <v>40</v>
      </c>
      <c r="AF96" s="365" t="s">
        <v>480</v>
      </c>
      <c r="AG96" s="366">
        <v>0</v>
      </c>
      <c r="AH96" s="368">
        <v>46266</v>
      </c>
      <c r="AI96" s="368">
        <v>46269</v>
      </c>
      <c r="AJ96" s="369" t="s">
        <v>165</v>
      </c>
      <c r="AK96" s="373" t="s">
        <v>480</v>
      </c>
      <c r="AL96" s="370">
        <v>0</v>
      </c>
      <c r="AM96" s="169">
        <v>46332</v>
      </c>
      <c r="AN96" s="169">
        <v>46338</v>
      </c>
      <c r="AO96" s="168" t="s">
        <v>40</v>
      </c>
      <c r="AP96" s="170">
        <v>0</v>
      </c>
      <c r="AQ96"/>
    </row>
    <row r="97" spans="1:43">
      <c r="A97" s="292" t="s">
        <v>670</v>
      </c>
      <c r="B97" s="299" t="s">
        <v>771</v>
      </c>
      <c r="C97" s="299">
        <v>1</v>
      </c>
      <c r="D97" s="149">
        <v>46195</v>
      </c>
      <c r="E97" s="149">
        <v>46200</v>
      </c>
      <c r="F97" s="308" t="s">
        <v>40</v>
      </c>
      <c r="G97" s="308" t="s">
        <v>479</v>
      </c>
      <c r="H97" s="372">
        <v>0</v>
      </c>
      <c r="I97" s="169">
        <v>46201</v>
      </c>
      <c r="J97" s="311">
        <v>46209</v>
      </c>
      <c r="K97" s="310" t="s">
        <v>40</v>
      </c>
      <c r="L97" s="344" t="s">
        <v>480</v>
      </c>
      <c r="M97" s="312">
        <v>0</v>
      </c>
      <c r="N97" s="314">
        <v>46219</v>
      </c>
      <c r="O97" s="314">
        <v>46231</v>
      </c>
      <c r="P97" s="315" t="s">
        <v>40</v>
      </c>
      <c r="Q97" s="349" t="s">
        <v>480</v>
      </c>
      <c r="R97" s="316">
        <v>0</v>
      </c>
      <c r="S97" s="318">
        <v>46232</v>
      </c>
      <c r="T97" s="318">
        <v>46238</v>
      </c>
      <c r="U97" s="319" t="s">
        <v>40</v>
      </c>
      <c r="V97" s="354" t="s">
        <v>480</v>
      </c>
      <c r="W97" s="320">
        <v>0</v>
      </c>
      <c r="X97" s="322">
        <v>46247</v>
      </c>
      <c r="Y97" s="322">
        <v>46249</v>
      </c>
      <c r="Z97" s="323" t="s">
        <v>40</v>
      </c>
      <c r="AA97" s="359" t="s">
        <v>480</v>
      </c>
      <c r="AB97" s="324">
        <v>0</v>
      </c>
      <c r="AC97" s="326">
        <v>46250</v>
      </c>
      <c r="AD97" s="326">
        <v>46257</v>
      </c>
      <c r="AE97" s="327" t="s">
        <v>40</v>
      </c>
      <c r="AF97" s="365" t="s">
        <v>480</v>
      </c>
      <c r="AG97" s="328">
        <v>0</v>
      </c>
      <c r="AH97" s="330">
        <v>46266</v>
      </c>
      <c r="AI97" s="330">
        <v>46269</v>
      </c>
      <c r="AJ97" s="331" t="s">
        <v>165</v>
      </c>
      <c r="AK97" s="373" t="s">
        <v>480</v>
      </c>
      <c r="AL97" s="332">
        <v>0</v>
      </c>
      <c r="AM97" s="169">
        <v>46332</v>
      </c>
      <c r="AN97" s="169">
        <v>46338</v>
      </c>
      <c r="AO97" s="168" t="s">
        <v>40</v>
      </c>
      <c r="AP97" s="170">
        <v>0</v>
      </c>
      <c r="AQ97"/>
    </row>
    <row r="98" spans="1:43">
      <c r="A98" s="292" t="s">
        <v>670</v>
      </c>
      <c r="B98" s="299" t="s">
        <v>772</v>
      </c>
      <c r="C98" s="299">
        <v>1</v>
      </c>
      <c r="D98" s="149">
        <v>46195</v>
      </c>
      <c r="E98" s="149">
        <v>46200</v>
      </c>
      <c r="F98" s="308" t="s">
        <v>40</v>
      </c>
      <c r="G98" s="308" t="s">
        <v>479</v>
      </c>
      <c r="H98" s="372">
        <v>0</v>
      </c>
      <c r="I98" s="169">
        <v>46201</v>
      </c>
      <c r="J98" s="311">
        <v>46209</v>
      </c>
      <c r="K98" s="310" t="s">
        <v>40</v>
      </c>
      <c r="L98" s="344" t="s">
        <v>480</v>
      </c>
      <c r="M98" s="312">
        <v>0</v>
      </c>
      <c r="N98" s="314">
        <v>46219</v>
      </c>
      <c r="O98" s="314">
        <v>46231</v>
      </c>
      <c r="P98" s="315" t="s">
        <v>40</v>
      </c>
      <c r="Q98" s="349" t="s">
        <v>480</v>
      </c>
      <c r="R98" s="316">
        <v>0</v>
      </c>
      <c r="S98" s="318">
        <v>46232</v>
      </c>
      <c r="T98" s="318">
        <v>46238</v>
      </c>
      <c r="U98" s="319" t="s">
        <v>40</v>
      </c>
      <c r="V98" s="354" t="s">
        <v>480</v>
      </c>
      <c r="W98" s="320">
        <v>0</v>
      </c>
      <c r="X98" s="322">
        <v>46247</v>
      </c>
      <c r="Y98" s="322">
        <v>46249</v>
      </c>
      <c r="Z98" s="323" t="s">
        <v>40</v>
      </c>
      <c r="AA98" s="359" t="s">
        <v>480</v>
      </c>
      <c r="AB98" s="324">
        <v>0</v>
      </c>
      <c r="AC98" s="326">
        <v>46250</v>
      </c>
      <c r="AD98" s="326">
        <v>46257</v>
      </c>
      <c r="AE98" s="327" t="s">
        <v>40</v>
      </c>
      <c r="AF98" s="365" t="s">
        <v>480</v>
      </c>
      <c r="AG98" s="328">
        <v>0</v>
      </c>
      <c r="AH98" s="330">
        <v>46266</v>
      </c>
      <c r="AI98" s="330">
        <v>46269</v>
      </c>
      <c r="AJ98" s="331" t="s">
        <v>165</v>
      </c>
      <c r="AK98" s="373" t="s">
        <v>480</v>
      </c>
      <c r="AL98" s="332">
        <v>0</v>
      </c>
      <c r="AM98" s="169">
        <v>46332</v>
      </c>
      <c r="AN98" s="169">
        <v>46338</v>
      </c>
      <c r="AO98" s="168" t="s">
        <v>40</v>
      </c>
      <c r="AP98" s="170">
        <v>0</v>
      </c>
      <c r="AQ98"/>
    </row>
    <row r="99" spans="1:43">
      <c r="A99" s="292" t="s">
        <v>670</v>
      </c>
      <c r="B99" s="299" t="s">
        <v>773</v>
      </c>
      <c r="C99" s="299">
        <v>1</v>
      </c>
      <c r="D99" s="149">
        <v>46195</v>
      </c>
      <c r="E99" s="149">
        <v>46200</v>
      </c>
      <c r="F99" s="308" t="s">
        <v>40</v>
      </c>
      <c r="G99" s="340" t="s">
        <v>40</v>
      </c>
      <c r="H99" s="372">
        <v>0</v>
      </c>
      <c r="I99" s="169">
        <v>46201</v>
      </c>
      <c r="J99" s="311">
        <v>46209</v>
      </c>
      <c r="K99" s="310" t="s">
        <v>40</v>
      </c>
      <c r="L99" s="345" t="s">
        <v>40</v>
      </c>
      <c r="M99" s="312">
        <v>0</v>
      </c>
      <c r="N99" s="314">
        <v>46219</v>
      </c>
      <c r="O99" s="314">
        <v>46231</v>
      </c>
      <c r="P99" s="315" t="s">
        <v>40</v>
      </c>
      <c r="Q99" s="336" t="s">
        <v>40</v>
      </c>
      <c r="R99" s="316">
        <v>0</v>
      </c>
      <c r="S99" s="318">
        <v>46232</v>
      </c>
      <c r="T99" s="318">
        <v>46238</v>
      </c>
      <c r="U99" s="319" t="s">
        <v>40</v>
      </c>
      <c r="V99" s="337" t="s">
        <v>40</v>
      </c>
      <c r="W99" s="320">
        <v>0</v>
      </c>
      <c r="X99" s="322">
        <v>46247</v>
      </c>
      <c r="Y99" s="322">
        <v>46249</v>
      </c>
      <c r="Z99" s="323" t="s">
        <v>40</v>
      </c>
      <c r="AA99" s="338" t="s">
        <v>40</v>
      </c>
      <c r="AB99" s="324">
        <v>0</v>
      </c>
      <c r="AC99" s="326">
        <v>46250</v>
      </c>
      <c r="AD99" s="326">
        <v>46257</v>
      </c>
      <c r="AE99" s="327" t="s">
        <v>40</v>
      </c>
      <c r="AF99" s="339" t="s">
        <v>40</v>
      </c>
      <c r="AG99" s="328">
        <v>0</v>
      </c>
      <c r="AH99" s="330">
        <v>46266</v>
      </c>
      <c r="AI99" s="330">
        <v>46269</v>
      </c>
      <c r="AJ99" s="331" t="s">
        <v>165</v>
      </c>
      <c r="AK99" s="333" t="s">
        <v>40</v>
      </c>
      <c r="AL99" s="332">
        <v>0</v>
      </c>
      <c r="AM99" s="169">
        <v>46332</v>
      </c>
      <c r="AN99" s="169">
        <v>46338</v>
      </c>
      <c r="AO99" s="168" t="s">
        <v>40</v>
      </c>
      <c r="AP99" s="170">
        <v>0</v>
      </c>
      <c r="AQ99"/>
    </row>
    <row r="100" spans="1:43">
      <c r="A100" s="292" t="s">
        <v>670</v>
      </c>
      <c r="B100" s="299" t="s">
        <v>774</v>
      </c>
      <c r="C100" s="299">
        <v>1</v>
      </c>
      <c r="D100" s="149">
        <v>46195</v>
      </c>
      <c r="E100" s="149">
        <v>46200</v>
      </c>
      <c r="F100" s="341" t="s">
        <v>34</v>
      </c>
      <c r="G100" s="340" t="s">
        <v>478</v>
      </c>
      <c r="H100" s="372">
        <v>1</v>
      </c>
      <c r="I100" s="169">
        <v>46201</v>
      </c>
      <c r="J100" s="342">
        <v>46209</v>
      </c>
      <c r="K100" s="344" t="s">
        <v>681</v>
      </c>
      <c r="L100" s="344" t="s">
        <v>681</v>
      </c>
      <c r="M100" s="346">
        <v>0.9</v>
      </c>
      <c r="N100" s="347">
        <v>46219</v>
      </c>
      <c r="O100" s="347">
        <v>46231</v>
      </c>
      <c r="P100" s="374" t="s">
        <v>682</v>
      </c>
      <c r="Q100" s="374" t="s">
        <v>683</v>
      </c>
      <c r="R100" s="350">
        <v>0.5</v>
      </c>
      <c r="S100" s="352">
        <v>46232</v>
      </c>
      <c r="T100" s="352">
        <v>46238</v>
      </c>
      <c r="U100" s="354" t="s">
        <v>40</v>
      </c>
      <c r="V100" s="354" t="s">
        <v>480</v>
      </c>
      <c r="W100" s="355">
        <v>0.9</v>
      </c>
      <c r="X100" s="357">
        <v>46247</v>
      </c>
      <c r="Y100" s="357">
        <v>46249</v>
      </c>
      <c r="Z100" s="359" t="s">
        <v>40</v>
      </c>
      <c r="AA100" s="359" t="s">
        <v>480</v>
      </c>
      <c r="AB100" s="360">
        <v>0</v>
      </c>
      <c r="AC100" s="362">
        <v>46250</v>
      </c>
      <c r="AD100" s="326">
        <v>46257</v>
      </c>
      <c r="AE100" s="327" t="s">
        <v>40</v>
      </c>
      <c r="AF100" s="365" t="s">
        <v>40</v>
      </c>
      <c r="AG100" s="366">
        <v>0</v>
      </c>
      <c r="AH100" s="368">
        <v>46266</v>
      </c>
      <c r="AI100" s="368">
        <v>46269</v>
      </c>
      <c r="AJ100" s="369" t="s">
        <v>165</v>
      </c>
      <c r="AK100" s="373" t="s">
        <v>40</v>
      </c>
      <c r="AL100" s="370">
        <v>0</v>
      </c>
      <c r="AM100" s="169">
        <v>46332</v>
      </c>
      <c r="AN100" s="169">
        <v>46338</v>
      </c>
      <c r="AO100" s="168" t="s">
        <v>40</v>
      </c>
      <c r="AP100" s="170">
        <v>0</v>
      </c>
      <c r="AQ100"/>
    </row>
    <row r="101" spans="1:43">
      <c r="A101" s="292" t="s">
        <v>670</v>
      </c>
      <c r="B101" s="299" t="s">
        <v>775</v>
      </c>
      <c r="C101" s="299">
        <v>1</v>
      </c>
      <c r="D101" s="149">
        <v>46195</v>
      </c>
      <c r="E101" s="149">
        <v>46200</v>
      </c>
      <c r="F101" s="341" t="s">
        <v>40</v>
      </c>
      <c r="G101" s="308" t="s">
        <v>479</v>
      </c>
      <c r="H101" s="372">
        <v>0</v>
      </c>
      <c r="I101" s="169">
        <v>46201</v>
      </c>
      <c r="J101" s="342">
        <v>46209</v>
      </c>
      <c r="K101" s="344" t="s">
        <v>40</v>
      </c>
      <c r="L101" s="344" t="s">
        <v>480</v>
      </c>
      <c r="M101" s="346">
        <v>0</v>
      </c>
      <c r="N101" s="347">
        <v>46219</v>
      </c>
      <c r="O101" s="347">
        <v>46231</v>
      </c>
      <c r="P101" s="349" t="s">
        <v>40</v>
      </c>
      <c r="Q101" s="349" t="s">
        <v>480</v>
      </c>
      <c r="R101" s="350">
        <v>0</v>
      </c>
      <c r="S101" s="352">
        <v>46232</v>
      </c>
      <c r="T101" s="352">
        <v>46238</v>
      </c>
      <c r="U101" s="354" t="s">
        <v>40</v>
      </c>
      <c r="V101" s="354" t="s">
        <v>480</v>
      </c>
      <c r="W101" s="355">
        <v>0</v>
      </c>
      <c r="X101" s="357">
        <v>46247</v>
      </c>
      <c r="Y101" s="357">
        <v>46249</v>
      </c>
      <c r="Z101" s="359" t="s">
        <v>40</v>
      </c>
      <c r="AA101" s="359" t="s">
        <v>480</v>
      </c>
      <c r="AB101" s="360">
        <v>0</v>
      </c>
      <c r="AC101" s="362">
        <v>46250</v>
      </c>
      <c r="AD101" s="326">
        <v>46257</v>
      </c>
      <c r="AE101" s="327" t="s">
        <v>40</v>
      </c>
      <c r="AF101" s="365" t="s">
        <v>480</v>
      </c>
      <c r="AG101" s="366">
        <v>0</v>
      </c>
      <c r="AH101" s="368">
        <v>46266</v>
      </c>
      <c r="AI101" s="368">
        <v>46269</v>
      </c>
      <c r="AJ101" s="369" t="s">
        <v>165</v>
      </c>
      <c r="AK101" s="373" t="s">
        <v>480</v>
      </c>
      <c r="AL101" s="370">
        <v>0</v>
      </c>
      <c r="AM101" s="169">
        <v>46332</v>
      </c>
      <c r="AN101" s="169">
        <v>46338</v>
      </c>
      <c r="AO101" s="168" t="s">
        <v>40</v>
      </c>
      <c r="AP101" s="170">
        <v>0</v>
      </c>
      <c r="AQ101"/>
    </row>
    <row r="102" spans="1:43">
      <c r="A102" s="292" t="s">
        <v>670</v>
      </c>
      <c r="B102" s="299" t="s">
        <v>776</v>
      </c>
      <c r="C102" s="299">
        <v>1</v>
      </c>
      <c r="D102" s="149">
        <v>46195</v>
      </c>
      <c r="E102" s="149">
        <v>46200</v>
      </c>
      <c r="F102" s="341" t="s">
        <v>40</v>
      </c>
      <c r="G102" s="308" t="s">
        <v>479</v>
      </c>
      <c r="H102" s="372">
        <v>0</v>
      </c>
      <c r="I102" s="169">
        <v>46201</v>
      </c>
      <c r="J102" s="342">
        <v>46209</v>
      </c>
      <c r="K102" s="344" t="s">
        <v>40</v>
      </c>
      <c r="L102" s="344" t="s">
        <v>480</v>
      </c>
      <c r="M102" s="346">
        <v>0</v>
      </c>
      <c r="N102" s="347">
        <v>46219</v>
      </c>
      <c r="O102" s="347">
        <v>46231</v>
      </c>
      <c r="P102" s="349" t="s">
        <v>40</v>
      </c>
      <c r="Q102" s="349" t="s">
        <v>480</v>
      </c>
      <c r="R102" s="350">
        <v>0</v>
      </c>
      <c r="S102" s="352">
        <v>46232</v>
      </c>
      <c r="T102" s="352">
        <v>46238</v>
      </c>
      <c r="U102" s="354" t="s">
        <v>40</v>
      </c>
      <c r="V102" s="354" t="s">
        <v>480</v>
      </c>
      <c r="W102" s="355">
        <v>0</v>
      </c>
      <c r="X102" s="357">
        <v>46247</v>
      </c>
      <c r="Y102" s="357">
        <v>46249</v>
      </c>
      <c r="Z102" s="359" t="s">
        <v>40</v>
      </c>
      <c r="AA102" s="359" t="s">
        <v>480</v>
      </c>
      <c r="AB102" s="360">
        <v>0</v>
      </c>
      <c r="AC102" s="362">
        <v>46250</v>
      </c>
      <c r="AD102" s="326">
        <v>46257</v>
      </c>
      <c r="AE102" s="327" t="s">
        <v>40</v>
      </c>
      <c r="AF102" s="365" t="s">
        <v>480</v>
      </c>
      <c r="AG102" s="366">
        <v>0</v>
      </c>
      <c r="AH102" s="368">
        <v>46266</v>
      </c>
      <c r="AI102" s="368">
        <v>46269</v>
      </c>
      <c r="AJ102" s="369" t="s">
        <v>165</v>
      </c>
      <c r="AK102" s="373" t="s">
        <v>480</v>
      </c>
      <c r="AL102" s="370">
        <v>0</v>
      </c>
      <c r="AM102" s="169">
        <v>46332</v>
      </c>
      <c r="AN102" s="169">
        <v>46338</v>
      </c>
      <c r="AO102" s="168" t="s">
        <v>40</v>
      </c>
      <c r="AP102" s="170">
        <v>0</v>
      </c>
      <c r="AQ102"/>
    </row>
    <row r="103" spans="1:43">
      <c r="A103" s="292" t="s">
        <v>670</v>
      </c>
      <c r="B103" s="299" t="s">
        <v>777</v>
      </c>
      <c r="C103" s="299">
        <v>1</v>
      </c>
      <c r="D103" s="149">
        <v>46195</v>
      </c>
      <c r="E103" s="149">
        <v>46200</v>
      </c>
      <c r="F103" s="341" t="s">
        <v>40</v>
      </c>
      <c r="G103" s="308" t="s">
        <v>479</v>
      </c>
      <c r="H103" s="372">
        <v>0</v>
      </c>
      <c r="I103" s="169">
        <v>46201</v>
      </c>
      <c r="J103" s="342">
        <v>46209</v>
      </c>
      <c r="K103" s="344" t="s">
        <v>40</v>
      </c>
      <c r="L103" s="344" t="s">
        <v>480</v>
      </c>
      <c r="M103" s="346">
        <v>0</v>
      </c>
      <c r="N103" s="347">
        <v>46219</v>
      </c>
      <c r="O103" s="347">
        <v>46231</v>
      </c>
      <c r="P103" s="349" t="s">
        <v>40</v>
      </c>
      <c r="Q103" s="349" t="s">
        <v>480</v>
      </c>
      <c r="R103" s="350">
        <v>0</v>
      </c>
      <c r="S103" s="352">
        <v>46232</v>
      </c>
      <c r="T103" s="352">
        <v>46238</v>
      </c>
      <c r="U103" s="354" t="s">
        <v>40</v>
      </c>
      <c r="V103" s="354" t="s">
        <v>480</v>
      </c>
      <c r="W103" s="355">
        <v>0</v>
      </c>
      <c r="X103" s="357">
        <v>46247</v>
      </c>
      <c r="Y103" s="357">
        <v>46249</v>
      </c>
      <c r="Z103" s="359" t="s">
        <v>40</v>
      </c>
      <c r="AA103" s="359" t="s">
        <v>480</v>
      </c>
      <c r="AB103" s="360">
        <v>0</v>
      </c>
      <c r="AC103" s="362">
        <v>46250</v>
      </c>
      <c r="AD103" s="326">
        <v>46257</v>
      </c>
      <c r="AE103" s="327" t="s">
        <v>40</v>
      </c>
      <c r="AF103" s="365" t="s">
        <v>480</v>
      </c>
      <c r="AG103" s="366">
        <v>0</v>
      </c>
      <c r="AH103" s="368">
        <v>46266</v>
      </c>
      <c r="AI103" s="368">
        <v>46269</v>
      </c>
      <c r="AJ103" s="369" t="s">
        <v>165</v>
      </c>
      <c r="AK103" s="373" t="s">
        <v>480</v>
      </c>
      <c r="AL103" s="370">
        <v>0</v>
      </c>
      <c r="AM103" s="169">
        <v>46332</v>
      </c>
      <c r="AN103" s="169">
        <v>46338</v>
      </c>
      <c r="AO103" s="168" t="s">
        <v>40</v>
      </c>
      <c r="AP103" s="170">
        <v>0</v>
      </c>
      <c r="AQ103"/>
    </row>
    <row r="104" spans="1:43">
      <c r="A104" s="292" t="s">
        <v>670</v>
      </c>
      <c r="B104" s="299" t="s">
        <v>778</v>
      </c>
      <c r="C104" s="299">
        <v>1</v>
      </c>
      <c r="D104" s="149">
        <v>46195</v>
      </c>
      <c r="E104" s="149">
        <v>46200</v>
      </c>
      <c r="F104" s="308" t="s">
        <v>40</v>
      </c>
      <c r="G104" s="308" t="s">
        <v>479</v>
      </c>
      <c r="H104" s="372">
        <v>0</v>
      </c>
      <c r="I104" s="169">
        <v>46201</v>
      </c>
      <c r="J104" s="311">
        <v>46209</v>
      </c>
      <c r="K104" s="310" t="s">
        <v>40</v>
      </c>
      <c r="L104" s="344" t="s">
        <v>480</v>
      </c>
      <c r="M104" s="312">
        <v>0</v>
      </c>
      <c r="N104" s="314">
        <v>46219</v>
      </c>
      <c r="O104" s="314">
        <v>46231</v>
      </c>
      <c r="P104" s="315" t="s">
        <v>40</v>
      </c>
      <c r="Q104" s="349" t="s">
        <v>480</v>
      </c>
      <c r="R104" s="316">
        <v>0</v>
      </c>
      <c r="S104" s="318">
        <v>46232</v>
      </c>
      <c r="T104" s="318">
        <v>46238</v>
      </c>
      <c r="U104" s="319" t="s">
        <v>40</v>
      </c>
      <c r="V104" s="354" t="s">
        <v>480</v>
      </c>
      <c r="W104" s="320">
        <v>0</v>
      </c>
      <c r="X104" s="322">
        <v>46247</v>
      </c>
      <c r="Y104" s="322">
        <v>46249</v>
      </c>
      <c r="Z104" s="323" t="s">
        <v>40</v>
      </c>
      <c r="AA104" s="359" t="s">
        <v>480</v>
      </c>
      <c r="AB104" s="324">
        <v>0</v>
      </c>
      <c r="AC104" s="326">
        <v>46250</v>
      </c>
      <c r="AD104" s="326">
        <v>46257</v>
      </c>
      <c r="AE104" s="327" t="s">
        <v>40</v>
      </c>
      <c r="AF104" s="365" t="s">
        <v>480</v>
      </c>
      <c r="AG104" s="328">
        <v>0</v>
      </c>
      <c r="AH104" s="330">
        <v>46266</v>
      </c>
      <c r="AI104" s="330">
        <v>46269</v>
      </c>
      <c r="AJ104" s="331" t="s">
        <v>165</v>
      </c>
      <c r="AK104" s="373" t="s">
        <v>480</v>
      </c>
      <c r="AL104" s="332">
        <v>0</v>
      </c>
      <c r="AM104" s="169">
        <v>46332</v>
      </c>
      <c r="AN104" s="169">
        <v>46338</v>
      </c>
      <c r="AO104" s="168" t="s">
        <v>40</v>
      </c>
      <c r="AP104" s="170">
        <v>0</v>
      </c>
      <c r="AQ104"/>
    </row>
    <row r="105" spans="1:43">
      <c r="A105" s="292" t="s">
        <v>670</v>
      </c>
      <c r="B105" s="299" t="s">
        <v>779</v>
      </c>
      <c r="C105" s="299">
        <v>1</v>
      </c>
      <c r="D105" s="149">
        <v>46195</v>
      </c>
      <c r="E105" s="149">
        <v>46200</v>
      </c>
      <c r="F105" s="308" t="s">
        <v>40</v>
      </c>
      <c r="G105" s="308" t="s">
        <v>479</v>
      </c>
      <c r="H105" s="372">
        <v>0</v>
      </c>
      <c r="I105" s="169">
        <v>46201</v>
      </c>
      <c r="J105" s="311">
        <v>46209</v>
      </c>
      <c r="K105" s="310" t="s">
        <v>40</v>
      </c>
      <c r="L105" s="344" t="s">
        <v>480</v>
      </c>
      <c r="M105" s="312">
        <v>0</v>
      </c>
      <c r="N105" s="314">
        <v>46219</v>
      </c>
      <c r="O105" s="314">
        <v>46231</v>
      </c>
      <c r="P105" s="315" t="s">
        <v>40</v>
      </c>
      <c r="Q105" s="349" t="s">
        <v>480</v>
      </c>
      <c r="R105" s="316">
        <v>0</v>
      </c>
      <c r="S105" s="318">
        <v>46232</v>
      </c>
      <c r="T105" s="318">
        <v>46238</v>
      </c>
      <c r="U105" s="319" t="s">
        <v>40</v>
      </c>
      <c r="V105" s="354" t="s">
        <v>480</v>
      </c>
      <c r="W105" s="320">
        <v>0</v>
      </c>
      <c r="X105" s="322">
        <v>46247</v>
      </c>
      <c r="Y105" s="322">
        <v>46249</v>
      </c>
      <c r="Z105" s="323" t="s">
        <v>40</v>
      </c>
      <c r="AA105" s="359" t="s">
        <v>480</v>
      </c>
      <c r="AB105" s="324">
        <v>0</v>
      </c>
      <c r="AC105" s="326">
        <v>46250</v>
      </c>
      <c r="AD105" s="326">
        <v>46257</v>
      </c>
      <c r="AE105" s="327" t="s">
        <v>40</v>
      </c>
      <c r="AF105" s="365" t="s">
        <v>480</v>
      </c>
      <c r="AG105" s="328">
        <v>0</v>
      </c>
      <c r="AH105" s="330">
        <v>46266</v>
      </c>
      <c r="AI105" s="330">
        <v>46269</v>
      </c>
      <c r="AJ105" s="331" t="s">
        <v>165</v>
      </c>
      <c r="AK105" s="373" t="s">
        <v>480</v>
      </c>
      <c r="AL105" s="332">
        <v>0</v>
      </c>
      <c r="AM105" s="169">
        <v>46332</v>
      </c>
      <c r="AN105" s="169">
        <v>46338</v>
      </c>
      <c r="AO105" s="168" t="s">
        <v>40</v>
      </c>
      <c r="AP105" s="170">
        <v>0</v>
      </c>
      <c r="AQ105"/>
    </row>
    <row r="106" spans="1:43">
      <c r="A106" s="292" t="s">
        <v>670</v>
      </c>
      <c r="B106" s="299" t="s">
        <v>780</v>
      </c>
      <c r="C106" s="299">
        <v>1</v>
      </c>
      <c r="D106" s="149">
        <v>46195</v>
      </c>
      <c r="E106" s="149">
        <v>46200</v>
      </c>
      <c r="F106" s="308" t="s">
        <v>40</v>
      </c>
      <c r="G106" s="308" t="s">
        <v>479</v>
      </c>
      <c r="H106" s="372">
        <v>0</v>
      </c>
      <c r="I106" s="169">
        <v>46201</v>
      </c>
      <c r="J106" s="311">
        <v>46209</v>
      </c>
      <c r="K106" s="310" t="s">
        <v>40</v>
      </c>
      <c r="L106" s="344" t="s">
        <v>480</v>
      </c>
      <c r="M106" s="312">
        <v>0</v>
      </c>
      <c r="N106" s="314">
        <v>46219</v>
      </c>
      <c r="O106" s="314">
        <v>46231</v>
      </c>
      <c r="P106" s="315" t="s">
        <v>40</v>
      </c>
      <c r="Q106" s="349" t="s">
        <v>480</v>
      </c>
      <c r="R106" s="316">
        <v>0</v>
      </c>
      <c r="S106" s="318">
        <v>46232</v>
      </c>
      <c r="T106" s="318">
        <v>46238</v>
      </c>
      <c r="U106" s="319" t="s">
        <v>40</v>
      </c>
      <c r="V106" s="354" t="s">
        <v>480</v>
      </c>
      <c r="W106" s="320">
        <v>0</v>
      </c>
      <c r="X106" s="322">
        <v>46247</v>
      </c>
      <c r="Y106" s="322">
        <v>46249</v>
      </c>
      <c r="Z106" s="323" t="s">
        <v>40</v>
      </c>
      <c r="AA106" s="359" t="s">
        <v>480</v>
      </c>
      <c r="AB106" s="324">
        <v>0</v>
      </c>
      <c r="AC106" s="326">
        <v>46250</v>
      </c>
      <c r="AD106" s="326">
        <v>46257</v>
      </c>
      <c r="AE106" s="327" t="s">
        <v>40</v>
      </c>
      <c r="AF106" s="365" t="s">
        <v>480</v>
      </c>
      <c r="AG106" s="328">
        <v>0</v>
      </c>
      <c r="AH106" s="330">
        <v>46266</v>
      </c>
      <c r="AI106" s="330">
        <v>46269</v>
      </c>
      <c r="AJ106" s="331" t="s">
        <v>165</v>
      </c>
      <c r="AK106" s="373" t="s">
        <v>480</v>
      </c>
      <c r="AL106" s="332">
        <v>0</v>
      </c>
      <c r="AM106" s="169">
        <v>46332</v>
      </c>
      <c r="AN106" s="169">
        <v>46338</v>
      </c>
      <c r="AO106" s="168" t="s">
        <v>40</v>
      </c>
      <c r="AP106" s="170">
        <v>0</v>
      </c>
      <c r="AQ106"/>
    </row>
    <row r="107" spans="1:43">
      <c r="A107" s="292" t="s">
        <v>670</v>
      </c>
      <c r="B107" s="299" t="s">
        <v>781</v>
      </c>
      <c r="C107" s="299">
        <v>1</v>
      </c>
      <c r="D107" s="149">
        <v>46195</v>
      </c>
      <c r="E107" s="149">
        <v>46200</v>
      </c>
      <c r="F107" s="341" t="s">
        <v>34</v>
      </c>
      <c r="G107" s="308" t="s">
        <v>34</v>
      </c>
      <c r="H107" s="372">
        <v>1</v>
      </c>
      <c r="I107" s="169">
        <v>46201</v>
      </c>
      <c r="J107" s="342">
        <v>46209</v>
      </c>
      <c r="K107" s="344" t="s">
        <v>681</v>
      </c>
      <c r="L107" s="344" t="s">
        <v>681</v>
      </c>
      <c r="M107" s="346">
        <v>0.9</v>
      </c>
      <c r="N107" s="347">
        <v>46219</v>
      </c>
      <c r="O107" s="347">
        <v>46231</v>
      </c>
      <c r="P107" s="374" t="s">
        <v>682</v>
      </c>
      <c r="Q107" s="374" t="s">
        <v>683</v>
      </c>
      <c r="R107" s="350">
        <v>0.5</v>
      </c>
      <c r="S107" s="352">
        <v>46232</v>
      </c>
      <c r="T107" s="352">
        <v>46238</v>
      </c>
      <c r="U107" s="354" t="s">
        <v>40</v>
      </c>
      <c r="V107" s="354" t="s">
        <v>480</v>
      </c>
      <c r="W107" s="355">
        <v>0.9</v>
      </c>
      <c r="X107" s="357">
        <v>46247</v>
      </c>
      <c r="Y107" s="357">
        <v>46249</v>
      </c>
      <c r="Z107" s="359" t="s">
        <v>40</v>
      </c>
      <c r="AA107" s="359" t="s">
        <v>480</v>
      </c>
      <c r="AB107" s="360">
        <v>0</v>
      </c>
      <c r="AC107" s="362">
        <v>46250</v>
      </c>
      <c r="AD107" s="326">
        <v>46257</v>
      </c>
      <c r="AE107" s="327" t="s">
        <v>40</v>
      </c>
      <c r="AF107" s="365" t="s">
        <v>480</v>
      </c>
      <c r="AG107" s="366">
        <v>0</v>
      </c>
      <c r="AH107" s="368">
        <v>46266</v>
      </c>
      <c r="AI107" s="368">
        <v>46269</v>
      </c>
      <c r="AJ107" s="369" t="s">
        <v>165</v>
      </c>
      <c r="AK107" s="373" t="s">
        <v>480</v>
      </c>
      <c r="AL107" s="370">
        <v>0</v>
      </c>
      <c r="AM107" s="169">
        <v>46332</v>
      </c>
      <c r="AN107" s="169">
        <v>46338</v>
      </c>
      <c r="AO107" s="168" t="s">
        <v>40</v>
      </c>
      <c r="AP107" s="170">
        <v>0</v>
      </c>
      <c r="AQ107"/>
    </row>
    <row r="108" spans="1:43">
      <c r="A108" s="292" t="s">
        <v>670</v>
      </c>
      <c r="B108" s="299" t="s">
        <v>782</v>
      </c>
      <c r="C108" s="299">
        <v>1</v>
      </c>
      <c r="D108" s="149">
        <v>46195</v>
      </c>
      <c r="E108" s="149">
        <v>46200</v>
      </c>
      <c r="F108" s="341" t="s">
        <v>40</v>
      </c>
      <c r="G108" s="308" t="s">
        <v>479</v>
      </c>
      <c r="H108" s="372">
        <v>0</v>
      </c>
      <c r="I108" s="169">
        <v>46201</v>
      </c>
      <c r="J108" s="342">
        <v>46209</v>
      </c>
      <c r="K108" s="344" t="s">
        <v>40</v>
      </c>
      <c r="L108" s="344" t="s">
        <v>480</v>
      </c>
      <c r="M108" s="346">
        <v>0</v>
      </c>
      <c r="N108" s="347">
        <v>46219</v>
      </c>
      <c r="O108" s="347">
        <v>46231</v>
      </c>
      <c r="P108" s="349" t="s">
        <v>40</v>
      </c>
      <c r="Q108" s="349" t="s">
        <v>480</v>
      </c>
      <c r="R108" s="350">
        <v>0</v>
      </c>
      <c r="S108" s="352">
        <v>46232</v>
      </c>
      <c r="T108" s="352">
        <v>46238</v>
      </c>
      <c r="U108" s="354" t="s">
        <v>40</v>
      </c>
      <c r="V108" s="354" t="s">
        <v>480</v>
      </c>
      <c r="W108" s="355">
        <v>0</v>
      </c>
      <c r="X108" s="357">
        <v>46247</v>
      </c>
      <c r="Y108" s="357">
        <v>46249</v>
      </c>
      <c r="Z108" s="359" t="s">
        <v>40</v>
      </c>
      <c r="AA108" s="359" t="s">
        <v>480</v>
      </c>
      <c r="AB108" s="360">
        <v>0</v>
      </c>
      <c r="AC108" s="362">
        <v>46250</v>
      </c>
      <c r="AD108" s="326">
        <v>46257</v>
      </c>
      <c r="AE108" s="327" t="s">
        <v>40</v>
      </c>
      <c r="AF108" s="365" t="s">
        <v>480</v>
      </c>
      <c r="AG108" s="366">
        <v>0</v>
      </c>
      <c r="AH108" s="368">
        <v>46266</v>
      </c>
      <c r="AI108" s="368">
        <v>46269</v>
      </c>
      <c r="AJ108" s="369" t="s">
        <v>165</v>
      </c>
      <c r="AK108" s="373" t="s">
        <v>480</v>
      </c>
      <c r="AL108" s="370">
        <v>0</v>
      </c>
      <c r="AM108" s="169">
        <v>46332</v>
      </c>
      <c r="AN108" s="169">
        <v>46338</v>
      </c>
      <c r="AO108" s="168" t="s">
        <v>40</v>
      </c>
      <c r="AP108" s="170">
        <v>0</v>
      </c>
      <c r="AQ108"/>
    </row>
    <row r="109" spans="1:43">
      <c r="A109" s="292" t="s">
        <v>670</v>
      </c>
      <c r="B109" s="299" t="s">
        <v>783</v>
      </c>
      <c r="C109" s="299">
        <v>1</v>
      </c>
      <c r="D109" s="149">
        <v>46195</v>
      </c>
      <c r="E109" s="149">
        <v>46200</v>
      </c>
      <c r="F109" s="341" t="s">
        <v>40</v>
      </c>
      <c r="G109" s="308" t="s">
        <v>479</v>
      </c>
      <c r="H109" s="372">
        <v>0</v>
      </c>
      <c r="I109" s="169">
        <v>46201</v>
      </c>
      <c r="J109" s="342">
        <v>46209</v>
      </c>
      <c r="K109" s="344" t="s">
        <v>40</v>
      </c>
      <c r="L109" s="344" t="s">
        <v>480</v>
      </c>
      <c r="M109" s="346">
        <v>0</v>
      </c>
      <c r="N109" s="347">
        <v>46219</v>
      </c>
      <c r="O109" s="347">
        <v>46231</v>
      </c>
      <c r="P109" s="349" t="s">
        <v>40</v>
      </c>
      <c r="Q109" s="349" t="s">
        <v>480</v>
      </c>
      <c r="R109" s="350">
        <v>0</v>
      </c>
      <c r="S109" s="352">
        <v>46232</v>
      </c>
      <c r="T109" s="352">
        <v>46238</v>
      </c>
      <c r="U109" s="354" t="s">
        <v>40</v>
      </c>
      <c r="V109" s="354" t="s">
        <v>480</v>
      </c>
      <c r="W109" s="355">
        <v>0</v>
      </c>
      <c r="X109" s="357">
        <v>46247</v>
      </c>
      <c r="Y109" s="357">
        <v>46249</v>
      </c>
      <c r="Z109" s="359" t="s">
        <v>40</v>
      </c>
      <c r="AA109" s="359" t="s">
        <v>480</v>
      </c>
      <c r="AB109" s="360">
        <v>0</v>
      </c>
      <c r="AC109" s="362">
        <v>46250</v>
      </c>
      <c r="AD109" s="326">
        <v>46257</v>
      </c>
      <c r="AE109" s="327" t="s">
        <v>40</v>
      </c>
      <c r="AF109" s="365" t="s">
        <v>480</v>
      </c>
      <c r="AG109" s="366">
        <v>0</v>
      </c>
      <c r="AH109" s="368">
        <v>46266</v>
      </c>
      <c r="AI109" s="368">
        <v>46269</v>
      </c>
      <c r="AJ109" s="369" t="s">
        <v>165</v>
      </c>
      <c r="AK109" s="373" t="s">
        <v>480</v>
      </c>
      <c r="AL109" s="370">
        <v>0</v>
      </c>
      <c r="AM109" s="169">
        <v>46332</v>
      </c>
      <c r="AN109" s="169">
        <v>46338</v>
      </c>
      <c r="AO109" s="168" t="s">
        <v>40</v>
      </c>
      <c r="AP109" s="170">
        <v>0</v>
      </c>
      <c r="AQ109"/>
    </row>
    <row r="110" spans="1:43">
      <c r="A110" s="292" t="s">
        <v>670</v>
      </c>
      <c r="B110" s="299" t="s">
        <v>784</v>
      </c>
      <c r="C110" s="299">
        <v>1</v>
      </c>
      <c r="D110" s="149">
        <v>46195</v>
      </c>
      <c r="E110" s="149">
        <v>46200</v>
      </c>
      <c r="F110" s="341" t="s">
        <v>40</v>
      </c>
      <c r="G110" s="308" t="s">
        <v>479</v>
      </c>
      <c r="H110" s="372">
        <v>0</v>
      </c>
      <c r="I110" s="169">
        <v>46201</v>
      </c>
      <c r="J110" s="342">
        <v>46209</v>
      </c>
      <c r="K110" s="344" t="s">
        <v>40</v>
      </c>
      <c r="L110" s="344" t="s">
        <v>480</v>
      </c>
      <c r="M110" s="346">
        <v>0</v>
      </c>
      <c r="N110" s="347">
        <v>46219</v>
      </c>
      <c r="O110" s="347">
        <v>46231</v>
      </c>
      <c r="P110" s="349" t="s">
        <v>40</v>
      </c>
      <c r="Q110" s="349" t="s">
        <v>480</v>
      </c>
      <c r="R110" s="350">
        <v>0</v>
      </c>
      <c r="S110" s="352">
        <v>46232</v>
      </c>
      <c r="T110" s="352">
        <v>46238</v>
      </c>
      <c r="U110" s="354" t="s">
        <v>40</v>
      </c>
      <c r="V110" s="354" t="s">
        <v>480</v>
      </c>
      <c r="W110" s="355">
        <v>0</v>
      </c>
      <c r="X110" s="357">
        <v>46247</v>
      </c>
      <c r="Y110" s="357">
        <v>46249</v>
      </c>
      <c r="Z110" s="359" t="s">
        <v>40</v>
      </c>
      <c r="AA110" s="359" t="s">
        <v>480</v>
      </c>
      <c r="AB110" s="360">
        <v>0</v>
      </c>
      <c r="AC110" s="362">
        <v>46250</v>
      </c>
      <c r="AD110" s="326">
        <v>46257</v>
      </c>
      <c r="AE110" s="327" t="s">
        <v>40</v>
      </c>
      <c r="AF110" s="365" t="s">
        <v>480</v>
      </c>
      <c r="AG110" s="366">
        <v>0</v>
      </c>
      <c r="AH110" s="368">
        <v>46266</v>
      </c>
      <c r="AI110" s="368">
        <v>46269</v>
      </c>
      <c r="AJ110" s="369" t="s">
        <v>165</v>
      </c>
      <c r="AK110" s="373" t="s">
        <v>480</v>
      </c>
      <c r="AL110" s="370">
        <v>0</v>
      </c>
      <c r="AM110" s="169">
        <v>46332</v>
      </c>
      <c r="AN110" s="169">
        <v>46338</v>
      </c>
      <c r="AO110" s="168" t="s">
        <v>40</v>
      </c>
      <c r="AP110" s="170">
        <v>0</v>
      </c>
      <c r="AQ110"/>
    </row>
    <row r="111" spans="1:43">
      <c r="A111" s="292" t="s">
        <v>670</v>
      </c>
      <c r="B111" s="299" t="s">
        <v>785</v>
      </c>
      <c r="C111" s="299">
        <v>1</v>
      </c>
      <c r="D111" s="149">
        <v>46195</v>
      </c>
      <c r="E111" s="149">
        <v>46200</v>
      </c>
      <c r="F111" s="308" t="s">
        <v>40</v>
      </c>
      <c r="G111" s="308" t="s">
        <v>479</v>
      </c>
      <c r="H111" s="372">
        <v>0</v>
      </c>
      <c r="I111" s="169">
        <v>46201</v>
      </c>
      <c r="J111" s="311">
        <v>46209</v>
      </c>
      <c r="K111" s="310" t="s">
        <v>40</v>
      </c>
      <c r="L111" s="344" t="s">
        <v>480</v>
      </c>
      <c r="M111" s="312">
        <v>0</v>
      </c>
      <c r="N111" s="314">
        <v>46219</v>
      </c>
      <c r="O111" s="314">
        <v>46231</v>
      </c>
      <c r="P111" s="315" t="s">
        <v>40</v>
      </c>
      <c r="Q111" s="349" t="s">
        <v>480</v>
      </c>
      <c r="R111" s="316">
        <v>0</v>
      </c>
      <c r="S111" s="318">
        <v>46232</v>
      </c>
      <c r="T111" s="318">
        <v>46238</v>
      </c>
      <c r="U111" s="319" t="s">
        <v>40</v>
      </c>
      <c r="V111" s="354" t="s">
        <v>480</v>
      </c>
      <c r="W111" s="320">
        <v>0</v>
      </c>
      <c r="X111" s="322">
        <v>46247</v>
      </c>
      <c r="Y111" s="322">
        <v>46249</v>
      </c>
      <c r="Z111" s="323" t="s">
        <v>40</v>
      </c>
      <c r="AA111" s="359" t="s">
        <v>480</v>
      </c>
      <c r="AB111" s="324">
        <v>0</v>
      </c>
      <c r="AC111" s="326">
        <v>46250</v>
      </c>
      <c r="AD111" s="326">
        <v>46257</v>
      </c>
      <c r="AE111" s="327" t="s">
        <v>40</v>
      </c>
      <c r="AF111" s="365" t="s">
        <v>480</v>
      </c>
      <c r="AG111" s="328">
        <v>0</v>
      </c>
      <c r="AH111" s="330">
        <v>46266</v>
      </c>
      <c r="AI111" s="330">
        <v>46269</v>
      </c>
      <c r="AJ111" s="331" t="s">
        <v>165</v>
      </c>
      <c r="AK111" s="373" t="s">
        <v>480</v>
      </c>
      <c r="AL111" s="332">
        <v>0</v>
      </c>
      <c r="AM111" s="169">
        <v>46332</v>
      </c>
      <c r="AN111" s="169">
        <v>46338</v>
      </c>
      <c r="AO111" s="168" t="s">
        <v>40</v>
      </c>
      <c r="AP111" s="170">
        <v>0</v>
      </c>
      <c r="AQ111"/>
    </row>
    <row r="112" spans="1:43">
      <c r="A112" s="292" t="s">
        <v>670</v>
      </c>
      <c r="B112" s="299" t="s">
        <v>786</v>
      </c>
      <c r="C112" s="299">
        <v>1</v>
      </c>
      <c r="D112" s="149">
        <v>46195</v>
      </c>
      <c r="E112" s="149">
        <v>46200</v>
      </c>
      <c r="F112" s="308" t="s">
        <v>40</v>
      </c>
      <c r="G112" s="308" t="s">
        <v>479</v>
      </c>
      <c r="H112" s="372">
        <v>0</v>
      </c>
      <c r="I112" s="169">
        <v>46201</v>
      </c>
      <c r="J112" s="311">
        <v>46209</v>
      </c>
      <c r="K112" s="310" t="s">
        <v>40</v>
      </c>
      <c r="L112" s="344" t="s">
        <v>480</v>
      </c>
      <c r="M112" s="312">
        <v>0</v>
      </c>
      <c r="N112" s="314">
        <v>46219</v>
      </c>
      <c r="O112" s="314">
        <v>46231</v>
      </c>
      <c r="P112" s="315" t="s">
        <v>40</v>
      </c>
      <c r="Q112" s="349" t="s">
        <v>480</v>
      </c>
      <c r="R112" s="316">
        <v>0</v>
      </c>
      <c r="S112" s="318">
        <v>46232</v>
      </c>
      <c r="T112" s="318">
        <v>46238</v>
      </c>
      <c r="U112" s="319" t="s">
        <v>40</v>
      </c>
      <c r="V112" s="354" t="s">
        <v>480</v>
      </c>
      <c r="W112" s="320">
        <v>0</v>
      </c>
      <c r="X112" s="322">
        <v>46247</v>
      </c>
      <c r="Y112" s="322">
        <v>46249</v>
      </c>
      <c r="Z112" s="323" t="s">
        <v>40</v>
      </c>
      <c r="AA112" s="359" t="s">
        <v>480</v>
      </c>
      <c r="AB112" s="324">
        <v>0</v>
      </c>
      <c r="AC112" s="326">
        <v>46250</v>
      </c>
      <c r="AD112" s="326">
        <v>46257</v>
      </c>
      <c r="AE112" s="327" t="s">
        <v>40</v>
      </c>
      <c r="AF112" s="365" t="s">
        <v>480</v>
      </c>
      <c r="AG112" s="328">
        <v>0</v>
      </c>
      <c r="AH112" s="330">
        <v>46266</v>
      </c>
      <c r="AI112" s="330">
        <v>46269</v>
      </c>
      <c r="AJ112" s="331" t="s">
        <v>165</v>
      </c>
      <c r="AK112" s="373" t="s">
        <v>480</v>
      </c>
      <c r="AL112" s="332">
        <v>0</v>
      </c>
      <c r="AM112" s="169">
        <v>46332</v>
      </c>
      <c r="AN112" s="169">
        <v>46338</v>
      </c>
      <c r="AO112" s="168" t="s">
        <v>40</v>
      </c>
      <c r="AP112" s="170">
        <v>0</v>
      </c>
      <c r="AQ112"/>
    </row>
    <row r="113" spans="1:43">
      <c r="A113" s="292" t="s">
        <v>670</v>
      </c>
      <c r="B113" s="299" t="s">
        <v>787</v>
      </c>
      <c r="C113" s="299">
        <v>1</v>
      </c>
      <c r="D113" s="149">
        <v>46195</v>
      </c>
      <c r="E113" s="149">
        <v>46200</v>
      </c>
      <c r="F113" s="308" t="s">
        <v>40</v>
      </c>
      <c r="G113" s="308" t="s">
        <v>479</v>
      </c>
      <c r="H113" s="372">
        <v>0</v>
      </c>
      <c r="I113" s="169">
        <v>46201</v>
      </c>
      <c r="J113" s="311">
        <v>46209</v>
      </c>
      <c r="K113" s="310" t="s">
        <v>40</v>
      </c>
      <c r="L113" s="344" t="s">
        <v>480</v>
      </c>
      <c r="M113" s="312">
        <v>0</v>
      </c>
      <c r="N113" s="314">
        <v>46219</v>
      </c>
      <c r="O113" s="314">
        <v>46231</v>
      </c>
      <c r="P113" s="315" t="s">
        <v>40</v>
      </c>
      <c r="Q113" s="349" t="s">
        <v>480</v>
      </c>
      <c r="R113" s="316">
        <v>0</v>
      </c>
      <c r="S113" s="318">
        <v>46232</v>
      </c>
      <c r="T113" s="318">
        <v>46238</v>
      </c>
      <c r="U113" s="319" t="s">
        <v>40</v>
      </c>
      <c r="V113" s="354" t="s">
        <v>480</v>
      </c>
      <c r="W113" s="320">
        <v>0</v>
      </c>
      <c r="X113" s="322">
        <v>46247</v>
      </c>
      <c r="Y113" s="322">
        <v>46249</v>
      </c>
      <c r="Z113" s="323" t="s">
        <v>40</v>
      </c>
      <c r="AA113" s="359" t="s">
        <v>480</v>
      </c>
      <c r="AB113" s="324">
        <v>0</v>
      </c>
      <c r="AC113" s="326">
        <v>46250</v>
      </c>
      <c r="AD113" s="326">
        <v>46257</v>
      </c>
      <c r="AE113" s="327" t="s">
        <v>40</v>
      </c>
      <c r="AF113" s="365" t="s">
        <v>480</v>
      </c>
      <c r="AG113" s="328">
        <v>0</v>
      </c>
      <c r="AH113" s="330">
        <v>46266</v>
      </c>
      <c r="AI113" s="330">
        <v>46269</v>
      </c>
      <c r="AJ113" s="331" t="s">
        <v>165</v>
      </c>
      <c r="AK113" s="373" t="s">
        <v>480</v>
      </c>
      <c r="AL113" s="332">
        <v>0</v>
      </c>
      <c r="AM113" s="169">
        <v>46332</v>
      </c>
      <c r="AN113" s="169">
        <v>46338</v>
      </c>
      <c r="AO113" s="168" t="s">
        <v>40</v>
      </c>
      <c r="AP113" s="170">
        <v>0</v>
      </c>
      <c r="AQ113"/>
    </row>
    <row r="114" spans="1:43">
      <c r="A114" s="292" t="s">
        <v>670</v>
      </c>
      <c r="B114" s="299" t="s">
        <v>788</v>
      </c>
      <c r="C114" s="299">
        <v>1</v>
      </c>
      <c r="D114" s="149">
        <v>46195</v>
      </c>
      <c r="E114" s="149">
        <v>46200</v>
      </c>
      <c r="F114" s="341" t="s">
        <v>40</v>
      </c>
      <c r="G114" s="308" t="s">
        <v>479</v>
      </c>
      <c r="H114" s="372">
        <v>0</v>
      </c>
      <c r="I114" s="169">
        <v>46201</v>
      </c>
      <c r="J114" s="342">
        <v>46209</v>
      </c>
      <c r="K114" s="344" t="s">
        <v>40</v>
      </c>
      <c r="L114" s="344" t="s">
        <v>480</v>
      </c>
      <c r="M114" s="346">
        <v>0</v>
      </c>
      <c r="N114" s="347">
        <v>46219</v>
      </c>
      <c r="O114" s="347">
        <v>46231</v>
      </c>
      <c r="P114" s="349" t="s">
        <v>40</v>
      </c>
      <c r="Q114" s="349" t="s">
        <v>480</v>
      </c>
      <c r="R114" s="350">
        <v>0</v>
      </c>
      <c r="S114" s="352">
        <v>46232</v>
      </c>
      <c r="T114" s="352">
        <v>46238</v>
      </c>
      <c r="U114" s="354" t="s">
        <v>40</v>
      </c>
      <c r="V114" s="354" t="s">
        <v>480</v>
      </c>
      <c r="W114" s="355">
        <v>0</v>
      </c>
      <c r="X114" s="357">
        <v>46247</v>
      </c>
      <c r="Y114" s="357">
        <v>46249</v>
      </c>
      <c r="Z114" s="359" t="s">
        <v>40</v>
      </c>
      <c r="AA114" s="359" t="s">
        <v>480</v>
      </c>
      <c r="AB114" s="360">
        <v>0</v>
      </c>
      <c r="AC114" s="362">
        <v>46250</v>
      </c>
      <c r="AD114" s="326">
        <v>46257</v>
      </c>
      <c r="AE114" s="327" t="s">
        <v>40</v>
      </c>
      <c r="AF114" s="365" t="s">
        <v>480</v>
      </c>
      <c r="AG114" s="366">
        <v>0</v>
      </c>
      <c r="AH114" s="368">
        <v>46266</v>
      </c>
      <c r="AI114" s="368">
        <v>46269</v>
      </c>
      <c r="AJ114" s="369" t="s">
        <v>165</v>
      </c>
      <c r="AK114" s="373" t="s">
        <v>480</v>
      </c>
      <c r="AL114" s="370">
        <v>0</v>
      </c>
      <c r="AM114" s="169">
        <v>46332</v>
      </c>
      <c r="AN114" s="169">
        <v>46338</v>
      </c>
      <c r="AO114" s="168" t="s">
        <v>40</v>
      </c>
      <c r="AP114" s="170">
        <v>0</v>
      </c>
      <c r="AQ114"/>
    </row>
    <row r="115" spans="1:43">
      <c r="A115" s="292" t="s">
        <v>670</v>
      </c>
      <c r="B115" s="299" t="s">
        <v>789</v>
      </c>
      <c r="C115" s="299">
        <v>1</v>
      </c>
      <c r="D115" s="149">
        <v>46195</v>
      </c>
      <c r="E115" s="149">
        <v>46200</v>
      </c>
      <c r="F115" s="308" t="s">
        <v>40</v>
      </c>
      <c r="G115" s="308" t="s">
        <v>479</v>
      </c>
      <c r="H115" s="372">
        <v>0</v>
      </c>
      <c r="I115" s="169">
        <v>46201</v>
      </c>
      <c r="J115" s="311">
        <v>46209</v>
      </c>
      <c r="K115" s="310" t="s">
        <v>40</v>
      </c>
      <c r="L115" s="344" t="s">
        <v>480</v>
      </c>
      <c r="M115" s="312">
        <v>0</v>
      </c>
      <c r="N115" s="314">
        <v>46219</v>
      </c>
      <c r="O115" s="314">
        <v>46231</v>
      </c>
      <c r="P115" s="315" t="s">
        <v>40</v>
      </c>
      <c r="Q115" s="349" t="s">
        <v>480</v>
      </c>
      <c r="R115" s="316">
        <v>0</v>
      </c>
      <c r="S115" s="318">
        <v>46232</v>
      </c>
      <c r="T115" s="318">
        <v>46238</v>
      </c>
      <c r="U115" s="319" t="s">
        <v>40</v>
      </c>
      <c r="V115" s="354" t="s">
        <v>480</v>
      </c>
      <c r="W115" s="320">
        <v>0</v>
      </c>
      <c r="X115" s="322">
        <v>46247</v>
      </c>
      <c r="Y115" s="322">
        <v>46249</v>
      </c>
      <c r="Z115" s="323" t="s">
        <v>40</v>
      </c>
      <c r="AA115" s="359" t="s">
        <v>480</v>
      </c>
      <c r="AB115" s="324">
        <v>0</v>
      </c>
      <c r="AC115" s="326">
        <v>46250</v>
      </c>
      <c r="AD115" s="326">
        <v>46257</v>
      </c>
      <c r="AE115" s="327" t="s">
        <v>40</v>
      </c>
      <c r="AF115" s="365" t="s">
        <v>480</v>
      </c>
      <c r="AG115" s="328">
        <v>0</v>
      </c>
      <c r="AH115" s="330">
        <v>46266</v>
      </c>
      <c r="AI115" s="330">
        <v>46269</v>
      </c>
      <c r="AJ115" s="331" t="s">
        <v>165</v>
      </c>
      <c r="AK115" s="373" t="s">
        <v>480</v>
      </c>
      <c r="AL115" s="332">
        <v>0</v>
      </c>
      <c r="AM115" s="169">
        <v>46332</v>
      </c>
      <c r="AN115" s="169">
        <v>46338</v>
      </c>
      <c r="AO115" s="168" t="s">
        <v>40</v>
      </c>
      <c r="AP115" s="170">
        <v>0</v>
      </c>
      <c r="AQ115"/>
    </row>
    <row r="116" spans="1:43">
      <c r="A116" s="292" t="s">
        <v>670</v>
      </c>
      <c r="B116" s="299" t="s">
        <v>790</v>
      </c>
      <c r="C116" s="299">
        <v>1</v>
      </c>
      <c r="D116" s="149">
        <v>46195</v>
      </c>
      <c r="E116" s="149">
        <v>46200</v>
      </c>
      <c r="F116" s="341" t="s">
        <v>40</v>
      </c>
      <c r="G116" s="308" t="s">
        <v>479</v>
      </c>
      <c r="H116" s="372">
        <v>0</v>
      </c>
      <c r="I116" s="169">
        <v>46201</v>
      </c>
      <c r="J116" s="342">
        <v>46209</v>
      </c>
      <c r="K116" s="344" t="s">
        <v>40</v>
      </c>
      <c r="L116" s="344" t="s">
        <v>480</v>
      </c>
      <c r="M116" s="346">
        <v>0</v>
      </c>
      <c r="N116" s="347">
        <v>46219</v>
      </c>
      <c r="O116" s="347">
        <v>46231</v>
      </c>
      <c r="P116" s="349" t="s">
        <v>40</v>
      </c>
      <c r="Q116" s="349" t="s">
        <v>480</v>
      </c>
      <c r="R116" s="350">
        <v>0</v>
      </c>
      <c r="S116" s="352">
        <v>46232</v>
      </c>
      <c r="T116" s="352">
        <v>46238</v>
      </c>
      <c r="U116" s="354" t="s">
        <v>40</v>
      </c>
      <c r="V116" s="354" t="s">
        <v>480</v>
      </c>
      <c r="W116" s="355">
        <v>0</v>
      </c>
      <c r="X116" s="357">
        <v>46247</v>
      </c>
      <c r="Y116" s="357">
        <v>46249</v>
      </c>
      <c r="Z116" s="359" t="s">
        <v>40</v>
      </c>
      <c r="AA116" s="359" t="s">
        <v>480</v>
      </c>
      <c r="AB116" s="360">
        <v>0</v>
      </c>
      <c r="AC116" s="362">
        <v>46250</v>
      </c>
      <c r="AD116" s="326">
        <v>46257</v>
      </c>
      <c r="AE116" s="327" t="s">
        <v>40</v>
      </c>
      <c r="AF116" s="365" t="s">
        <v>480</v>
      </c>
      <c r="AG116" s="366">
        <v>0</v>
      </c>
      <c r="AH116" s="368">
        <v>46266</v>
      </c>
      <c r="AI116" s="368">
        <v>46269</v>
      </c>
      <c r="AJ116" s="369" t="s">
        <v>165</v>
      </c>
      <c r="AK116" s="373" t="s">
        <v>480</v>
      </c>
      <c r="AL116" s="370">
        <v>0</v>
      </c>
      <c r="AM116" s="169">
        <v>46332</v>
      </c>
      <c r="AN116" s="169">
        <v>46338</v>
      </c>
      <c r="AO116" s="168" t="s">
        <v>40</v>
      </c>
      <c r="AP116" s="170">
        <v>0</v>
      </c>
      <c r="AQ116"/>
    </row>
    <row r="117" spans="1:43">
      <c r="A117" s="292" t="s">
        <v>670</v>
      </c>
      <c r="B117" s="299" t="s">
        <v>791</v>
      </c>
      <c r="C117" s="299">
        <v>1</v>
      </c>
      <c r="D117" s="149">
        <v>46195</v>
      </c>
      <c r="E117" s="149">
        <v>46200</v>
      </c>
      <c r="F117" s="341" t="s">
        <v>40</v>
      </c>
      <c r="G117" s="308" t="s">
        <v>792</v>
      </c>
      <c r="H117" s="372">
        <v>0</v>
      </c>
      <c r="I117" s="169">
        <v>46201</v>
      </c>
      <c r="J117" s="342">
        <v>46209</v>
      </c>
      <c r="K117" s="344" t="s">
        <v>40</v>
      </c>
      <c r="L117" s="344" t="s">
        <v>793</v>
      </c>
      <c r="M117" s="346">
        <v>0</v>
      </c>
      <c r="N117" s="347">
        <v>46219</v>
      </c>
      <c r="O117" s="347">
        <v>46231</v>
      </c>
      <c r="P117" s="349" t="s">
        <v>40</v>
      </c>
      <c r="Q117" s="349" t="s">
        <v>794</v>
      </c>
      <c r="R117" s="350">
        <v>0</v>
      </c>
      <c r="S117" s="352">
        <v>46232</v>
      </c>
      <c r="T117" s="352">
        <v>46238</v>
      </c>
      <c r="U117" s="354" t="s">
        <v>40</v>
      </c>
      <c r="V117" s="354" t="s">
        <v>795</v>
      </c>
      <c r="W117" s="355">
        <v>0</v>
      </c>
      <c r="X117" s="357">
        <v>46247</v>
      </c>
      <c r="Y117" s="357">
        <v>46249</v>
      </c>
      <c r="Z117" s="359" t="s">
        <v>40</v>
      </c>
      <c r="AA117" s="359" t="s">
        <v>796</v>
      </c>
      <c r="AB117" s="360">
        <v>0</v>
      </c>
      <c r="AC117" s="362">
        <v>46250</v>
      </c>
      <c r="AD117" s="326">
        <v>46257</v>
      </c>
      <c r="AE117" s="327" t="s">
        <v>40</v>
      </c>
      <c r="AF117" s="365" t="s">
        <v>795</v>
      </c>
      <c r="AG117" s="366">
        <v>0</v>
      </c>
      <c r="AH117" s="368">
        <v>46266</v>
      </c>
      <c r="AI117" s="368">
        <v>46269</v>
      </c>
      <c r="AJ117" s="369" t="s">
        <v>165</v>
      </c>
      <c r="AK117" s="373" t="s">
        <v>795</v>
      </c>
      <c r="AL117" s="370">
        <v>0</v>
      </c>
      <c r="AM117" s="169">
        <v>46332</v>
      </c>
      <c r="AN117" s="169">
        <v>46338</v>
      </c>
      <c r="AO117" s="168" t="s">
        <v>40</v>
      </c>
      <c r="AP117" s="170">
        <v>0</v>
      </c>
      <c r="AQ117"/>
    </row>
    <row r="118" spans="1:43">
      <c r="A118" s="292" t="s">
        <v>670</v>
      </c>
      <c r="B118" s="299" t="s">
        <v>797</v>
      </c>
      <c r="C118" s="299">
        <v>1</v>
      </c>
      <c r="D118" s="149">
        <v>46195</v>
      </c>
      <c r="E118" s="149">
        <v>46200</v>
      </c>
      <c r="F118" s="341" t="s">
        <v>40</v>
      </c>
      <c r="G118" s="308" t="s">
        <v>792</v>
      </c>
      <c r="H118" s="372">
        <v>0</v>
      </c>
      <c r="I118" s="169">
        <v>46201</v>
      </c>
      <c r="J118" s="342">
        <v>46209</v>
      </c>
      <c r="K118" s="344" t="s">
        <v>40</v>
      </c>
      <c r="L118" s="344" t="s">
        <v>793</v>
      </c>
      <c r="M118" s="346">
        <v>0</v>
      </c>
      <c r="N118" s="347">
        <v>46219</v>
      </c>
      <c r="O118" s="347">
        <v>46231</v>
      </c>
      <c r="P118" s="349" t="s">
        <v>40</v>
      </c>
      <c r="Q118" s="349" t="s">
        <v>794</v>
      </c>
      <c r="R118" s="350">
        <v>0</v>
      </c>
      <c r="S118" s="352">
        <v>46232</v>
      </c>
      <c r="T118" s="352">
        <v>46238</v>
      </c>
      <c r="U118" s="354" t="s">
        <v>40</v>
      </c>
      <c r="V118" s="354" t="s">
        <v>795</v>
      </c>
      <c r="W118" s="355">
        <v>0</v>
      </c>
      <c r="X118" s="357">
        <v>46247</v>
      </c>
      <c r="Y118" s="357">
        <v>46249</v>
      </c>
      <c r="Z118" s="359" t="s">
        <v>40</v>
      </c>
      <c r="AA118" s="359" t="s">
        <v>796</v>
      </c>
      <c r="AB118" s="360">
        <v>0</v>
      </c>
      <c r="AC118" s="362">
        <v>46250</v>
      </c>
      <c r="AD118" s="326">
        <v>46257</v>
      </c>
      <c r="AE118" s="327" t="s">
        <v>40</v>
      </c>
      <c r="AF118" s="365" t="s">
        <v>795</v>
      </c>
      <c r="AG118" s="366">
        <v>0</v>
      </c>
      <c r="AH118" s="368">
        <v>46266</v>
      </c>
      <c r="AI118" s="368">
        <v>46269</v>
      </c>
      <c r="AJ118" s="369" t="s">
        <v>165</v>
      </c>
      <c r="AK118" s="373" t="s">
        <v>795</v>
      </c>
      <c r="AL118" s="370">
        <v>0</v>
      </c>
      <c r="AM118" s="169">
        <v>46332</v>
      </c>
      <c r="AN118" s="169">
        <v>46338</v>
      </c>
      <c r="AO118" s="168" t="s">
        <v>40</v>
      </c>
      <c r="AP118" s="170">
        <v>0</v>
      </c>
      <c r="AQ118"/>
    </row>
    <row r="119" spans="1:43">
      <c r="A119" s="292" t="s">
        <v>670</v>
      </c>
      <c r="B119" s="299" t="s">
        <v>798</v>
      </c>
      <c r="C119" s="299">
        <v>1</v>
      </c>
      <c r="D119" s="149">
        <v>46195</v>
      </c>
      <c r="E119" s="149">
        <v>46200</v>
      </c>
      <c r="F119" s="341" t="s">
        <v>40</v>
      </c>
      <c r="G119" s="308" t="s">
        <v>792</v>
      </c>
      <c r="H119" s="372">
        <v>0</v>
      </c>
      <c r="I119" s="169">
        <v>46201</v>
      </c>
      <c r="J119" s="342">
        <v>46209</v>
      </c>
      <c r="K119" s="344" t="s">
        <v>40</v>
      </c>
      <c r="L119" s="344" t="s">
        <v>793</v>
      </c>
      <c r="M119" s="346">
        <v>0</v>
      </c>
      <c r="N119" s="347">
        <v>46219</v>
      </c>
      <c r="O119" s="347">
        <v>46231</v>
      </c>
      <c r="P119" s="349" t="s">
        <v>40</v>
      </c>
      <c r="Q119" s="349" t="s">
        <v>794</v>
      </c>
      <c r="R119" s="350">
        <v>0</v>
      </c>
      <c r="S119" s="352">
        <v>46232</v>
      </c>
      <c r="T119" s="352">
        <v>46238</v>
      </c>
      <c r="U119" s="354" t="s">
        <v>40</v>
      </c>
      <c r="V119" s="354" t="s">
        <v>795</v>
      </c>
      <c r="W119" s="355">
        <v>0</v>
      </c>
      <c r="X119" s="357">
        <v>46247</v>
      </c>
      <c r="Y119" s="357">
        <v>46249</v>
      </c>
      <c r="Z119" s="359" t="s">
        <v>40</v>
      </c>
      <c r="AA119" s="359" t="s">
        <v>796</v>
      </c>
      <c r="AB119" s="360">
        <v>0</v>
      </c>
      <c r="AC119" s="362">
        <v>46250</v>
      </c>
      <c r="AD119" s="326">
        <v>46257</v>
      </c>
      <c r="AE119" s="327" t="s">
        <v>40</v>
      </c>
      <c r="AF119" s="365" t="s">
        <v>795</v>
      </c>
      <c r="AG119" s="366">
        <v>0</v>
      </c>
      <c r="AH119" s="368">
        <v>46266</v>
      </c>
      <c r="AI119" s="368">
        <v>46269</v>
      </c>
      <c r="AJ119" s="369" t="s">
        <v>165</v>
      </c>
      <c r="AK119" s="373" t="s">
        <v>795</v>
      </c>
      <c r="AL119" s="370">
        <v>0</v>
      </c>
      <c r="AM119" s="169">
        <v>46332</v>
      </c>
      <c r="AN119" s="169">
        <v>46338</v>
      </c>
      <c r="AO119" s="168" t="s">
        <v>40</v>
      </c>
      <c r="AP119" s="170">
        <v>0</v>
      </c>
      <c r="AQ119"/>
    </row>
    <row r="120" spans="1:43">
      <c r="A120" s="292" t="s">
        <v>670</v>
      </c>
      <c r="B120" s="299" t="s">
        <v>799</v>
      </c>
      <c r="C120" s="299">
        <v>1</v>
      </c>
      <c r="D120" s="149">
        <v>46195</v>
      </c>
      <c r="E120" s="149">
        <v>46200</v>
      </c>
      <c r="F120" s="341" t="s">
        <v>40</v>
      </c>
      <c r="G120" s="308" t="s">
        <v>792</v>
      </c>
      <c r="H120" s="372">
        <v>0</v>
      </c>
      <c r="I120" s="169">
        <v>46201</v>
      </c>
      <c r="J120" s="342">
        <v>46209</v>
      </c>
      <c r="K120" s="344" t="s">
        <v>40</v>
      </c>
      <c r="L120" s="344" t="s">
        <v>793</v>
      </c>
      <c r="M120" s="346">
        <v>0</v>
      </c>
      <c r="N120" s="347">
        <v>46219</v>
      </c>
      <c r="O120" s="347">
        <v>46231</v>
      </c>
      <c r="P120" s="349" t="s">
        <v>40</v>
      </c>
      <c r="Q120" s="349" t="s">
        <v>794</v>
      </c>
      <c r="R120" s="350">
        <v>0</v>
      </c>
      <c r="S120" s="352">
        <v>46232</v>
      </c>
      <c r="T120" s="352">
        <v>46238</v>
      </c>
      <c r="U120" s="354" t="s">
        <v>40</v>
      </c>
      <c r="V120" s="354" t="s">
        <v>795</v>
      </c>
      <c r="W120" s="355">
        <v>0</v>
      </c>
      <c r="X120" s="357">
        <v>46247</v>
      </c>
      <c r="Y120" s="357">
        <v>46249</v>
      </c>
      <c r="Z120" s="359" t="s">
        <v>40</v>
      </c>
      <c r="AA120" s="359" t="s">
        <v>796</v>
      </c>
      <c r="AB120" s="360">
        <v>0</v>
      </c>
      <c r="AC120" s="362">
        <v>46250</v>
      </c>
      <c r="AD120" s="326">
        <v>46257</v>
      </c>
      <c r="AE120" s="327" t="s">
        <v>40</v>
      </c>
      <c r="AF120" s="365" t="s">
        <v>795</v>
      </c>
      <c r="AG120" s="366">
        <v>0</v>
      </c>
      <c r="AH120" s="368">
        <v>46266</v>
      </c>
      <c r="AI120" s="368">
        <v>46269</v>
      </c>
      <c r="AJ120" s="369" t="s">
        <v>165</v>
      </c>
      <c r="AK120" s="373" t="s">
        <v>795</v>
      </c>
      <c r="AL120" s="370">
        <v>0</v>
      </c>
      <c r="AM120" s="168" t="s">
        <v>422</v>
      </c>
      <c r="AN120" s="168" t="s">
        <v>422</v>
      </c>
      <c r="AO120" s="168" t="s">
        <v>40</v>
      </c>
      <c r="AP120" s="170">
        <v>0</v>
      </c>
      <c r="AQ120"/>
    </row>
    <row r="121" spans="1:43">
      <c r="A121" s="292" t="s">
        <v>670</v>
      </c>
      <c r="B121" s="299" t="s">
        <v>800</v>
      </c>
      <c r="C121" s="299">
        <v>1</v>
      </c>
      <c r="D121" s="149">
        <v>46195</v>
      </c>
      <c r="E121" s="149">
        <v>46200</v>
      </c>
      <c r="F121" s="341" t="s">
        <v>40</v>
      </c>
      <c r="G121" s="308" t="s">
        <v>792</v>
      </c>
      <c r="H121" s="372">
        <v>0</v>
      </c>
      <c r="I121" s="169">
        <v>46201</v>
      </c>
      <c r="J121" s="342">
        <v>46209</v>
      </c>
      <c r="K121" s="344" t="s">
        <v>40</v>
      </c>
      <c r="L121" s="344" t="s">
        <v>793</v>
      </c>
      <c r="M121" s="346">
        <v>0</v>
      </c>
      <c r="N121" s="347">
        <v>46219</v>
      </c>
      <c r="O121" s="347">
        <v>46231</v>
      </c>
      <c r="P121" s="349" t="s">
        <v>40</v>
      </c>
      <c r="Q121" s="349" t="s">
        <v>794</v>
      </c>
      <c r="R121" s="350">
        <v>0</v>
      </c>
      <c r="S121" s="352">
        <v>46232</v>
      </c>
      <c r="T121" s="352">
        <v>46238</v>
      </c>
      <c r="U121" s="354" t="s">
        <v>40</v>
      </c>
      <c r="V121" s="354" t="s">
        <v>795</v>
      </c>
      <c r="W121" s="355">
        <v>0</v>
      </c>
      <c r="X121" s="357">
        <v>46247</v>
      </c>
      <c r="Y121" s="357">
        <v>46249</v>
      </c>
      <c r="Z121" s="359" t="s">
        <v>40</v>
      </c>
      <c r="AA121" s="359" t="s">
        <v>796</v>
      </c>
      <c r="AB121" s="360">
        <v>0</v>
      </c>
      <c r="AC121" s="362">
        <v>46250</v>
      </c>
      <c r="AD121" s="326">
        <v>46257</v>
      </c>
      <c r="AE121" s="327" t="s">
        <v>40</v>
      </c>
      <c r="AF121" s="365" t="s">
        <v>795</v>
      </c>
      <c r="AG121" s="366">
        <v>0</v>
      </c>
      <c r="AH121" s="368">
        <v>46266</v>
      </c>
      <c r="AI121" s="368">
        <v>46269</v>
      </c>
      <c r="AJ121" s="369" t="s">
        <v>165</v>
      </c>
      <c r="AK121" s="373" t="s">
        <v>795</v>
      </c>
      <c r="AL121" s="370">
        <v>0</v>
      </c>
      <c r="AM121" s="168" t="s">
        <v>422</v>
      </c>
      <c r="AN121" s="168" t="s">
        <v>422</v>
      </c>
      <c r="AO121" s="168" t="s">
        <v>40</v>
      </c>
      <c r="AP121" s="170">
        <v>0</v>
      </c>
      <c r="AQ121"/>
    </row>
    <row r="122" spans="1:43">
      <c r="A122" s="292" t="s">
        <v>670</v>
      </c>
      <c r="B122" s="299" t="s">
        <v>801</v>
      </c>
      <c r="C122" s="299">
        <v>1</v>
      </c>
      <c r="D122" s="149">
        <v>46195</v>
      </c>
      <c r="E122" s="149">
        <v>46200</v>
      </c>
      <c r="F122" s="341" t="s">
        <v>40</v>
      </c>
      <c r="G122" s="308" t="s">
        <v>792</v>
      </c>
      <c r="H122" s="372">
        <v>0</v>
      </c>
      <c r="I122" s="169">
        <v>46201</v>
      </c>
      <c r="J122" s="342">
        <v>46209</v>
      </c>
      <c r="K122" s="344" t="s">
        <v>40</v>
      </c>
      <c r="L122" s="344" t="s">
        <v>793</v>
      </c>
      <c r="M122" s="346">
        <v>0</v>
      </c>
      <c r="N122" s="347">
        <v>46219</v>
      </c>
      <c r="O122" s="347">
        <v>46231</v>
      </c>
      <c r="P122" s="349" t="s">
        <v>40</v>
      </c>
      <c r="Q122" s="349" t="s">
        <v>794</v>
      </c>
      <c r="R122" s="350">
        <v>0</v>
      </c>
      <c r="S122" s="352">
        <v>46232</v>
      </c>
      <c r="T122" s="352">
        <v>46238</v>
      </c>
      <c r="U122" s="354" t="s">
        <v>40</v>
      </c>
      <c r="V122" s="354" t="s">
        <v>795</v>
      </c>
      <c r="W122" s="355">
        <v>0</v>
      </c>
      <c r="X122" s="357">
        <v>46247</v>
      </c>
      <c r="Y122" s="357">
        <v>46249</v>
      </c>
      <c r="Z122" s="359" t="s">
        <v>40</v>
      </c>
      <c r="AA122" s="359" t="s">
        <v>796</v>
      </c>
      <c r="AB122" s="360">
        <v>0</v>
      </c>
      <c r="AC122" s="362">
        <v>46250</v>
      </c>
      <c r="AD122" s="326">
        <v>46257</v>
      </c>
      <c r="AE122" s="327" t="s">
        <v>40</v>
      </c>
      <c r="AF122" s="365" t="s">
        <v>795</v>
      </c>
      <c r="AG122" s="366">
        <v>0</v>
      </c>
      <c r="AH122" s="368">
        <v>46266</v>
      </c>
      <c r="AI122" s="368">
        <v>46269</v>
      </c>
      <c r="AJ122" s="369" t="s">
        <v>165</v>
      </c>
      <c r="AK122" s="373" t="s">
        <v>795</v>
      </c>
      <c r="AL122" s="370">
        <v>0</v>
      </c>
      <c r="AM122" s="168" t="s">
        <v>422</v>
      </c>
      <c r="AN122" s="168" t="s">
        <v>422</v>
      </c>
      <c r="AO122" s="168" t="s">
        <v>40</v>
      </c>
      <c r="AP122" s="170">
        <v>0</v>
      </c>
      <c r="AQ122"/>
    </row>
    <row r="123" spans="1:43">
      <c r="A123" s="292" t="s">
        <v>670</v>
      </c>
      <c r="B123" s="299" t="s">
        <v>802</v>
      </c>
      <c r="C123" s="299">
        <v>1</v>
      </c>
      <c r="D123" s="149">
        <v>46195</v>
      </c>
      <c r="E123" s="149">
        <v>46200</v>
      </c>
      <c r="F123" s="341" t="s">
        <v>40</v>
      </c>
      <c r="G123" s="308" t="s">
        <v>792</v>
      </c>
      <c r="H123" s="372">
        <v>0</v>
      </c>
      <c r="I123" s="169">
        <v>46201</v>
      </c>
      <c r="J123" s="342">
        <v>46209</v>
      </c>
      <c r="K123" s="344" t="s">
        <v>40</v>
      </c>
      <c r="L123" s="344" t="s">
        <v>793</v>
      </c>
      <c r="M123" s="346">
        <v>0</v>
      </c>
      <c r="N123" s="347">
        <v>46219</v>
      </c>
      <c r="O123" s="347">
        <v>46231</v>
      </c>
      <c r="P123" s="349" t="s">
        <v>40</v>
      </c>
      <c r="Q123" s="349" t="s">
        <v>794</v>
      </c>
      <c r="R123" s="350">
        <v>0</v>
      </c>
      <c r="S123" s="352">
        <v>46232</v>
      </c>
      <c r="T123" s="352">
        <v>46238</v>
      </c>
      <c r="U123" s="354" t="s">
        <v>40</v>
      </c>
      <c r="V123" s="354" t="s">
        <v>795</v>
      </c>
      <c r="W123" s="355">
        <v>0</v>
      </c>
      <c r="X123" s="357">
        <v>46247</v>
      </c>
      <c r="Y123" s="357">
        <v>46249</v>
      </c>
      <c r="Z123" s="359" t="s">
        <v>40</v>
      </c>
      <c r="AA123" s="359" t="s">
        <v>796</v>
      </c>
      <c r="AB123" s="360">
        <v>0</v>
      </c>
      <c r="AC123" s="362">
        <v>46250</v>
      </c>
      <c r="AD123" s="326">
        <v>46257</v>
      </c>
      <c r="AE123" s="327" t="s">
        <v>40</v>
      </c>
      <c r="AF123" s="365" t="s">
        <v>795</v>
      </c>
      <c r="AG123" s="366">
        <v>0</v>
      </c>
      <c r="AH123" s="368">
        <v>46266</v>
      </c>
      <c r="AI123" s="368">
        <v>46269</v>
      </c>
      <c r="AJ123" s="369" t="s">
        <v>165</v>
      </c>
      <c r="AK123" s="373" t="s">
        <v>795</v>
      </c>
      <c r="AL123" s="370">
        <v>0</v>
      </c>
      <c r="AM123" s="168" t="s">
        <v>422</v>
      </c>
      <c r="AN123" s="168" t="s">
        <v>422</v>
      </c>
      <c r="AO123" s="168" t="s">
        <v>40</v>
      </c>
      <c r="AP123" s="170">
        <v>0</v>
      </c>
      <c r="AQ123"/>
    </row>
    <row r="124" spans="1:43">
      <c r="A124" s="292" t="s">
        <v>670</v>
      </c>
      <c r="B124" s="299" t="s">
        <v>803</v>
      </c>
      <c r="C124" s="299">
        <v>1</v>
      </c>
      <c r="D124" s="149">
        <v>46195</v>
      </c>
      <c r="E124" s="149">
        <v>46200</v>
      </c>
      <c r="F124" s="341" t="s">
        <v>40</v>
      </c>
      <c r="G124" s="308" t="s">
        <v>792</v>
      </c>
      <c r="H124" s="372">
        <v>0</v>
      </c>
      <c r="I124" s="169">
        <v>46201</v>
      </c>
      <c r="J124" s="342">
        <v>46209</v>
      </c>
      <c r="K124" s="344" t="s">
        <v>40</v>
      </c>
      <c r="L124" s="344" t="s">
        <v>793</v>
      </c>
      <c r="M124" s="346">
        <v>0</v>
      </c>
      <c r="N124" s="347">
        <v>46219</v>
      </c>
      <c r="O124" s="347">
        <v>46231</v>
      </c>
      <c r="P124" s="349" t="s">
        <v>40</v>
      </c>
      <c r="Q124" s="349" t="s">
        <v>794</v>
      </c>
      <c r="R124" s="350">
        <v>0</v>
      </c>
      <c r="S124" s="352">
        <v>46232</v>
      </c>
      <c r="T124" s="352">
        <v>46238</v>
      </c>
      <c r="U124" s="354" t="s">
        <v>40</v>
      </c>
      <c r="V124" s="354" t="s">
        <v>795</v>
      </c>
      <c r="W124" s="355">
        <v>0</v>
      </c>
      <c r="X124" s="357">
        <v>46247</v>
      </c>
      <c r="Y124" s="357">
        <v>46249</v>
      </c>
      <c r="Z124" s="359" t="s">
        <v>40</v>
      </c>
      <c r="AA124" s="359" t="s">
        <v>796</v>
      </c>
      <c r="AB124" s="360">
        <v>0</v>
      </c>
      <c r="AC124" s="362">
        <v>46250</v>
      </c>
      <c r="AD124" s="326">
        <v>46257</v>
      </c>
      <c r="AE124" s="327" t="s">
        <v>40</v>
      </c>
      <c r="AF124" s="365" t="s">
        <v>795</v>
      </c>
      <c r="AG124" s="366">
        <v>0</v>
      </c>
      <c r="AH124" s="368">
        <v>46266</v>
      </c>
      <c r="AI124" s="368">
        <v>46269</v>
      </c>
      <c r="AJ124" s="369" t="s">
        <v>165</v>
      </c>
      <c r="AK124" s="373" t="s">
        <v>795</v>
      </c>
      <c r="AL124" s="370">
        <v>0</v>
      </c>
      <c r="AM124" s="168" t="s">
        <v>422</v>
      </c>
      <c r="AN124" s="168" t="s">
        <v>422</v>
      </c>
      <c r="AO124" s="168" t="s">
        <v>40</v>
      </c>
      <c r="AP124" s="170">
        <v>0</v>
      </c>
      <c r="AQ124"/>
    </row>
    <row r="125" spans="1:43">
      <c r="A125" s="292" t="s">
        <v>670</v>
      </c>
      <c r="B125" s="299" t="s">
        <v>804</v>
      </c>
      <c r="C125" s="299">
        <v>1</v>
      </c>
      <c r="D125" s="149">
        <v>46195</v>
      </c>
      <c r="E125" s="149">
        <v>46200</v>
      </c>
      <c r="F125" s="341" t="s">
        <v>40</v>
      </c>
      <c r="G125" s="308" t="s">
        <v>792</v>
      </c>
      <c r="H125" s="372">
        <v>0</v>
      </c>
      <c r="I125" s="169">
        <v>46201</v>
      </c>
      <c r="J125" s="342">
        <v>46209</v>
      </c>
      <c r="K125" s="344" t="s">
        <v>40</v>
      </c>
      <c r="L125" s="344" t="s">
        <v>793</v>
      </c>
      <c r="M125" s="346">
        <v>0</v>
      </c>
      <c r="N125" s="347">
        <v>46219</v>
      </c>
      <c r="O125" s="347">
        <v>46231</v>
      </c>
      <c r="P125" s="349" t="s">
        <v>40</v>
      </c>
      <c r="Q125" s="349" t="s">
        <v>794</v>
      </c>
      <c r="R125" s="350">
        <v>0</v>
      </c>
      <c r="S125" s="352">
        <v>46232</v>
      </c>
      <c r="T125" s="352">
        <v>46238</v>
      </c>
      <c r="U125" s="354" t="s">
        <v>40</v>
      </c>
      <c r="V125" s="354" t="s">
        <v>795</v>
      </c>
      <c r="W125" s="355">
        <v>0</v>
      </c>
      <c r="X125" s="357">
        <v>46247</v>
      </c>
      <c r="Y125" s="357">
        <v>46249</v>
      </c>
      <c r="Z125" s="359" t="s">
        <v>40</v>
      </c>
      <c r="AA125" s="359" t="s">
        <v>796</v>
      </c>
      <c r="AB125" s="360">
        <v>0</v>
      </c>
      <c r="AC125" s="362">
        <v>46250</v>
      </c>
      <c r="AD125" s="326">
        <v>46257</v>
      </c>
      <c r="AE125" s="327" t="s">
        <v>40</v>
      </c>
      <c r="AF125" s="365" t="s">
        <v>795</v>
      </c>
      <c r="AG125" s="366">
        <v>0</v>
      </c>
      <c r="AH125" s="368">
        <v>46266</v>
      </c>
      <c r="AI125" s="368">
        <v>46269</v>
      </c>
      <c r="AJ125" s="369" t="s">
        <v>165</v>
      </c>
      <c r="AK125" s="373" t="s">
        <v>795</v>
      </c>
      <c r="AL125" s="370">
        <v>0</v>
      </c>
      <c r="AM125" s="168" t="s">
        <v>422</v>
      </c>
      <c r="AN125" s="168" t="s">
        <v>422</v>
      </c>
      <c r="AO125" s="168" t="s">
        <v>40</v>
      </c>
      <c r="AP125" s="170">
        <v>0</v>
      </c>
      <c r="AQ125"/>
    </row>
    <row r="126" spans="1:43">
      <c r="A126" s="292" t="s">
        <v>670</v>
      </c>
      <c r="B126" s="299" t="s">
        <v>805</v>
      </c>
      <c r="C126" s="299">
        <v>1</v>
      </c>
      <c r="D126" s="149">
        <v>46195</v>
      </c>
      <c r="E126" s="149">
        <v>46200</v>
      </c>
      <c r="F126" s="341" t="s">
        <v>40</v>
      </c>
      <c r="G126" s="308" t="s">
        <v>792</v>
      </c>
      <c r="H126" s="372">
        <v>0</v>
      </c>
      <c r="I126" s="169">
        <v>46201</v>
      </c>
      <c r="J126" s="342">
        <v>46209</v>
      </c>
      <c r="K126" s="344" t="s">
        <v>40</v>
      </c>
      <c r="L126" s="344" t="s">
        <v>793</v>
      </c>
      <c r="M126" s="346">
        <v>0</v>
      </c>
      <c r="N126" s="347">
        <v>46219</v>
      </c>
      <c r="O126" s="347">
        <v>46231</v>
      </c>
      <c r="P126" s="349" t="s">
        <v>40</v>
      </c>
      <c r="Q126" s="349" t="s">
        <v>794</v>
      </c>
      <c r="R126" s="350">
        <v>0</v>
      </c>
      <c r="S126" s="352">
        <v>46232</v>
      </c>
      <c r="T126" s="352">
        <v>46238</v>
      </c>
      <c r="U126" s="354" t="s">
        <v>40</v>
      </c>
      <c r="V126" s="354" t="s">
        <v>795</v>
      </c>
      <c r="W126" s="355">
        <v>0</v>
      </c>
      <c r="X126" s="357">
        <v>46247</v>
      </c>
      <c r="Y126" s="357">
        <v>46249</v>
      </c>
      <c r="Z126" s="359" t="s">
        <v>40</v>
      </c>
      <c r="AA126" s="359" t="s">
        <v>796</v>
      </c>
      <c r="AB126" s="360">
        <v>0</v>
      </c>
      <c r="AC126" s="362">
        <v>46250</v>
      </c>
      <c r="AD126" s="326">
        <v>46257</v>
      </c>
      <c r="AE126" s="327" t="s">
        <v>40</v>
      </c>
      <c r="AF126" s="365" t="s">
        <v>795</v>
      </c>
      <c r="AG126" s="366">
        <v>0</v>
      </c>
      <c r="AH126" s="368">
        <v>46266</v>
      </c>
      <c r="AI126" s="368">
        <v>46269</v>
      </c>
      <c r="AJ126" s="369" t="s">
        <v>165</v>
      </c>
      <c r="AK126" s="373" t="s">
        <v>795</v>
      </c>
      <c r="AL126" s="370">
        <v>0</v>
      </c>
      <c r="AM126" s="168" t="s">
        <v>422</v>
      </c>
      <c r="AN126" s="168" t="s">
        <v>422</v>
      </c>
      <c r="AO126" s="168" t="s">
        <v>40</v>
      </c>
      <c r="AP126" s="170">
        <v>0</v>
      </c>
      <c r="AQ126"/>
    </row>
    <row r="127" spans="1:43">
      <c r="A127" s="292" t="s">
        <v>670</v>
      </c>
      <c r="B127" s="299" t="s">
        <v>806</v>
      </c>
      <c r="C127" s="299">
        <v>1</v>
      </c>
      <c r="D127" s="149">
        <v>46195</v>
      </c>
      <c r="E127" s="149">
        <v>46200</v>
      </c>
      <c r="F127" s="341" t="s">
        <v>40</v>
      </c>
      <c r="G127" s="308" t="s">
        <v>792</v>
      </c>
      <c r="H127" s="372">
        <v>0</v>
      </c>
      <c r="I127" s="169">
        <v>46201</v>
      </c>
      <c r="J127" s="342">
        <v>46209</v>
      </c>
      <c r="K127" s="344" t="s">
        <v>40</v>
      </c>
      <c r="L127" s="344" t="s">
        <v>793</v>
      </c>
      <c r="M127" s="346">
        <v>0</v>
      </c>
      <c r="N127" s="347">
        <v>46219</v>
      </c>
      <c r="O127" s="347">
        <v>46231</v>
      </c>
      <c r="P127" s="349" t="s">
        <v>40</v>
      </c>
      <c r="Q127" s="349" t="s">
        <v>794</v>
      </c>
      <c r="R127" s="350">
        <v>0</v>
      </c>
      <c r="S127" s="352">
        <v>46232</v>
      </c>
      <c r="T127" s="352">
        <v>46238</v>
      </c>
      <c r="U127" s="354" t="s">
        <v>40</v>
      </c>
      <c r="V127" s="354" t="s">
        <v>795</v>
      </c>
      <c r="W127" s="355">
        <v>0</v>
      </c>
      <c r="X127" s="357">
        <v>46247</v>
      </c>
      <c r="Y127" s="357">
        <v>46249</v>
      </c>
      <c r="Z127" s="359" t="s">
        <v>40</v>
      </c>
      <c r="AA127" s="359" t="s">
        <v>796</v>
      </c>
      <c r="AB127" s="360">
        <v>0</v>
      </c>
      <c r="AC127" s="362">
        <v>46250</v>
      </c>
      <c r="AD127" s="326">
        <v>46257</v>
      </c>
      <c r="AE127" s="327" t="s">
        <v>40</v>
      </c>
      <c r="AF127" s="365" t="s">
        <v>795</v>
      </c>
      <c r="AG127" s="366">
        <v>0</v>
      </c>
      <c r="AH127" s="368">
        <v>46266</v>
      </c>
      <c r="AI127" s="368">
        <v>46269</v>
      </c>
      <c r="AJ127" s="369" t="s">
        <v>165</v>
      </c>
      <c r="AK127" s="373" t="s">
        <v>795</v>
      </c>
      <c r="AL127" s="370">
        <v>0</v>
      </c>
      <c r="AM127" s="168" t="s">
        <v>422</v>
      </c>
      <c r="AN127" s="168" t="s">
        <v>422</v>
      </c>
      <c r="AO127" s="168" t="s">
        <v>40</v>
      </c>
      <c r="AP127" s="170">
        <v>0</v>
      </c>
      <c r="AQ127"/>
    </row>
    <row r="128" spans="1:43">
      <c r="A128" s="292" t="s">
        <v>670</v>
      </c>
      <c r="B128" s="299" t="s">
        <v>807</v>
      </c>
      <c r="C128" s="299">
        <v>1</v>
      </c>
      <c r="D128" s="149">
        <v>46195</v>
      </c>
      <c r="E128" s="149">
        <v>46200</v>
      </c>
      <c r="F128" s="341" t="s">
        <v>40</v>
      </c>
      <c r="G128" s="308" t="s">
        <v>792</v>
      </c>
      <c r="H128" s="372">
        <v>0</v>
      </c>
      <c r="I128" s="169">
        <v>46201</v>
      </c>
      <c r="J128" s="342">
        <v>46209</v>
      </c>
      <c r="K128" s="344" t="s">
        <v>40</v>
      </c>
      <c r="L128" s="344" t="s">
        <v>793</v>
      </c>
      <c r="M128" s="346">
        <v>0</v>
      </c>
      <c r="N128" s="347">
        <v>46219</v>
      </c>
      <c r="O128" s="347">
        <v>46231</v>
      </c>
      <c r="P128" s="349" t="s">
        <v>40</v>
      </c>
      <c r="Q128" s="349" t="s">
        <v>794</v>
      </c>
      <c r="R128" s="350">
        <v>0</v>
      </c>
      <c r="S128" s="352">
        <v>46232</v>
      </c>
      <c r="T128" s="352">
        <v>46238</v>
      </c>
      <c r="U128" s="354" t="s">
        <v>40</v>
      </c>
      <c r="V128" s="354" t="s">
        <v>795</v>
      </c>
      <c r="W128" s="355">
        <v>0</v>
      </c>
      <c r="X128" s="357">
        <v>46247</v>
      </c>
      <c r="Y128" s="357">
        <v>46249</v>
      </c>
      <c r="Z128" s="359" t="s">
        <v>40</v>
      </c>
      <c r="AA128" s="359" t="s">
        <v>796</v>
      </c>
      <c r="AB128" s="360">
        <v>0</v>
      </c>
      <c r="AC128" s="362">
        <v>46250</v>
      </c>
      <c r="AD128" s="326">
        <v>46257</v>
      </c>
      <c r="AE128" s="327" t="s">
        <v>40</v>
      </c>
      <c r="AF128" s="365" t="s">
        <v>795</v>
      </c>
      <c r="AG128" s="366">
        <v>0</v>
      </c>
      <c r="AH128" s="368">
        <v>46266</v>
      </c>
      <c r="AI128" s="368">
        <v>46269</v>
      </c>
      <c r="AJ128" s="369" t="s">
        <v>165</v>
      </c>
      <c r="AK128" s="373" t="s">
        <v>795</v>
      </c>
      <c r="AL128" s="370">
        <v>0</v>
      </c>
      <c r="AM128" s="168" t="s">
        <v>422</v>
      </c>
      <c r="AN128" s="168" t="s">
        <v>422</v>
      </c>
      <c r="AO128" s="168" t="s">
        <v>40</v>
      </c>
      <c r="AP128" s="170">
        <v>0</v>
      </c>
      <c r="AQ128"/>
    </row>
    <row r="129" spans="1:43">
      <c r="A129" s="292" t="s">
        <v>670</v>
      </c>
      <c r="B129" s="299" t="s">
        <v>808</v>
      </c>
      <c r="C129" s="299">
        <v>1</v>
      </c>
      <c r="D129" s="149">
        <v>46195</v>
      </c>
      <c r="E129" s="149">
        <v>46200</v>
      </c>
      <c r="F129" s="341" t="s">
        <v>40</v>
      </c>
      <c r="G129" s="308" t="s">
        <v>792</v>
      </c>
      <c r="H129" s="372">
        <v>0</v>
      </c>
      <c r="I129" s="169">
        <v>46201</v>
      </c>
      <c r="J129" s="342">
        <v>46209</v>
      </c>
      <c r="K129" s="344" t="s">
        <v>40</v>
      </c>
      <c r="L129" s="344" t="s">
        <v>793</v>
      </c>
      <c r="M129" s="346">
        <v>0</v>
      </c>
      <c r="N129" s="347">
        <v>46219</v>
      </c>
      <c r="O129" s="347">
        <v>46231</v>
      </c>
      <c r="P129" s="349" t="s">
        <v>40</v>
      </c>
      <c r="Q129" s="349" t="s">
        <v>794</v>
      </c>
      <c r="R129" s="350">
        <v>0</v>
      </c>
      <c r="S129" s="352">
        <v>46232</v>
      </c>
      <c r="T129" s="352">
        <v>46238</v>
      </c>
      <c r="U129" s="354" t="s">
        <v>40</v>
      </c>
      <c r="V129" s="354" t="s">
        <v>795</v>
      </c>
      <c r="W129" s="355">
        <v>0</v>
      </c>
      <c r="X129" s="357">
        <v>46247</v>
      </c>
      <c r="Y129" s="357">
        <v>46249</v>
      </c>
      <c r="Z129" s="359" t="s">
        <v>40</v>
      </c>
      <c r="AA129" s="359" t="s">
        <v>796</v>
      </c>
      <c r="AB129" s="360">
        <v>0</v>
      </c>
      <c r="AC129" s="362">
        <v>46250</v>
      </c>
      <c r="AD129" s="326">
        <v>46257</v>
      </c>
      <c r="AE129" s="327" t="s">
        <v>40</v>
      </c>
      <c r="AF129" s="365" t="s">
        <v>795</v>
      </c>
      <c r="AG129" s="366">
        <v>0</v>
      </c>
      <c r="AH129" s="368">
        <v>46266</v>
      </c>
      <c r="AI129" s="368">
        <v>46269</v>
      </c>
      <c r="AJ129" s="369" t="s">
        <v>165</v>
      </c>
      <c r="AK129" s="373" t="s">
        <v>795</v>
      </c>
      <c r="AL129" s="370">
        <v>0</v>
      </c>
      <c r="AM129" s="168" t="s">
        <v>422</v>
      </c>
      <c r="AN129" s="168" t="s">
        <v>422</v>
      </c>
      <c r="AO129" s="168" t="s">
        <v>40</v>
      </c>
      <c r="AP129" s="170">
        <v>0</v>
      </c>
      <c r="AQ129"/>
    </row>
    <row r="130" spans="1:43">
      <c r="A130" s="292" t="s">
        <v>670</v>
      </c>
      <c r="B130" s="299" t="s">
        <v>809</v>
      </c>
      <c r="C130" s="299">
        <v>1</v>
      </c>
      <c r="D130" s="149">
        <v>46195</v>
      </c>
      <c r="E130" s="149">
        <v>46200</v>
      </c>
      <c r="F130" s="341" t="s">
        <v>40</v>
      </c>
      <c r="G130" s="308" t="s">
        <v>792</v>
      </c>
      <c r="H130" s="372">
        <v>0</v>
      </c>
      <c r="I130" s="169">
        <v>46210</v>
      </c>
      <c r="J130" s="342">
        <v>46218</v>
      </c>
      <c r="K130" s="344" t="s">
        <v>40</v>
      </c>
      <c r="L130" s="344" t="s">
        <v>793</v>
      </c>
      <c r="M130" s="346">
        <v>0</v>
      </c>
      <c r="N130" s="347">
        <v>46219</v>
      </c>
      <c r="O130" s="347">
        <v>46231</v>
      </c>
      <c r="P130" s="349" t="s">
        <v>40</v>
      </c>
      <c r="Q130" s="349" t="s">
        <v>794</v>
      </c>
      <c r="R130" s="350">
        <v>0</v>
      </c>
      <c r="S130" s="352">
        <v>46232</v>
      </c>
      <c r="T130" s="352">
        <v>46238</v>
      </c>
      <c r="U130" s="354" t="s">
        <v>40</v>
      </c>
      <c r="V130" s="354" t="s">
        <v>795</v>
      </c>
      <c r="W130" s="355">
        <v>0</v>
      </c>
      <c r="X130" s="357">
        <v>46247</v>
      </c>
      <c r="Y130" s="357">
        <v>46249</v>
      </c>
      <c r="Z130" s="359" t="s">
        <v>40</v>
      </c>
      <c r="AA130" s="359" t="s">
        <v>796</v>
      </c>
      <c r="AB130" s="360">
        <v>0</v>
      </c>
      <c r="AC130" s="362">
        <v>46250</v>
      </c>
      <c r="AD130" s="326">
        <v>46257</v>
      </c>
      <c r="AE130" s="327" t="s">
        <v>40</v>
      </c>
      <c r="AF130" s="365" t="s">
        <v>795</v>
      </c>
      <c r="AG130" s="366">
        <v>0</v>
      </c>
      <c r="AH130" s="368">
        <v>46266</v>
      </c>
      <c r="AI130" s="368">
        <v>46269</v>
      </c>
      <c r="AJ130" s="369" t="s">
        <v>165</v>
      </c>
      <c r="AK130" s="373" t="s">
        <v>795</v>
      </c>
      <c r="AL130" s="370">
        <v>0</v>
      </c>
      <c r="AM130" s="168" t="s">
        <v>422</v>
      </c>
      <c r="AN130" s="168" t="s">
        <v>422</v>
      </c>
      <c r="AO130" s="168" t="s">
        <v>40</v>
      </c>
      <c r="AP130" s="170">
        <v>0</v>
      </c>
      <c r="AQ130"/>
    </row>
    <row r="131" spans="1:43">
      <c r="A131" s="292" t="s">
        <v>670</v>
      </c>
      <c r="B131" s="299" t="s">
        <v>810</v>
      </c>
      <c r="C131" s="299">
        <v>1</v>
      </c>
      <c r="D131" s="149">
        <v>46195</v>
      </c>
      <c r="E131" s="149">
        <v>46200</v>
      </c>
      <c r="F131" s="341" t="s">
        <v>40</v>
      </c>
      <c r="G131" s="308" t="s">
        <v>792</v>
      </c>
      <c r="H131" s="372">
        <v>0</v>
      </c>
      <c r="I131" s="169">
        <v>46210</v>
      </c>
      <c r="J131" s="342">
        <v>46218</v>
      </c>
      <c r="K131" s="344" t="s">
        <v>40</v>
      </c>
      <c r="L131" s="344" t="s">
        <v>793</v>
      </c>
      <c r="M131" s="346">
        <v>0</v>
      </c>
      <c r="N131" s="347">
        <v>46219</v>
      </c>
      <c r="O131" s="347">
        <v>46231</v>
      </c>
      <c r="P131" s="349" t="s">
        <v>40</v>
      </c>
      <c r="Q131" s="349" t="s">
        <v>794</v>
      </c>
      <c r="R131" s="350">
        <v>0</v>
      </c>
      <c r="S131" s="352">
        <v>46232</v>
      </c>
      <c r="T131" s="352">
        <v>46238</v>
      </c>
      <c r="U131" s="354" t="s">
        <v>40</v>
      </c>
      <c r="V131" s="354" t="s">
        <v>795</v>
      </c>
      <c r="W131" s="355">
        <v>0</v>
      </c>
      <c r="X131" s="357">
        <v>46247</v>
      </c>
      <c r="Y131" s="357">
        <v>46249</v>
      </c>
      <c r="Z131" s="359" t="s">
        <v>40</v>
      </c>
      <c r="AA131" s="359" t="s">
        <v>796</v>
      </c>
      <c r="AB131" s="360">
        <v>0</v>
      </c>
      <c r="AC131" s="362">
        <v>46250</v>
      </c>
      <c r="AD131" s="326">
        <v>46257</v>
      </c>
      <c r="AE131" s="327" t="s">
        <v>40</v>
      </c>
      <c r="AF131" s="365" t="s">
        <v>795</v>
      </c>
      <c r="AG131" s="366">
        <v>0</v>
      </c>
      <c r="AH131" s="368">
        <v>46266</v>
      </c>
      <c r="AI131" s="368">
        <v>46269</v>
      </c>
      <c r="AJ131" s="369" t="s">
        <v>165</v>
      </c>
      <c r="AK131" s="373" t="s">
        <v>795</v>
      </c>
      <c r="AL131" s="370">
        <v>0</v>
      </c>
      <c r="AM131" s="168" t="s">
        <v>422</v>
      </c>
      <c r="AN131" s="168" t="s">
        <v>422</v>
      </c>
      <c r="AO131" s="168" t="s">
        <v>40</v>
      </c>
      <c r="AP131" s="170">
        <v>0</v>
      </c>
      <c r="AQ131"/>
    </row>
    <row r="132" spans="1:43">
      <c r="A132" s="292" t="s">
        <v>670</v>
      </c>
      <c r="B132" s="299" t="s">
        <v>811</v>
      </c>
      <c r="C132" s="299">
        <v>1</v>
      </c>
      <c r="D132" s="149">
        <v>46195</v>
      </c>
      <c r="E132" s="149">
        <v>46200</v>
      </c>
      <c r="F132" s="341" t="s">
        <v>40</v>
      </c>
      <c r="G132" s="308" t="s">
        <v>792</v>
      </c>
      <c r="H132" s="372">
        <v>0</v>
      </c>
      <c r="I132" s="169">
        <v>46210</v>
      </c>
      <c r="J132" s="342">
        <v>46218</v>
      </c>
      <c r="K132" s="344" t="s">
        <v>40</v>
      </c>
      <c r="L132" s="344" t="s">
        <v>793</v>
      </c>
      <c r="M132" s="346">
        <v>0</v>
      </c>
      <c r="N132" s="347">
        <v>46219</v>
      </c>
      <c r="O132" s="347">
        <v>46231</v>
      </c>
      <c r="P132" s="349" t="s">
        <v>40</v>
      </c>
      <c r="Q132" s="349" t="s">
        <v>794</v>
      </c>
      <c r="R132" s="350">
        <v>0</v>
      </c>
      <c r="S132" s="352">
        <v>46232</v>
      </c>
      <c r="T132" s="352">
        <v>46238</v>
      </c>
      <c r="U132" s="354" t="s">
        <v>40</v>
      </c>
      <c r="V132" s="354" t="s">
        <v>795</v>
      </c>
      <c r="W132" s="355">
        <v>0</v>
      </c>
      <c r="X132" s="357">
        <v>46247</v>
      </c>
      <c r="Y132" s="357">
        <v>46249</v>
      </c>
      <c r="Z132" s="359" t="s">
        <v>40</v>
      </c>
      <c r="AA132" s="359" t="s">
        <v>796</v>
      </c>
      <c r="AB132" s="360">
        <v>0</v>
      </c>
      <c r="AC132" s="362">
        <v>46250</v>
      </c>
      <c r="AD132" s="326">
        <v>46257</v>
      </c>
      <c r="AE132" s="327" t="s">
        <v>40</v>
      </c>
      <c r="AF132" s="365" t="s">
        <v>795</v>
      </c>
      <c r="AG132" s="366">
        <v>0</v>
      </c>
      <c r="AH132" s="368">
        <v>46266</v>
      </c>
      <c r="AI132" s="368">
        <v>46269</v>
      </c>
      <c r="AJ132" s="369" t="s">
        <v>165</v>
      </c>
      <c r="AK132" s="373" t="s">
        <v>795</v>
      </c>
      <c r="AL132" s="370">
        <v>0</v>
      </c>
      <c r="AM132" s="168" t="s">
        <v>422</v>
      </c>
      <c r="AN132" s="168" t="s">
        <v>422</v>
      </c>
      <c r="AO132" s="168" t="s">
        <v>40</v>
      </c>
      <c r="AP132" s="170">
        <v>0</v>
      </c>
      <c r="AQ132"/>
    </row>
    <row r="133" spans="1:43">
      <c r="A133" s="292" t="s">
        <v>670</v>
      </c>
      <c r="B133" s="299" t="s">
        <v>812</v>
      </c>
      <c r="C133" s="299">
        <v>1</v>
      </c>
      <c r="D133" s="149">
        <v>46195</v>
      </c>
      <c r="E133" s="149">
        <v>46200</v>
      </c>
      <c r="F133" s="341" t="s">
        <v>40</v>
      </c>
      <c r="G133" s="308" t="s">
        <v>792</v>
      </c>
      <c r="H133" s="372">
        <v>0</v>
      </c>
      <c r="I133" s="169">
        <v>46210</v>
      </c>
      <c r="J133" s="342">
        <v>46218</v>
      </c>
      <c r="K133" s="344" t="s">
        <v>40</v>
      </c>
      <c r="L133" s="344" t="s">
        <v>793</v>
      </c>
      <c r="M133" s="346">
        <v>0</v>
      </c>
      <c r="N133" s="347">
        <v>46219</v>
      </c>
      <c r="O133" s="347">
        <v>46231</v>
      </c>
      <c r="P133" s="349" t="s">
        <v>40</v>
      </c>
      <c r="Q133" s="349" t="s">
        <v>794</v>
      </c>
      <c r="R133" s="350">
        <v>0</v>
      </c>
      <c r="S133" s="352">
        <v>46232</v>
      </c>
      <c r="T133" s="352">
        <v>46238</v>
      </c>
      <c r="U133" s="354" t="s">
        <v>40</v>
      </c>
      <c r="V133" s="354" t="s">
        <v>795</v>
      </c>
      <c r="W133" s="355">
        <v>0</v>
      </c>
      <c r="X133" s="357">
        <v>46247</v>
      </c>
      <c r="Y133" s="357">
        <v>46249</v>
      </c>
      <c r="Z133" s="359" t="s">
        <v>40</v>
      </c>
      <c r="AA133" s="359" t="s">
        <v>796</v>
      </c>
      <c r="AB133" s="360">
        <v>0</v>
      </c>
      <c r="AC133" s="362">
        <v>46250</v>
      </c>
      <c r="AD133" s="326">
        <v>46257</v>
      </c>
      <c r="AE133" s="327" t="s">
        <v>40</v>
      </c>
      <c r="AF133" s="365" t="s">
        <v>795</v>
      </c>
      <c r="AG133" s="366">
        <v>0</v>
      </c>
      <c r="AH133" s="368">
        <v>46266</v>
      </c>
      <c r="AI133" s="368">
        <v>46269</v>
      </c>
      <c r="AJ133" s="369" t="s">
        <v>165</v>
      </c>
      <c r="AK133" s="373" t="s">
        <v>795</v>
      </c>
      <c r="AL133" s="370">
        <v>0</v>
      </c>
      <c r="AM133" s="168" t="s">
        <v>422</v>
      </c>
      <c r="AN133" s="168" t="s">
        <v>422</v>
      </c>
      <c r="AO133" s="168" t="s">
        <v>40</v>
      </c>
      <c r="AP133" s="170">
        <v>0</v>
      </c>
      <c r="AQ133"/>
    </row>
    <row r="134" spans="1:43">
      <c r="A134" s="292" t="s">
        <v>670</v>
      </c>
      <c r="B134" s="299" t="s">
        <v>813</v>
      </c>
      <c r="C134" s="299">
        <v>1</v>
      </c>
      <c r="D134" s="149">
        <v>46195</v>
      </c>
      <c r="E134" s="149">
        <v>46200</v>
      </c>
      <c r="F134" s="341" t="s">
        <v>40</v>
      </c>
      <c r="G134" s="308" t="s">
        <v>792</v>
      </c>
      <c r="H134" s="372">
        <v>0</v>
      </c>
      <c r="I134" s="169">
        <v>46210</v>
      </c>
      <c r="J134" s="342">
        <v>46218</v>
      </c>
      <c r="K134" s="344" t="s">
        <v>40</v>
      </c>
      <c r="L134" s="344" t="s">
        <v>793</v>
      </c>
      <c r="M134" s="346">
        <v>0</v>
      </c>
      <c r="N134" s="347">
        <v>46219</v>
      </c>
      <c r="O134" s="347">
        <v>46231</v>
      </c>
      <c r="P134" s="349" t="s">
        <v>40</v>
      </c>
      <c r="Q134" s="349" t="s">
        <v>794</v>
      </c>
      <c r="R134" s="350">
        <v>0</v>
      </c>
      <c r="S134" s="352">
        <v>46232</v>
      </c>
      <c r="T134" s="352">
        <v>46238</v>
      </c>
      <c r="U134" s="354" t="s">
        <v>40</v>
      </c>
      <c r="V134" s="354" t="s">
        <v>795</v>
      </c>
      <c r="W134" s="355">
        <v>0</v>
      </c>
      <c r="X134" s="357">
        <v>46247</v>
      </c>
      <c r="Y134" s="357">
        <v>46249</v>
      </c>
      <c r="Z134" s="359" t="s">
        <v>40</v>
      </c>
      <c r="AA134" s="359" t="s">
        <v>796</v>
      </c>
      <c r="AB134" s="360">
        <v>0</v>
      </c>
      <c r="AC134" s="362">
        <v>46250</v>
      </c>
      <c r="AD134" s="326">
        <v>46257</v>
      </c>
      <c r="AE134" s="327" t="s">
        <v>40</v>
      </c>
      <c r="AF134" s="365" t="s">
        <v>795</v>
      </c>
      <c r="AG134" s="366">
        <v>0</v>
      </c>
      <c r="AH134" s="368">
        <v>46266</v>
      </c>
      <c r="AI134" s="368">
        <v>46269</v>
      </c>
      <c r="AJ134" s="369" t="s">
        <v>165</v>
      </c>
      <c r="AK134" s="373" t="s">
        <v>795</v>
      </c>
      <c r="AL134" s="370">
        <v>0</v>
      </c>
      <c r="AM134" s="168" t="s">
        <v>422</v>
      </c>
      <c r="AN134" s="168" t="s">
        <v>422</v>
      </c>
      <c r="AO134" s="168" t="s">
        <v>40</v>
      </c>
      <c r="AP134" s="170">
        <v>0</v>
      </c>
      <c r="AQ134"/>
    </row>
    <row r="135" spans="1:43">
      <c r="A135" s="292" t="s">
        <v>670</v>
      </c>
      <c r="B135" s="299" t="s">
        <v>814</v>
      </c>
      <c r="C135" s="299">
        <v>1</v>
      </c>
      <c r="D135" s="149">
        <v>46195</v>
      </c>
      <c r="E135" s="149">
        <v>46200</v>
      </c>
      <c r="F135" s="341" t="s">
        <v>40</v>
      </c>
      <c r="G135" s="308" t="s">
        <v>792</v>
      </c>
      <c r="H135" s="372">
        <v>0</v>
      </c>
      <c r="I135" s="169">
        <v>46210</v>
      </c>
      <c r="J135" s="342">
        <v>46218</v>
      </c>
      <c r="K135" s="344" t="s">
        <v>40</v>
      </c>
      <c r="L135" s="344" t="s">
        <v>793</v>
      </c>
      <c r="M135" s="346">
        <v>0</v>
      </c>
      <c r="N135" s="347">
        <v>46219</v>
      </c>
      <c r="O135" s="347">
        <v>46231</v>
      </c>
      <c r="P135" s="349" t="s">
        <v>40</v>
      </c>
      <c r="Q135" s="349" t="s">
        <v>794</v>
      </c>
      <c r="R135" s="350">
        <v>0</v>
      </c>
      <c r="S135" s="352">
        <v>46232</v>
      </c>
      <c r="T135" s="352">
        <v>46238</v>
      </c>
      <c r="U135" s="354" t="s">
        <v>40</v>
      </c>
      <c r="V135" s="354" t="s">
        <v>795</v>
      </c>
      <c r="W135" s="355">
        <v>0</v>
      </c>
      <c r="X135" s="357">
        <v>46247</v>
      </c>
      <c r="Y135" s="357">
        <v>46249</v>
      </c>
      <c r="Z135" s="359" t="s">
        <v>40</v>
      </c>
      <c r="AA135" s="359" t="s">
        <v>796</v>
      </c>
      <c r="AB135" s="360">
        <v>0</v>
      </c>
      <c r="AC135" s="362">
        <v>46250</v>
      </c>
      <c r="AD135" s="326">
        <v>46257</v>
      </c>
      <c r="AE135" s="327" t="s">
        <v>40</v>
      </c>
      <c r="AF135" s="365" t="s">
        <v>795</v>
      </c>
      <c r="AG135" s="366">
        <v>0</v>
      </c>
      <c r="AH135" s="368">
        <v>46266</v>
      </c>
      <c r="AI135" s="368">
        <v>46269</v>
      </c>
      <c r="AJ135" s="369" t="s">
        <v>165</v>
      </c>
      <c r="AK135" s="373" t="s">
        <v>795</v>
      </c>
      <c r="AL135" s="370">
        <v>0</v>
      </c>
      <c r="AM135" s="168" t="s">
        <v>422</v>
      </c>
      <c r="AN135" s="168" t="s">
        <v>422</v>
      </c>
      <c r="AO135" s="168" t="s">
        <v>40</v>
      </c>
      <c r="AP135" s="170">
        <v>0</v>
      </c>
      <c r="AQ135"/>
    </row>
    <row r="136" spans="1:43">
      <c r="A136" s="292" t="s">
        <v>670</v>
      </c>
      <c r="B136" s="299" t="s">
        <v>815</v>
      </c>
      <c r="C136" s="299">
        <v>1</v>
      </c>
      <c r="D136" s="149">
        <v>46195</v>
      </c>
      <c r="E136" s="149">
        <v>46200</v>
      </c>
      <c r="F136" s="341" t="s">
        <v>40</v>
      </c>
      <c r="G136" s="308" t="s">
        <v>792</v>
      </c>
      <c r="H136" s="372">
        <v>0</v>
      </c>
      <c r="I136" s="169">
        <v>46210</v>
      </c>
      <c r="J136" s="342">
        <v>46218</v>
      </c>
      <c r="K136" s="344" t="s">
        <v>40</v>
      </c>
      <c r="L136" s="344" t="s">
        <v>793</v>
      </c>
      <c r="M136" s="346">
        <v>0</v>
      </c>
      <c r="N136" s="347">
        <v>46219</v>
      </c>
      <c r="O136" s="347">
        <v>46231</v>
      </c>
      <c r="P136" s="349" t="s">
        <v>40</v>
      </c>
      <c r="Q136" s="349" t="s">
        <v>794</v>
      </c>
      <c r="R136" s="350">
        <v>0</v>
      </c>
      <c r="S136" s="352">
        <v>46232</v>
      </c>
      <c r="T136" s="352">
        <v>46238</v>
      </c>
      <c r="U136" s="354" t="s">
        <v>40</v>
      </c>
      <c r="V136" s="354" t="s">
        <v>795</v>
      </c>
      <c r="W136" s="355">
        <v>0</v>
      </c>
      <c r="X136" s="357">
        <v>46247</v>
      </c>
      <c r="Y136" s="357">
        <v>46249</v>
      </c>
      <c r="Z136" s="359" t="s">
        <v>40</v>
      </c>
      <c r="AA136" s="359" t="s">
        <v>796</v>
      </c>
      <c r="AB136" s="360">
        <v>0</v>
      </c>
      <c r="AC136" s="362">
        <v>46250</v>
      </c>
      <c r="AD136" s="326">
        <v>46257</v>
      </c>
      <c r="AE136" s="327" t="s">
        <v>40</v>
      </c>
      <c r="AF136" s="365" t="s">
        <v>795</v>
      </c>
      <c r="AG136" s="366">
        <v>0</v>
      </c>
      <c r="AH136" s="368">
        <v>46266</v>
      </c>
      <c r="AI136" s="368">
        <v>46269</v>
      </c>
      <c r="AJ136" s="369" t="s">
        <v>165</v>
      </c>
      <c r="AK136" s="373" t="s">
        <v>795</v>
      </c>
      <c r="AL136" s="370">
        <v>0</v>
      </c>
      <c r="AM136" s="168" t="s">
        <v>422</v>
      </c>
      <c r="AN136" s="168" t="s">
        <v>422</v>
      </c>
      <c r="AO136" s="168" t="s">
        <v>40</v>
      </c>
      <c r="AP136" s="170">
        <v>0</v>
      </c>
      <c r="AQ136"/>
    </row>
    <row r="137" spans="1:43">
      <c r="A137" s="292" t="s">
        <v>670</v>
      </c>
      <c r="B137" s="299" t="s">
        <v>816</v>
      </c>
      <c r="C137" s="299">
        <v>1</v>
      </c>
      <c r="D137" s="149">
        <v>46195</v>
      </c>
      <c r="E137" s="149">
        <v>46200</v>
      </c>
      <c r="F137" s="341" t="s">
        <v>40</v>
      </c>
      <c r="G137" s="308" t="s">
        <v>792</v>
      </c>
      <c r="H137" s="372">
        <v>0</v>
      </c>
      <c r="I137" s="169">
        <v>46210</v>
      </c>
      <c r="J137" s="342">
        <v>46218</v>
      </c>
      <c r="K137" s="344" t="s">
        <v>40</v>
      </c>
      <c r="L137" s="344" t="s">
        <v>793</v>
      </c>
      <c r="M137" s="346">
        <v>0</v>
      </c>
      <c r="N137" s="347">
        <v>46219</v>
      </c>
      <c r="O137" s="347">
        <v>46231</v>
      </c>
      <c r="P137" s="349" t="s">
        <v>40</v>
      </c>
      <c r="Q137" s="349" t="s">
        <v>794</v>
      </c>
      <c r="R137" s="350">
        <v>0</v>
      </c>
      <c r="S137" s="352">
        <v>46232</v>
      </c>
      <c r="T137" s="352">
        <v>46238</v>
      </c>
      <c r="U137" s="354" t="s">
        <v>40</v>
      </c>
      <c r="V137" s="354" t="s">
        <v>795</v>
      </c>
      <c r="W137" s="355">
        <v>0</v>
      </c>
      <c r="X137" s="357">
        <v>46247</v>
      </c>
      <c r="Y137" s="357">
        <v>46249</v>
      </c>
      <c r="Z137" s="359" t="s">
        <v>40</v>
      </c>
      <c r="AA137" s="359" t="s">
        <v>796</v>
      </c>
      <c r="AB137" s="360">
        <v>0</v>
      </c>
      <c r="AC137" s="362">
        <v>46250</v>
      </c>
      <c r="AD137" s="326">
        <v>46257</v>
      </c>
      <c r="AE137" s="327" t="s">
        <v>40</v>
      </c>
      <c r="AF137" s="365" t="s">
        <v>795</v>
      </c>
      <c r="AG137" s="366">
        <v>0</v>
      </c>
      <c r="AH137" s="368">
        <v>46266</v>
      </c>
      <c r="AI137" s="368">
        <v>46269</v>
      </c>
      <c r="AJ137" s="369" t="s">
        <v>165</v>
      </c>
      <c r="AK137" s="373" t="s">
        <v>795</v>
      </c>
      <c r="AL137" s="370">
        <v>0</v>
      </c>
      <c r="AM137" s="168" t="s">
        <v>422</v>
      </c>
      <c r="AN137" s="168" t="s">
        <v>422</v>
      </c>
      <c r="AO137" s="168" t="s">
        <v>40</v>
      </c>
      <c r="AP137" s="170">
        <v>0</v>
      </c>
      <c r="AQ137"/>
    </row>
    <row r="138" spans="1:43">
      <c r="A138" s="292" t="s">
        <v>670</v>
      </c>
      <c r="B138" s="299" t="s">
        <v>817</v>
      </c>
      <c r="C138" s="299">
        <v>1</v>
      </c>
      <c r="D138" s="149">
        <v>46195</v>
      </c>
      <c r="E138" s="149">
        <v>46200</v>
      </c>
      <c r="F138" s="341" t="s">
        <v>40</v>
      </c>
      <c r="G138" s="308" t="s">
        <v>792</v>
      </c>
      <c r="H138" s="372">
        <v>0</v>
      </c>
      <c r="I138" s="169">
        <v>46210</v>
      </c>
      <c r="J138" s="342">
        <v>46218</v>
      </c>
      <c r="K138" s="344" t="s">
        <v>40</v>
      </c>
      <c r="L138" s="344" t="s">
        <v>793</v>
      </c>
      <c r="M138" s="346">
        <v>0</v>
      </c>
      <c r="N138" s="347">
        <v>46219</v>
      </c>
      <c r="O138" s="347">
        <v>46231</v>
      </c>
      <c r="P138" s="349" t="s">
        <v>40</v>
      </c>
      <c r="Q138" s="349" t="s">
        <v>794</v>
      </c>
      <c r="R138" s="350">
        <v>0</v>
      </c>
      <c r="S138" s="352">
        <v>46232</v>
      </c>
      <c r="T138" s="352">
        <v>46238</v>
      </c>
      <c r="U138" s="354" t="s">
        <v>40</v>
      </c>
      <c r="V138" s="354" t="s">
        <v>795</v>
      </c>
      <c r="W138" s="355">
        <v>0</v>
      </c>
      <c r="X138" s="357">
        <v>46247</v>
      </c>
      <c r="Y138" s="357">
        <v>46249</v>
      </c>
      <c r="Z138" s="359" t="s">
        <v>40</v>
      </c>
      <c r="AA138" s="359" t="s">
        <v>796</v>
      </c>
      <c r="AB138" s="360">
        <v>0</v>
      </c>
      <c r="AC138" s="362">
        <v>46250</v>
      </c>
      <c r="AD138" s="326">
        <v>46257</v>
      </c>
      <c r="AE138" s="327" t="s">
        <v>40</v>
      </c>
      <c r="AF138" s="365" t="s">
        <v>795</v>
      </c>
      <c r="AG138" s="366">
        <v>0</v>
      </c>
      <c r="AH138" s="368">
        <v>46266</v>
      </c>
      <c r="AI138" s="368">
        <v>46269</v>
      </c>
      <c r="AJ138" s="369" t="s">
        <v>165</v>
      </c>
      <c r="AK138" s="373" t="s">
        <v>795</v>
      </c>
      <c r="AL138" s="370">
        <v>0</v>
      </c>
      <c r="AM138" s="168" t="s">
        <v>422</v>
      </c>
      <c r="AN138" s="168" t="s">
        <v>422</v>
      </c>
      <c r="AO138" s="168" t="s">
        <v>40</v>
      </c>
      <c r="AP138" s="170">
        <v>0</v>
      </c>
      <c r="AQ138"/>
    </row>
    <row r="139" spans="1:43">
      <c r="A139" s="292" t="s">
        <v>670</v>
      </c>
      <c r="B139" s="299" t="s">
        <v>818</v>
      </c>
      <c r="C139" s="299">
        <v>1</v>
      </c>
      <c r="D139" s="149">
        <v>46195</v>
      </c>
      <c r="E139" s="149">
        <v>46200</v>
      </c>
      <c r="F139" s="341" t="s">
        <v>40</v>
      </c>
      <c r="G139" s="308" t="s">
        <v>792</v>
      </c>
      <c r="H139" s="372">
        <v>0</v>
      </c>
      <c r="I139" s="169">
        <v>46210</v>
      </c>
      <c r="J139" s="342">
        <v>46218</v>
      </c>
      <c r="K139" s="344" t="s">
        <v>40</v>
      </c>
      <c r="L139" s="344" t="s">
        <v>793</v>
      </c>
      <c r="M139" s="346">
        <v>0</v>
      </c>
      <c r="N139" s="347">
        <v>46219</v>
      </c>
      <c r="O139" s="347">
        <v>46231</v>
      </c>
      <c r="P139" s="349" t="s">
        <v>40</v>
      </c>
      <c r="Q139" s="349" t="s">
        <v>794</v>
      </c>
      <c r="R139" s="350">
        <v>0</v>
      </c>
      <c r="S139" s="352">
        <v>46232</v>
      </c>
      <c r="T139" s="352">
        <v>46238</v>
      </c>
      <c r="U139" s="354" t="s">
        <v>40</v>
      </c>
      <c r="V139" s="354" t="s">
        <v>795</v>
      </c>
      <c r="W139" s="355">
        <v>0</v>
      </c>
      <c r="X139" s="357">
        <v>46247</v>
      </c>
      <c r="Y139" s="357">
        <v>46249</v>
      </c>
      <c r="Z139" s="359" t="s">
        <v>40</v>
      </c>
      <c r="AA139" s="359" t="s">
        <v>796</v>
      </c>
      <c r="AB139" s="360">
        <v>0</v>
      </c>
      <c r="AC139" s="362">
        <v>46250</v>
      </c>
      <c r="AD139" s="326">
        <v>46257</v>
      </c>
      <c r="AE139" s="327" t="s">
        <v>40</v>
      </c>
      <c r="AF139" s="365" t="s">
        <v>795</v>
      </c>
      <c r="AG139" s="366">
        <v>0</v>
      </c>
      <c r="AH139" s="368">
        <v>46266</v>
      </c>
      <c r="AI139" s="368">
        <v>46269</v>
      </c>
      <c r="AJ139" s="369" t="s">
        <v>165</v>
      </c>
      <c r="AK139" s="373" t="s">
        <v>795</v>
      </c>
      <c r="AL139" s="370">
        <v>0</v>
      </c>
      <c r="AM139" s="168" t="s">
        <v>422</v>
      </c>
      <c r="AN139" s="168" t="s">
        <v>422</v>
      </c>
      <c r="AO139" s="168" t="s">
        <v>40</v>
      </c>
      <c r="AP139" s="170">
        <v>0</v>
      </c>
      <c r="AQ139"/>
    </row>
    <row r="140" spans="1:43">
      <c r="A140" s="292" t="s">
        <v>670</v>
      </c>
      <c r="B140" s="299" t="s">
        <v>819</v>
      </c>
      <c r="C140" s="299">
        <v>1</v>
      </c>
      <c r="D140" s="149">
        <v>46195</v>
      </c>
      <c r="E140" s="149">
        <v>46200</v>
      </c>
      <c r="F140" s="341" t="s">
        <v>40</v>
      </c>
      <c r="G140" s="308" t="s">
        <v>792</v>
      </c>
      <c r="H140" s="372">
        <v>0</v>
      </c>
      <c r="I140" s="169">
        <v>46210</v>
      </c>
      <c r="J140" s="342">
        <v>46218</v>
      </c>
      <c r="K140" s="344" t="s">
        <v>40</v>
      </c>
      <c r="L140" s="344" t="s">
        <v>793</v>
      </c>
      <c r="M140" s="346">
        <v>0</v>
      </c>
      <c r="N140" s="347">
        <v>46219</v>
      </c>
      <c r="O140" s="347">
        <v>46231</v>
      </c>
      <c r="P140" s="349" t="s">
        <v>40</v>
      </c>
      <c r="Q140" s="349" t="s">
        <v>794</v>
      </c>
      <c r="R140" s="350">
        <v>0</v>
      </c>
      <c r="S140" s="352">
        <v>46232</v>
      </c>
      <c r="T140" s="352">
        <v>46238</v>
      </c>
      <c r="U140" s="354" t="s">
        <v>40</v>
      </c>
      <c r="V140" s="354" t="s">
        <v>795</v>
      </c>
      <c r="W140" s="355">
        <v>0</v>
      </c>
      <c r="X140" s="357">
        <v>46247</v>
      </c>
      <c r="Y140" s="357">
        <v>46249</v>
      </c>
      <c r="Z140" s="359" t="s">
        <v>40</v>
      </c>
      <c r="AA140" s="359" t="s">
        <v>796</v>
      </c>
      <c r="AB140" s="360">
        <v>0</v>
      </c>
      <c r="AC140" s="362">
        <v>46250</v>
      </c>
      <c r="AD140" s="326">
        <v>46257</v>
      </c>
      <c r="AE140" s="327" t="s">
        <v>40</v>
      </c>
      <c r="AF140" s="365" t="s">
        <v>795</v>
      </c>
      <c r="AG140" s="366">
        <v>0</v>
      </c>
      <c r="AH140" s="368">
        <v>46266</v>
      </c>
      <c r="AI140" s="368">
        <v>46269</v>
      </c>
      <c r="AJ140" s="369" t="s">
        <v>165</v>
      </c>
      <c r="AK140" s="373" t="s">
        <v>795</v>
      </c>
      <c r="AL140" s="370">
        <v>0</v>
      </c>
      <c r="AM140" s="168" t="s">
        <v>422</v>
      </c>
      <c r="AN140" s="168" t="s">
        <v>422</v>
      </c>
      <c r="AO140" s="168" t="s">
        <v>40</v>
      </c>
      <c r="AP140" s="170">
        <v>0</v>
      </c>
      <c r="AQ140"/>
    </row>
    <row r="141" spans="1:43">
      <c r="A141" s="292" t="s">
        <v>670</v>
      </c>
      <c r="B141" s="299" t="s">
        <v>820</v>
      </c>
      <c r="C141" s="299">
        <v>1</v>
      </c>
      <c r="D141" s="149">
        <v>46195</v>
      </c>
      <c r="E141" s="149">
        <v>46200</v>
      </c>
      <c r="F141" s="341" t="s">
        <v>40</v>
      </c>
      <c r="G141" s="308" t="s">
        <v>792</v>
      </c>
      <c r="H141" s="372">
        <v>0</v>
      </c>
      <c r="I141" s="169">
        <v>46210</v>
      </c>
      <c r="J141" s="342">
        <v>46218</v>
      </c>
      <c r="K141" s="344" t="s">
        <v>40</v>
      </c>
      <c r="L141" s="344" t="s">
        <v>793</v>
      </c>
      <c r="M141" s="346">
        <v>0</v>
      </c>
      <c r="N141" s="347">
        <v>46219</v>
      </c>
      <c r="O141" s="347">
        <v>46231</v>
      </c>
      <c r="P141" s="349" t="s">
        <v>40</v>
      </c>
      <c r="Q141" s="349" t="s">
        <v>794</v>
      </c>
      <c r="R141" s="350">
        <v>0</v>
      </c>
      <c r="S141" s="352">
        <v>46232</v>
      </c>
      <c r="T141" s="352">
        <v>46238</v>
      </c>
      <c r="U141" s="354" t="s">
        <v>40</v>
      </c>
      <c r="V141" s="354" t="s">
        <v>795</v>
      </c>
      <c r="W141" s="355">
        <v>0</v>
      </c>
      <c r="X141" s="357">
        <v>46247</v>
      </c>
      <c r="Y141" s="357">
        <v>46249</v>
      </c>
      <c r="Z141" s="359" t="s">
        <v>40</v>
      </c>
      <c r="AA141" s="359" t="s">
        <v>796</v>
      </c>
      <c r="AB141" s="360">
        <v>0</v>
      </c>
      <c r="AC141" s="362">
        <v>46250</v>
      </c>
      <c r="AD141" s="326">
        <v>46257</v>
      </c>
      <c r="AE141" s="327" t="s">
        <v>40</v>
      </c>
      <c r="AF141" s="365" t="s">
        <v>795</v>
      </c>
      <c r="AG141" s="366">
        <v>0</v>
      </c>
      <c r="AH141" s="368">
        <v>46266</v>
      </c>
      <c r="AI141" s="368">
        <v>46269</v>
      </c>
      <c r="AJ141" s="369" t="s">
        <v>165</v>
      </c>
      <c r="AK141" s="373" t="s">
        <v>795</v>
      </c>
      <c r="AL141" s="370">
        <v>0</v>
      </c>
      <c r="AM141" s="168" t="s">
        <v>422</v>
      </c>
      <c r="AN141" s="168" t="s">
        <v>422</v>
      </c>
      <c r="AO141" s="168" t="s">
        <v>40</v>
      </c>
      <c r="AP141" s="170">
        <v>0</v>
      </c>
      <c r="AQ141"/>
    </row>
    <row r="142" spans="1:43">
      <c r="A142" s="292" t="s">
        <v>670</v>
      </c>
      <c r="B142" s="299" t="s">
        <v>821</v>
      </c>
      <c r="C142" s="299">
        <v>1</v>
      </c>
      <c r="D142" s="149">
        <v>46195</v>
      </c>
      <c r="E142" s="149">
        <v>46200</v>
      </c>
      <c r="F142" s="341" t="s">
        <v>40</v>
      </c>
      <c r="G142" s="308" t="s">
        <v>792</v>
      </c>
      <c r="H142" s="372">
        <v>0</v>
      </c>
      <c r="I142" s="169">
        <v>46210</v>
      </c>
      <c r="J142" s="342">
        <v>46218</v>
      </c>
      <c r="K142" s="344" t="s">
        <v>40</v>
      </c>
      <c r="L142" s="344" t="s">
        <v>793</v>
      </c>
      <c r="M142" s="346">
        <v>0</v>
      </c>
      <c r="N142" s="347">
        <v>46219</v>
      </c>
      <c r="O142" s="347">
        <v>46231</v>
      </c>
      <c r="P142" s="349" t="s">
        <v>40</v>
      </c>
      <c r="Q142" s="349" t="s">
        <v>794</v>
      </c>
      <c r="R142" s="350">
        <v>0</v>
      </c>
      <c r="S142" s="352">
        <v>46232</v>
      </c>
      <c r="T142" s="352">
        <v>46238</v>
      </c>
      <c r="U142" s="354" t="s">
        <v>40</v>
      </c>
      <c r="V142" s="354" t="s">
        <v>795</v>
      </c>
      <c r="W142" s="355">
        <v>0</v>
      </c>
      <c r="X142" s="357">
        <v>46247</v>
      </c>
      <c r="Y142" s="357">
        <v>46249</v>
      </c>
      <c r="Z142" s="359" t="s">
        <v>40</v>
      </c>
      <c r="AA142" s="359" t="s">
        <v>796</v>
      </c>
      <c r="AB142" s="360">
        <v>0</v>
      </c>
      <c r="AC142" s="362">
        <v>46250</v>
      </c>
      <c r="AD142" s="326">
        <v>46257</v>
      </c>
      <c r="AE142" s="327" t="s">
        <v>40</v>
      </c>
      <c r="AF142" s="365" t="s">
        <v>795</v>
      </c>
      <c r="AG142" s="366">
        <v>0</v>
      </c>
      <c r="AH142" s="368">
        <v>46266</v>
      </c>
      <c r="AI142" s="368">
        <v>46269</v>
      </c>
      <c r="AJ142" s="369" t="s">
        <v>165</v>
      </c>
      <c r="AK142" s="373" t="s">
        <v>795</v>
      </c>
      <c r="AL142" s="370">
        <v>0</v>
      </c>
      <c r="AM142" s="168" t="s">
        <v>422</v>
      </c>
      <c r="AN142" s="168" t="s">
        <v>422</v>
      </c>
      <c r="AO142" s="168" t="s">
        <v>40</v>
      </c>
      <c r="AP142" s="170">
        <v>0</v>
      </c>
      <c r="AQ142"/>
    </row>
    <row r="143" spans="1:43">
      <c r="A143" s="292" t="s">
        <v>670</v>
      </c>
      <c r="B143" s="299" t="s">
        <v>822</v>
      </c>
      <c r="C143" s="299">
        <v>1</v>
      </c>
      <c r="D143" s="149">
        <v>46195</v>
      </c>
      <c r="E143" s="149">
        <v>46200</v>
      </c>
      <c r="F143" s="341" t="s">
        <v>40</v>
      </c>
      <c r="G143" s="308" t="s">
        <v>792</v>
      </c>
      <c r="H143" s="372">
        <v>0</v>
      </c>
      <c r="I143" s="169">
        <v>46210</v>
      </c>
      <c r="J143" s="342">
        <v>46218</v>
      </c>
      <c r="K143" s="344" t="s">
        <v>40</v>
      </c>
      <c r="L143" s="344" t="s">
        <v>793</v>
      </c>
      <c r="M143" s="346">
        <v>0</v>
      </c>
      <c r="N143" s="347">
        <v>46219</v>
      </c>
      <c r="O143" s="347">
        <v>46231</v>
      </c>
      <c r="P143" s="349" t="s">
        <v>40</v>
      </c>
      <c r="Q143" s="349" t="s">
        <v>794</v>
      </c>
      <c r="R143" s="350">
        <v>0</v>
      </c>
      <c r="S143" s="352">
        <v>46232</v>
      </c>
      <c r="T143" s="352">
        <v>46238</v>
      </c>
      <c r="U143" s="354" t="s">
        <v>40</v>
      </c>
      <c r="V143" s="354" t="s">
        <v>795</v>
      </c>
      <c r="W143" s="355">
        <v>0</v>
      </c>
      <c r="X143" s="357">
        <v>46247</v>
      </c>
      <c r="Y143" s="357">
        <v>46249</v>
      </c>
      <c r="Z143" s="359" t="s">
        <v>40</v>
      </c>
      <c r="AA143" s="359" t="s">
        <v>796</v>
      </c>
      <c r="AB143" s="360">
        <v>0</v>
      </c>
      <c r="AC143" s="362">
        <v>46250</v>
      </c>
      <c r="AD143" s="326">
        <v>46257</v>
      </c>
      <c r="AE143" s="327" t="s">
        <v>40</v>
      </c>
      <c r="AF143" s="365" t="s">
        <v>795</v>
      </c>
      <c r="AG143" s="366">
        <v>0</v>
      </c>
      <c r="AH143" s="368">
        <v>46266</v>
      </c>
      <c r="AI143" s="368">
        <v>46269</v>
      </c>
      <c r="AJ143" s="369" t="s">
        <v>165</v>
      </c>
      <c r="AK143" s="373" t="s">
        <v>795</v>
      </c>
      <c r="AL143" s="370">
        <v>0</v>
      </c>
      <c r="AM143" s="168" t="s">
        <v>422</v>
      </c>
      <c r="AN143" s="168" t="s">
        <v>422</v>
      </c>
      <c r="AO143" s="168" t="s">
        <v>40</v>
      </c>
      <c r="AP143" s="170">
        <v>0</v>
      </c>
      <c r="AQ143"/>
    </row>
    <row r="144" spans="1:43">
      <c r="A144" s="292" t="s">
        <v>670</v>
      </c>
      <c r="B144" s="299" t="s">
        <v>823</v>
      </c>
      <c r="C144" s="299">
        <v>1</v>
      </c>
      <c r="D144" s="149">
        <v>46195</v>
      </c>
      <c r="E144" s="149">
        <v>46200</v>
      </c>
      <c r="F144" s="341" t="s">
        <v>40</v>
      </c>
      <c r="G144" s="308" t="s">
        <v>792</v>
      </c>
      <c r="H144" s="372">
        <v>0</v>
      </c>
      <c r="I144" s="169">
        <v>46210</v>
      </c>
      <c r="J144" s="342">
        <v>46218</v>
      </c>
      <c r="K144" s="344" t="s">
        <v>40</v>
      </c>
      <c r="L144" s="344" t="s">
        <v>793</v>
      </c>
      <c r="M144" s="346">
        <v>0</v>
      </c>
      <c r="N144" s="347">
        <v>46219</v>
      </c>
      <c r="O144" s="347">
        <v>46231</v>
      </c>
      <c r="P144" s="349" t="s">
        <v>40</v>
      </c>
      <c r="Q144" s="349" t="s">
        <v>794</v>
      </c>
      <c r="R144" s="350">
        <v>0</v>
      </c>
      <c r="S144" s="352">
        <v>46232</v>
      </c>
      <c r="T144" s="352">
        <v>46238</v>
      </c>
      <c r="U144" s="354" t="s">
        <v>40</v>
      </c>
      <c r="V144" s="354" t="s">
        <v>795</v>
      </c>
      <c r="W144" s="355">
        <v>0</v>
      </c>
      <c r="X144" s="357">
        <v>46247</v>
      </c>
      <c r="Y144" s="357">
        <v>46249</v>
      </c>
      <c r="Z144" s="359" t="s">
        <v>40</v>
      </c>
      <c r="AA144" s="359" t="s">
        <v>796</v>
      </c>
      <c r="AB144" s="360">
        <v>0</v>
      </c>
      <c r="AC144" s="362">
        <v>46250</v>
      </c>
      <c r="AD144" s="326">
        <v>46257</v>
      </c>
      <c r="AE144" s="327" t="s">
        <v>40</v>
      </c>
      <c r="AF144" s="365" t="s">
        <v>795</v>
      </c>
      <c r="AG144" s="366">
        <v>0</v>
      </c>
      <c r="AH144" s="368">
        <v>46266</v>
      </c>
      <c r="AI144" s="368">
        <v>46269</v>
      </c>
      <c r="AJ144" s="369" t="s">
        <v>165</v>
      </c>
      <c r="AK144" s="373" t="s">
        <v>795</v>
      </c>
      <c r="AL144" s="370">
        <v>0</v>
      </c>
      <c r="AM144" s="168" t="s">
        <v>422</v>
      </c>
      <c r="AN144" s="168" t="s">
        <v>422</v>
      </c>
      <c r="AO144" s="168" t="s">
        <v>40</v>
      </c>
      <c r="AP144" s="170">
        <v>0</v>
      </c>
      <c r="AQ144"/>
    </row>
    <row r="145" spans="1:43">
      <c r="A145" s="292" t="s">
        <v>670</v>
      </c>
      <c r="B145" s="299" t="s">
        <v>824</v>
      </c>
      <c r="C145" s="299">
        <v>1</v>
      </c>
      <c r="D145" s="149">
        <v>46195</v>
      </c>
      <c r="E145" s="149">
        <v>46200</v>
      </c>
      <c r="F145" s="341" t="s">
        <v>40</v>
      </c>
      <c r="G145" s="308" t="s">
        <v>792</v>
      </c>
      <c r="H145" s="372">
        <v>0</v>
      </c>
      <c r="I145" s="169">
        <v>46210</v>
      </c>
      <c r="J145" s="342">
        <v>46218</v>
      </c>
      <c r="K145" s="344" t="s">
        <v>40</v>
      </c>
      <c r="L145" s="344" t="s">
        <v>793</v>
      </c>
      <c r="M145" s="346">
        <v>0</v>
      </c>
      <c r="N145" s="347">
        <v>46219</v>
      </c>
      <c r="O145" s="347">
        <v>46231</v>
      </c>
      <c r="P145" s="349" t="s">
        <v>40</v>
      </c>
      <c r="Q145" s="349" t="s">
        <v>794</v>
      </c>
      <c r="R145" s="350">
        <v>0</v>
      </c>
      <c r="S145" s="352">
        <v>46232</v>
      </c>
      <c r="T145" s="352">
        <v>46238</v>
      </c>
      <c r="U145" s="354" t="s">
        <v>40</v>
      </c>
      <c r="V145" s="354" t="s">
        <v>795</v>
      </c>
      <c r="W145" s="355">
        <v>0</v>
      </c>
      <c r="X145" s="357">
        <v>46247</v>
      </c>
      <c r="Y145" s="357">
        <v>46249</v>
      </c>
      <c r="Z145" s="359" t="s">
        <v>40</v>
      </c>
      <c r="AA145" s="359" t="s">
        <v>796</v>
      </c>
      <c r="AB145" s="360">
        <v>0</v>
      </c>
      <c r="AC145" s="362">
        <v>46250</v>
      </c>
      <c r="AD145" s="326">
        <v>46257</v>
      </c>
      <c r="AE145" s="327" t="s">
        <v>40</v>
      </c>
      <c r="AF145" s="365" t="s">
        <v>795</v>
      </c>
      <c r="AG145" s="366">
        <v>0</v>
      </c>
      <c r="AH145" s="368">
        <v>46266</v>
      </c>
      <c r="AI145" s="368">
        <v>46269</v>
      </c>
      <c r="AJ145" s="369" t="s">
        <v>165</v>
      </c>
      <c r="AK145" s="373" t="s">
        <v>795</v>
      </c>
      <c r="AL145" s="370">
        <v>0</v>
      </c>
      <c r="AM145" s="168" t="s">
        <v>422</v>
      </c>
      <c r="AN145" s="168" t="s">
        <v>422</v>
      </c>
      <c r="AO145" s="168" t="s">
        <v>40</v>
      </c>
      <c r="AP145" s="170">
        <v>0</v>
      </c>
      <c r="AQ145"/>
    </row>
    <row r="146" spans="1:43">
      <c r="A146" s="292" t="s">
        <v>670</v>
      </c>
      <c r="B146" s="299" t="s">
        <v>825</v>
      </c>
      <c r="C146" s="299">
        <v>1</v>
      </c>
      <c r="D146" s="149">
        <v>46195</v>
      </c>
      <c r="E146" s="149">
        <v>46200</v>
      </c>
      <c r="F146" s="341" t="s">
        <v>40</v>
      </c>
      <c r="G146" s="308" t="s">
        <v>792</v>
      </c>
      <c r="H146" s="372">
        <v>0</v>
      </c>
      <c r="I146" s="169">
        <v>46210</v>
      </c>
      <c r="J146" s="342">
        <v>46218</v>
      </c>
      <c r="K146" s="344" t="s">
        <v>40</v>
      </c>
      <c r="L146" s="344" t="s">
        <v>793</v>
      </c>
      <c r="M146" s="346">
        <v>0</v>
      </c>
      <c r="N146" s="347">
        <v>46219</v>
      </c>
      <c r="O146" s="347">
        <v>46231</v>
      </c>
      <c r="P146" s="349" t="s">
        <v>40</v>
      </c>
      <c r="Q146" s="349" t="s">
        <v>794</v>
      </c>
      <c r="R146" s="350">
        <v>0</v>
      </c>
      <c r="S146" s="352">
        <v>46232</v>
      </c>
      <c r="T146" s="352">
        <v>46238</v>
      </c>
      <c r="U146" s="354" t="s">
        <v>40</v>
      </c>
      <c r="V146" s="354" t="s">
        <v>795</v>
      </c>
      <c r="W146" s="355">
        <v>0</v>
      </c>
      <c r="X146" s="357">
        <v>46247</v>
      </c>
      <c r="Y146" s="357">
        <v>46249</v>
      </c>
      <c r="Z146" s="359" t="s">
        <v>40</v>
      </c>
      <c r="AA146" s="359" t="s">
        <v>796</v>
      </c>
      <c r="AB146" s="360">
        <v>0</v>
      </c>
      <c r="AC146" s="362">
        <v>46250</v>
      </c>
      <c r="AD146" s="326">
        <v>46257</v>
      </c>
      <c r="AE146" s="327" t="s">
        <v>40</v>
      </c>
      <c r="AF146" s="365" t="s">
        <v>795</v>
      </c>
      <c r="AG146" s="366">
        <v>0</v>
      </c>
      <c r="AH146" s="368">
        <v>46266</v>
      </c>
      <c r="AI146" s="368">
        <v>46269</v>
      </c>
      <c r="AJ146" s="369" t="s">
        <v>165</v>
      </c>
      <c r="AK146" s="373" t="s">
        <v>795</v>
      </c>
      <c r="AL146" s="370">
        <v>0</v>
      </c>
      <c r="AM146" s="168" t="s">
        <v>422</v>
      </c>
      <c r="AN146" s="168" t="s">
        <v>422</v>
      </c>
      <c r="AO146" s="168" t="s">
        <v>40</v>
      </c>
      <c r="AP146" s="170">
        <v>0</v>
      </c>
      <c r="AQ146"/>
    </row>
    <row r="147" spans="1:43">
      <c r="A147" s="292" t="s">
        <v>670</v>
      </c>
      <c r="B147" s="299" t="s">
        <v>826</v>
      </c>
      <c r="C147" s="299">
        <v>1</v>
      </c>
      <c r="D147" s="149">
        <v>46195</v>
      </c>
      <c r="E147" s="149">
        <v>46200</v>
      </c>
      <c r="F147" s="341" t="s">
        <v>40</v>
      </c>
      <c r="G147" s="308" t="s">
        <v>792</v>
      </c>
      <c r="H147" s="372">
        <v>0</v>
      </c>
      <c r="I147" s="169">
        <v>46210</v>
      </c>
      <c r="J147" s="342">
        <v>46218</v>
      </c>
      <c r="K147" s="344" t="s">
        <v>40</v>
      </c>
      <c r="L147" s="344" t="s">
        <v>793</v>
      </c>
      <c r="M147" s="346">
        <v>0</v>
      </c>
      <c r="N147" s="347">
        <v>46219</v>
      </c>
      <c r="O147" s="347">
        <v>46231</v>
      </c>
      <c r="P147" s="349" t="s">
        <v>40</v>
      </c>
      <c r="Q147" s="349" t="s">
        <v>794</v>
      </c>
      <c r="R147" s="350">
        <v>0</v>
      </c>
      <c r="S147" s="352">
        <v>46232</v>
      </c>
      <c r="T147" s="352">
        <v>46238</v>
      </c>
      <c r="U147" s="354" t="s">
        <v>40</v>
      </c>
      <c r="V147" s="354" t="s">
        <v>795</v>
      </c>
      <c r="W147" s="355">
        <v>0</v>
      </c>
      <c r="X147" s="357">
        <v>46247</v>
      </c>
      <c r="Y147" s="357">
        <v>46249</v>
      </c>
      <c r="Z147" s="359" t="s">
        <v>40</v>
      </c>
      <c r="AA147" s="359" t="s">
        <v>796</v>
      </c>
      <c r="AB147" s="360">
        <v>0</v>
      </c>
      <c r="AC147" s="362">
        <v>46250</v>
      </c>
      <c r="AD147" s="326">
        <v>46257</v>
      </c>
      <c r="AE147" s="327" t="s">
        <v>40</v>
      </c>
      <c r="AF147" s="365" t="s">
        <v>795</v>
      </c>
      <c r="AG147" s="366">
        <v>0</v>
      </c>
      <c r="AH147" s="368">
        <v>46266</v>
      </c>
      <c r="AI147" s="368">
        <v>46269</v>
      </c>
      <c r="AJ147" s="369" t="s">
        <v>165</v>
      </c>
      <c r="AK147" s="373" t="s">
        <v>795</v>
      </c>
      <c r="AL147" s="370">
        <v>0</v>
      </c>
      <c r="AM147" s="168" t="s">
        <v>422</v>
      </c>
      <c r="AN147" s="168" t="s">
        <v>422</v>
      </c>
      <c r="AO147" s="168" t="s">
        <v>40</v>
      </c>
      <c r="AP147" s="170">
        <v>0</v>
      </c>
      <c r="AQ147"/>
    </row>
    <row r="148" spans="1:43">
      <c r="A148" s="292" t="s">
        <v>670</v>
      </c>
      <c r="B148" s="299" t="s">
        <v>827</v>
      </c>
      <c r="C148" s="299">
        <v>1</v>
      </c>
      <c r="D148" s="149">
        <v>46195</v>
      </c>
      <c r="E148" s="149">
        <v>46200</v>
      </c>
      <c r="F148" s="341" t="s">
        <v>40</v>
      </c>
      <c r="G148" s="308" t="s">
        <v>792</v>
      </c>
      <c r="H148" s="372">
        <v>0</v>
      </c>
      <c r="I148" s="169">
        <v>46210</v>
      </c>
      <c r="J148" s="342">
        <v>46218</v>
      </c>
      <c r="K148" s="344" t="s">
        <v>40</v>
      </c>
      <c r="L148" s="344" t="s">
        <v>793</v>
      </c>
      <c r="M148" s="346">
        <v>0</v>
      </c>
      <c r="N148" s="347">
        <v>46219</v>
      </c>
      <c r="O148" s="347">
        <v>46231</v>
      </c>
      <c r="P148" s="349" t="s">
        <v>40</v>
      </c>
      <c r="Q148" s="349" t="s">
        <v>794</v>
      </c>
      <c r="R148" s="350">
        <v>0</v>
      </c>
      <c r="S148" s="352">
        <v>46232</v>
      </c>
      <c r="T148" s="352">
        <v>46238</v>
      </c>
      <c r="U148" s="354" t="s">
        <v>40</v>
      </c>
      <c r="V148" s="354" t="s">
        <v>795</v>
      </c>
      <c r="W148" s="355">
        <v>0</v>
      </c>
      <c r="X148" s="357">
        <v>46247</v>
      </c>
      <c r="Y148" s="357">
        <v>46249</v>
      </c>
      <c r="Z148" s="359" t="s">
        <v>40</v>
      </c>
      <c r="AA148" s="359" t="s">
        <v>796</v>
      </c>
      <c r="AB148" s="360">
        <v>0</v>
      </c>
      <c r="AC148" s="362">
        <v>46250</v>
      </c>
      <c r="AD148" s="326">
        <v>46257</v>
      </c>
      <c r="AE148" s="327" t="s">
        <v>40</v>
      </c>
      <c r="AF148" s="365" t="s">
        <v>795</v>
      </c>
      <c r="AG148" s="366">
        <v>0</v>
      </c>
      <c r="AH148" s="368">
        <v>46266</v>
      </c>
      <c r="AI148" s="368">
        <v>46269</v>
      </c>
      <c r="AJ148" s="369" t="s">
        <v>165</v>
      </c>
      <c r="AK148" s="373" t="s">
        <v>795</v>
      </c>
      <c r="AL148" s="370">
        <v>0</v>
      </c>
      <c r="AM148" s="168" t="s">
        <v>422</v>
      </c>
      <c r="AN148" s="168" t="s">
        <v>422</v>
      </c>
      <c r="AO148" s="168" t="s">
        <v>40</v>
      </c>
      <c r="AP148" s="170">
        <v>0</v>
      </c>
      <c r="AQ148"/>
    </row>
    <row r="149" spans="1:43">
      <c r="A149" s="292" t="s">
        <v>670</v>
      </c>
      <c r="B149" s="299" t="s">
        <v>828</v>
      </c>
      <c r="C149" s="299">
        <v>1</v>
      </c>
      <c r="D149" s="149">
        <v>46195</v>
      </c>
      <c r="E149" s="149">
        <v>46200</v>
      </c>
      <c r="F149" s="341" t="s">
        <v>40</v>
      </c>
      <c r="G149" s="308" t="s">
        <v>792</v>
      </c>
      <c r="H149" s="372">
        <v>0</v>
      </c>
      <c r="I149" s="169">
        <v>46210</v>
      </c>
      <c r="J149" s="342">
        <v>46218</v>
      </c>
      <c r="K149" s="344" t="s">
        <v>40</v>
      </c>
      <c r="L149" s="344" t="s">
        <v>793</v>
      </c>
      <c r="M149" s="346">
        <v>0</v>
      </c>
      <c r="N149" s="347">
        <v>46219</v>
      </c>
      <c r="O149" s="347">
        <v>46231</v>
      </c>
      <c r="P149" s="349" t="s">
        <v>40</v>
      </c>
      <c r="Q149" s="349" t="s">
        <v>794</v>
      </c>
      <c r="R149" s="350">
        <v>0</v>
      </c>
      <c r="S149" s="352">
        <v>46232</v>
      </c>
      <c r="T149" s="352">
        <v>46238</v>
      </c>
      <c r="U149" s="354" t="s">
        <v>40</v>
      </c>
      <c r="V149" s="354" t="s">
        <v>795</v>
      </c>
      <c r="W149" s="355">
        <v>0</v>
      </c>
      <c r="X149" s="357">
        <v>46247</v>
      </c>
      <c r="Y149" s="357">
        <v>46249</v>
      </c>
      <c r="Z149" s="359" t="s">
        <v>40</v>
      </c>
      <c r="AA149" s="359" t="s">
        <v>796</v>
      </c>
      <c r="AB149" s="360">
        <v>0</v>
      </c>
      <c r="AC149" s="362">
        <v>46250</v>
      </c>
      <c r="AD149" s="326">
        <v>46257</v>
      </c>
      <c r="AE149" s="327" t="s">
        <v>40</v>
      </c>
      <c r="AF149" s="365" t="s">
        <v>795</v>
      </c>
      <c r="AG149" s="366">
        <v>0</v>
      </c>
      <c r="AH149" s="368">
        <v>46266</v>
      </c>
      <c r="AI149" s="368">
        <v>46269</v>
      </c>
      <c r="AJ149" s="369" t="s">
        <v>165</v>
      </c>
      <c r="AK149" s="373" t="s">
        <v>795</v>
      </c>
      <c r="AL149" s="370">
        <v>0</v>
      </c>
      <c r="AM149" s="168" t="s">
        <v>422</v>
      </c>
      <c r="AN149" s="168" t="s">
        <v>422</v>
      </c>
      <c r="AO149" s="168" t="s">
        <v>40</v>
      </c>
      <c r="AP149" s="170">
        <v>0</v>
      </c>
      <c r="AQ149"/>
    </row>
    <row r="150" spans="1:43">
      <c r="A150" s="292" t="s">
        <v>670</v>
      </c>
      <c r="B150" s="299" t="s">
        <v>829</v>
      </c>
      <c r="C150" s="299">
        <v>1</v>
      </c>
      <c r="D150" s="149">
        <v>46195</v>
      </c>
      <c r="E150" s="149">
        <v>46200</v>
      </c>
      <c r="F150" s="341" t="s">
        <v>40</v>
      </c>
      <c r="G150" s="308" t="s">
        <v>792</v>
      </c>
      <c r="H150" s="372">
        <v>0</v>
      </c>
      <c r="I150" s="169">
        <v>46210</v>
      </c>
      <c r="J150" s="342">
        <v>46218</v>
      </c>
      <c r="K150" s="344" t="s">
        <v>40</v>
      </c>
      <c r="L150" s="344" t="s">
        <v>793</v>
      </c>
      <c r="M150" s="346">
        <v>0</v>
      </c>
      <c r="N150" s="347">
        <v>46219</v>
      </c>
      <c r="O150" s="347">
        <v>46231</v>
      </c>
      <c r="P150" s="349" t="s">
        <v>40</v>
      </c>
      <c r="Q150" s="349" t="s">
        <v>794</v>
      </c>
      <c r="R150" s="350">
        <v>0</v>
      </c>
      <c r="S150" s="352">
        <v>46232</v>
      </c>
      <c r="T150" s="352">
        <v>46238</v>
      </c>
      <c r="U150" s="354" t="s">
        <v>40</v>
      </c>
      <c r="V150" s="354" t="s">
        <v>795</v>
      </c>
      <c r="W150" s="355">
        <v>0</v>
      </c>
      <c r="X150" s="357">
        <v>46247</v>
      </c>
      <c r="Y150" s="357">
        <v>46249</v>
      </c>
      <c r="Z150" s="359" t="s">
        <v>40</v>
      </c>
      <c r="AA150" s="359" t="s">
        <v>796</v>
      </c>
      <c r="AB150" s="360">
        <v>0</v>
      </c>
      <c r="AC150" s="362">
        <v>46250</v>
      </c>
      <c r="AD150" s="326">
        <v>46257</v>
      </c>
      <c r="AE150" s="327" t="s">
        <v>40</v>
      </c>
      <c r="AF150" s="365" t="s">
        <v>795</v>
      </c>
      <c r="AG150" s="366">
        <v>0</v>
      </c>
      <c r="AH150" s="368">
        <v>46266</v>
      </c>
      <c r="AI150" s="368">
        <v>46269</v>
      </c>
      <c r="AJ150" s="369" t="s">
        <v>165</v>
      </c>
      <c r="AK150" s="373" t="s">
        <v>795</v>
      </c>
      <c r="AL150" s="370">
        <v>0</v>
      </c>
      <c r="AM150" s="168" t="s">
        <v>422</v>
      </c>
      <c r="AN150" s="168" t="s">
        <v>422</v>
      </c>
      <c r="AO150" s="168" t="s">
        <v>40</v>
      </c>
      <c r="AP150" s="170">
        <v>0</v>
      </c>
      <c r="AQ150"/>
    </row>
    <row r="151" spans="1:43">
      <c r="A151" s="292" t="s">
        <v>670</v>
      </c>
      <c r="B151" s="299" t="s">
        <v>830</v>
      </c>
      <c r="C151" s="299">
        <v>1</v>
      </c>
      <c r="D151" s="149">
        <v>46195</v>
      </c>
      <c r="E151" s="149">
        <v>46200</v>
      </c>
      <c r="F151" s="341" t="s">
        <v>40</v>
      </c>
      <c r="G151" s="308" t="s">
        <v>792</v>
      </c>
      <c r="H151" s="372">
        <v>0</v>
      </c>
      <c r="I151" s="169">
        <v>46210</v>
      </c>
      <c r="J151" s="342">
        <v>46218</v>
      </c>
      <c r="K151" s="344" t="s">
        <v>40</v>
      </c>
      <c r="L151" s="344" t="s">
        <v>793</v>
      </c>
      <c r="M151" s="346">
        <v>0</v>
      </c>
      <c r="N151" s="347">
        <v>46219</v>
      </c>
      <c r="O151" s="347">
        <v>46231</v>
      </c>
      <c r="P151" s="349" t="s">
        <v>40</v>
      </c>
      <c r="Q151" s="349" t="s">
        <v>794</v>
      </c>
      <c r="R151" s="350">
        <v>0</v>
      </c>
      <c r="S151" s="352">
        <v>46232</v>
      </c>
      <c r="T151" s="352">
        <v>46238</v>
      </c>
      <c r="U151" s="354" t="s">
        <v>40</v>
      </c>
      <c r="V151" s="354" t="s">
        <v>795</v>
      </c>
      <c r="W151" s="355">
        <v>0</v>
      </c>
      <c r="X151" s="357">
        <v>46247</v>
      </c>
      <c r="Y151" s="357">
        <v>46249</v>
      </c>
      <c r="Z151" s="359" t="s">
        <v>40</v>
      </c>
      <c r="AA151" s="359" t="s">
        <v>796</v>
      </c>
      <c r="AB151" s="360">
        <v>0</v>
      </c>
      <c r="AC151" s="362">
        <v>46250</v>
      </c>
      <c r="AD151" s="326">
        <v>46257</v>
      </c>
      <c r="AE151" s="327" t="s">
        <v>40</v>
      </c>
      <c r="AF151" s="365" t="s">
        <v>795</v>
      </c>
      <c r="AG151" s="366">
        <v>0</v>
      </c>
      <c r="AH151" s="368">
        <v>46266</v>
      </c>
      <c r="AI151" s="368">
        <v>46269</v>
      </c>
      <c r="AJ151" s="369" t="s">
        <v>165</v>
      </c>
      <c r="AK151" s="373" t="s">
        <v>795</v>
      </c>
      <c r="AL151" s="370">
        <v>0</v>
      </c>
      <c r="AM151" s="168" t="s">
        <v>422</v>
      </c>
      <c r="AN151" s="168" t="s">
        <v>422</v>
      </c>
      <c r="AO151" s="168" t="s">
        <v>40</v>
      </c>
      <c r="AP151" s="170">
        <v>0</v>
      </c>
      <c r="AQ151"/>
    </row>
    <row r="152" spans="1:43">
      <c r="A152" s="292" t="s">
        <v>670</v>
      </c>
      <c r="B152" s="299" t="s">
        <v>831</v>
      </c>
      <c r="C152" s="299">
        <v>1</v>
      </c>
      <c r="D152" s="149">
        <v>46195</v>
      </c>
      <c r="E152" s="149">
        <v>46200</v>
      </c>
      <c r="F152" s="341" t="s">
        <v>40</v>
      </c>
      <c r="G152" s="308" t="s">
        <v>792</v>
      </c>
      <c r="H152" s="372">
        <v>0</v>
      </c>
      <c r="I152" s="169">
        <v>46210</v>
      </c>
      <c r="J152" s="342">
        <v>46218</v>
      </c>
      <c r="K152" s="344" t="s">
        <v>40</v>
      </c>
      <c r="L152" s="344" t="s">
        <v>793</v>
      </c>
      <c r="M152" s="346">
        <v>0</v>
      </c>
      <c r="N152" s="347">
        <v>46219</v>
      </c>
      <c r="O152" s="347">
        <v>46231</v>
      </c>
      <c r="P152" s="349" t="s">
        <v>40</v>
      </c>
      <c r="Q152" s="349" t="s">
        <v>794</v>
      </c>
      <c r="R152" s="350">
        <v>0</v>
      </c>
      <c r="S152" s="352">
        <v>46232</v>
      </c>
      <c r="T152" s="352">
        <v>46238</v>
      </c>
      <c r="U152" s="354" t="s">
        <v>40</v>
      </c>
      <c r="V152" s="354" t="s">
        <v>795</v>
      </c>
      <c r="W152" s="355">
        <v>0</v>
      </c>
      <c r="X152" s="357">
        <v>46247</v>
      </c>
      <c r="Y152" s="357">
        <v>46249</v>
      </c>
      <c r="Z152" s="359" t="s">
        <v>40</v>
      </c>
      <c r="AA152" s="359" t="s">
        <v>796</v>
      </c>
      <c r="AB152" s="360">
        <v>0</v>
      </c>
      <c r="AC152" s="362">
        <v>46250</v>
      </c>
      <c r="AD152" s="326">
        <v>46257</v>
      </c>
      <c r="AE152" s="327" t="s">
        <v>40</v>
      </c>
      <c r="AF152" s="365" t="s">
        <v>795</v>
      </c>
      <c r="AG152" s="366">
        <v>0</v>
      </c>
      <c r="AH152" s="368">
        <v>46266</v>
      </c>
      <c r="AI152" s="368">
        <v>46269</v>
      </c>
      <c r="AJ152" s="369" t="s">
        <v>165</v>
      </c>
      <c r="AK152" s="373" t="s">
        <v>795</v>
      </c>
      <c r="AL152" s="370">
        <v>0</v>
      </c>
      <c r="AM152" s="168" t="s">
        <v>422</v>
      </c>
      <c r="AN152" s="168" t="s">
        <v>422</v>
      </c>
      <c r="AO152" s="168" t="s">
        <v>40</v>
      </c>
      <c r="AP152" s="170">
        <v>0</v>
      </c>
      <c r="AQ152"/>
    </row>
    <row r="153" spans="1:43">
      <c r="A153" s="292" t="s">
        <v>670</v>
      </c>
      <c r="B153" s="299" t="s">
        <v>832</v>
      </c>
      <c r="C153" s="299">
        <v>1</v>
      </c>
      <c r="D153" s="149">
        <v>46195</v>
      </c>
      <c r="E153" s="149">
        <v>46200</v>
      </c>
      <c r="F153" s="341" t="s">
        <v>40</v>
      </c>
      <c r="G153" s="308" t="s">
        <v>792</v>
      </c>
      <c r="H153" s="372">
        <v>0</v>
      </c>
      <c r="I153" s="169">
        <v>46210</v>
      </c>
      <c r="J153" s="342">
        <v>46218</v>
      </c>
      <c r="K153" s="344" t="s">
        <v>40</v>
      </c>
      <c r="L153" s="344" t="s">
        <v>793</v>
      </c>
      <c r="M153" s="346">
        <v>0</v>
      </c>
      <c r="N153" s="347">
        <v>46219</v>
      </c>
      <c r="O153" s="347">
        <v>46231</v>
      </c>
      <c r="P153" s="349" t="s">
        <v>40</v>
      </c>
      <c r="Q153" s="349" t="s">
        <v>794</v>
      </c>
      <c r="R153" s="350">
        <v>0</v>
      </c>
      <c r="S153" s="352">
        <v>46232</v>
      </c>
      <c r="T153" s="352">
        <v>46238</v>
      </c>
      <c r="U153" s="354" t="s">
        <v>40</v>
      </c>
      <c r="V153" s="354" t="s">
        <v>795</v>
      </c>
      <c r="W153" s="355">
        <v>0</v>
      </c>
      <c r="X153" s="357">
        <v>46247</v>
      </c>
      <c r="Y153" s="357">
        <v>46249</v>
      </c>
      <c r="Z153" s="359" t="s">
        <v>40</v>
      </c>
      <c r="AA153" s="359" t="s">
        <v>796</v>
      </c>
      <c r="AB153" s="360">
        <v>0</v>
      </c>
      <c r="AC153" s="362">
        <v>46250</v>
      </c>
      <c r="AD153" s="326">
        <v>46257</v>
      </c>
      <c r="AE153" s="327" t="s">
        <v>40</v>
      </c>
      <c r="AF153" s="365" t="s">
        <v>795</v>
      </c>
      <c r="AG153" s="366">
        <v>0</v>
      </c>
      <c r="AH153" s="368">
        <v>46266</v>
      </c>
      <c r="AI153" s="368">
        <v>46269</v>
      </c>
      <c r="AJ153" s="369" t="s">
        <v>165</v>
      </c>
      <c r="AK153" s="373" t="s">
        <v>795</v>
      </c>
      <c r="AL153" s="370">
        <v>0</v>
      </c>
      <c r="AM153" s="168" t="s">
        <v>422</v>
      </c>
      <c r="AN153" s="168" t="s">
        <v>422</v>
      </c>
      <c r="AO153" s="168" t="s">
        <v>40</v>
      </c>
      <c r="AP153" s="170">
        <v>0</v>
      </c>
      <c r="AQ153"/>
    </row>
    <row r="154" spans="1:43">
      <c r="A154" s="292" t="s">
        <v>670</v>
      </c>
      <c r="B154" s="299" t="s">
        <v>833</v>
      </c>
      <c r="C154" s="299">
        <v>1</v>
      </c>
      <c r="D154" s="149">
        <v>46195</v>
      </c>
      <c r="E154" s="149">
        <v>46200</v>
      </c>
      <c r="F154" s="341" t="s">
        <v>40</v>
      </c>
      <c r="G154" s="308" t="s">
        <v>792</v>
      </c>
      <c r="H154" s="372">
        <v>0</v>
      </c>
      <c r="I154" s="169">
        <v>46210</v>
      </c>
      <c r="J154" s="342">
        <v>46218</v>
      </c>
      <c r="K154" s="344" t="s">
        <v>40</v>
      </c>
      <c r="L154" s="344" t="s">
        <v>793</v>
      </c>
      <c r="M154" s="346">
        <v>0</v>
      </c>
      <c r="N154" s="347">
        <v>46219</v>
      </c>
      <c r="O154" s="347">
        <v>46231</v>
      </c>
      <c r="P154" s="349" t="s">
        <v>40</v>
      </c>
      <c r="Q154" s="349" t="s">
        <v>794</v>
      </c>
      <c r="R154" s="350">
        <v>0</v>
      </c>
      <c r="S154" s="352">
        <v>46232</v>
      </c>
      <c r="T154" s="352">
        <v>46238</v>
      </c>
      <c r="U154" s="354" t="s">
        <v>40</v>
      </c>
      <c r="V154" s="354" t="s">
        <v>795</v>
      </c>
      <c r="W154" s="355">
        <v>0</v>
      </c>
      <c r="X154" s="357">
        <v>46247</v>
      </c>
      <c r="Y154" s="357">
        <v>46249</v>
      </c>
      <c r="Z154" s="359" t="s">
        <v>40</v>
      </c>
      <c r="AA154" s="359" t="s">
        <v>796</v>
      </c>
      <c r="AB154" s="360">
        <v>0</v>
      </c>
      <c r="AC154" s="362">
        <v>46250</v>
      </c>
      <c r="AD154" s="326">
        <v>46257</v>
      </c>
      <c r="AE154" s="327" t="s">
        <v>40</v>
      </c>
      <c r="AF154" s="365" t="s">
        <v>795</v>
      </c>
      <c r="AG154" s="366">
        <v>0</v>
      </c>
      <c r="AH154" s="368">
        <v>46266</v>
      </c>
      <c r="AI154" s="368">
        <v>46269</v>
      </c>
      <c r="AJ154" s="369" t="s">
        <v>165</v>
      </c>
      <c r="AK154" s="373" t="s">
        <v>795</v>
      </c>
      <c r="AL154" s="370">
        <v>0</v>
      </c>
      <c r="AM154" s="168" t="s">
        <v>422</v>
      </c>
      <c r="AN154" s="168" t="s">
        <v>422</v>
      </c>
      <c r="AO154" s="168" t="s">
        <v>40</v>
      </c>
      <c r="AP154" s="170">
        <v>0</v>
      </c>
      <c r="AQ154"/>
    </row>
    <row r="155" spans="1:43">
      <c r="A155" s="292" t="s">
        <v>670</v>
      </c>
      <c r="B155" s="299" t="s">
        <v>834</v>
      </c>
      <c r="C155" s="299">
        <v>1</v>
      </c>
      <c r="D155" s="149">
        <v>46195</v>
      </c>
      <c r="E155" s="149">
        <v>46200</v>
      </c>
      <c r="F155" s="341" t="s">
        <v>40</v>
      </c>
      <c r="G155" s="308" t="s">
        <v>792</v>
      </c>
      <c r="H155" s="372">
        <v>0</v>
      </c>
      <c r="I155" s="169">
        <v>46210</v>
      </c>
      <c r="J155" s="342">
        <v>46218</v>
      </c>
      <c r="K155" s="344" t="s">
        <v>40</v>
      </c>
      <c r="L155" s="344" t="s">
        <v>793</v>
      </c>
      <c r="M155" s="346">
        <v>0</v>
      </c>
      <c r="N155" s="347">
        <v>46219</v>
      </c>
      <c r="O155" s="347">
        <v>46231</v>
      </c>
      <c r="P155" s="349" t="s">
        <v>40</v>
      </c>
      <c r="Q155" s="349" t="s">
        <v>794</v>
      </c>
      <c r="R155" s="350">
        <v>0</v>
      </c>
      <c r="S155" s="352">
        <v>46232</v>
      </c>
      <c r="T155" s="352">
        <v>46238</v>
      </c>
      <c r="U155" s="354" t="s">
        <v>40</v>
      </c>
      <c r="V155" s="354" t="s">
        <v>795</v>
      </c>
      <c r="W155" s="355">
        <v>0</v>
      </c>
      <c r="X155" s="357">
        <v>46247</v>
      </c>
      <c r="Y155" s="357">
        <v>46249</v>
      </c>
      <c r="Z155" s="359" t="s">
        <v>40</v>
      </c>
      <c r="AA155" s="359" t="s">
        <v>796</v>
      </c>
      <c r="AB155" s="360">
        <v>0</v>
      </c>
      <c r="AC155" s="362">
        <v>46250</v>
      </c>
      <c r="AD155" s="326">
        <v>46257</v>
      </c>
      <c r="AE155" s="327" t="s">
        <v>40</v>
      </c>
      <c r="AF155" s="365" t="s">
        <v>795</v>
      </c>
      <c r="AG155" s="366">
        <v>0</v>
      </c>
      <c r="AH155" s="368">
        <v>46266</v>
      </c>
      <c r="AI155" s="368">
        <v>46269</v>
      </c>
      <c r="AJ155" s="369" t="s">
        <v>165</v>
      </c>
      <c r="AK155" s="373" t="s">
        <v>795</v>
      </c>
      <c r="AL155" s="370">
        <v>0</v>
      </c>
      <c r="AM155" s="168" t="s">
        <v>422</v>
      </c>
      <c r="AN155" s="168" t="s">
        <v>422</v>
      </c>
      <c r="AO155" s="168" t="s">
        <v>40</v>
      </c>
      <c r="AP155" s="170">
        <v>0</v>
      </c>
      <c r="AQ155"/>
    </row>
    <row r="156" spans="1:43">
      <c r="A156" s="292" t="s">
        <v>670</v>
      </c>
      <c r="B156" s="299" t="s">
        <v>835</v>
      </c>
      <c r="C156" s="299">
        <v>1</v>
      </c>
      <c r="D156" s="149">
        <v>46195</v>
      </c>
      <c r="E156" s="149">
        <v>46200</v>
      </c>
      <c r="F156" s="341" t="s">
        <v>40</v>
      </c>
      <c r="G156" s="308" t="s">
        <v>792</v>
      </c>
      <c r="H156" s="372">
        <v>0</v>
      </c>
      <c r="I156" s="169">
        <v>46210</v>
      </c>
      <c r="J156" s="342">
        <v>46218</v>
      </c>
      <c r="K156" s="344" t="s">
        <v>40</v>
      </c>
      <c r="L156" s="344" t="s">
        <v>793</v>
      </c>
      <c r="M156" s="346">
        <v>0</v>
      </c>
      <c r="N156" s="347">
        <v>46219</v>
      </c>
      <c r="O156" s="347">
        <v>46231</v>
      </c>
      <c r="P156" s="349" t="s">
        <v>40</v>
      </c>
      <c r="Q156" s="349" t="s">
        <v>794</v>
      </c>
      <c r="R156" s="350">
        <v>0</v>
      </c>
      <c r="S156" s="352">
        <v>46232</v>
      </c>
      <c r="T156" s="352">
        <v>46238</v>
      </c>
      <c r="U156" s="354" t="s">
        <v>40</v>
      </c>
      <c r="V156" s="354" t="s">
        <v>795</v>
      </c>
      <c r="W156" s="355">
        <v>0</v>
      </c>
      <c r="X156" s="357">
        <v>46247</v>
      </c>
      <c r="Y156" s="357">
        <v>46249</v>
      </c>
      <c r="Z156" s="359" t="s">
        <v>40</v>
      </c>
      <c r="AA156" s="359" t="s">
        <v>796</v>
      </c>
      <c r="AB156" s="360">
        <v>0</v>
      </c>
      <c r="AC156" s="362">
        <v>46250</v>
      </c>
      <c r="AD156" s="326">
        <v>46257</v>
      </c>
      <c r="AE156" s="327" t="s">
        <v>40</v>
      </c>
      <c r="AF156" s="365" t="s">
        <v>795</v>
      </c>
      <c r="AG156" s="366">
        <v>0</v>
      </c>
      <c r="AH156" s="368">
        <v>46266</v>
      </c>
      <c r="AI156" s="368">
        <v>46269</v>
      </c>
      <c r="AJ156" s="369" t="s">
        <v>165</v>
      </c>
      <c r="AK156" s="373" t="s">
        <v>795</v>
      </c>
      <c r="AL156" s="370">
        <v>0</v>
      </c>
      <c r="AM156" s="168" t="s">
        <v>422</v>
      </c>
      <c r="AN156" s="168" t="s">
        <v>422</v>
      </c>
      <c r="AO156" s="168" t="s">
        <v>40</v>
      </c>
      <c r="AP156" s="170">
        <v>0</v>
      </c>
      <c r="AQ156"/>
    </row>
    <row r="157" spans="1:43">
      <c r="A157" s="292" t="s">
        <v>670</v>
      </c>
      <c r="B157" s="299" t="s">
        <v>836</v>
      </c>
      <c r="C157" s="299">
        <v>1</v>
      </c>
      <c r="D157" s="149">
        <v>46195</v>
      </c>
      <c r="E157" s="149">
        <v>46200</v>
      </c>
      <c r="F157" s="341" t="s">
        <v>40</v>
      </c>
      <c r="G157" s="308" t="s">
        <v>792</v>
      </c>
      <c r="H157" s="372">
        <v>0</v>
      </c>
      <c r="I157" s="169">
        <v>46210</v>
      </c>
      <c r="J157" s="342">
        <v>46218</v>
      </c>
      <c r="K157" s="344" t="s">
        <v>40</v>
      </c>
      <c r="L157" s="344" t="s">
        <v>793</v>
      </c>
      <c r="M157" s="346">
        <v>0</v>
      </c>
      <c r="N157" s="347">
        <v>46219</v>
      </c>
      <c r="O157" s="347">
        <v>46231</v>
      </c>
      <c r="P157" s="349" t="s">
        <v>40</v>
      </c>
      <c r="Q157" s="349" t="s">
        <v>794</v>
      </c>
      <c r="R157" s="350">
        <v>0</v>
      </c>
      <c r="S157" s="352">
        <v>46232</v>
      </c>
      <c r="T157" s="352">
        <v>46238</v>
      </c>
      <c r="U157" s="354" t="s">
        <v>40</v>
      </c>
      <c r="V157" s="354" t="s">
        <v>795</v>
      </c>
      <c r="W157" s="355">
        <v>0</v>
      </c>
      <c r="X157" s="357">
        <v>46247</v>
      </c>
      <c r="Y157" s="357">
        <v>46249</v>
      </c>
      <c r="Z157" s="359" t="s">
        <v>40</v>
      </c>
      <c r="AA157" s="359" t="s">
        <v>796</v>
      </c>
      <c r="AB157" s="360">
        <v>0</v>
      </c>
      <c r="AC157" s="362">
        <v>46250</v>
      </c>
      <c r="AD157" s="326">
        <v>46257</v>
      </c>
      <c r="AE157" s="327" t="s">
        <v>40</v>
      </c>
      <c r="AF157" s="365" t="s">
        <v>795</v>
      </c>
      <c r="AG157" s="366">
        <v>0</v>
      </c>
      <c r="AH157" s="368">
        <v>46266</v>
      </c>
      <c r="AI157" s="368">
        <v>46269</v>
      </c>
      <c r="AJ157" s="369" t="s">
        <v>165</v>
      </c>
      <c r="AK157" s="373" t="s">
        <v>795</v>
      </c>
      <c r="AL157" s="370">
        <v>0</v>
      </c>
      <c r="AM157" s="168" t="s">
        <v>422</v>
      </c>
      <c r="AN157" s="168" t="s">
        <v>422</v>
      </c>
      <c r="AO157" s="168" t="s">
        <v>40</v>
      </c>
      <c r="AP157" s="170">
        <v>0</v>
      </c>
      <c r="AQ157"/>
    </row>
    <row r="158" spans="1:43">
      <c r="A158" s="292" t="s">
        <v>670</v>
      </c>
      <c r="B158" s="299" t="s">
        <v>837</v>
      </c>
      <c r="C158" s="299">
        <v>1</v>
      </c>
      <c r="D158" s="149">
        <v>46195</v>
      </c>
      <c r="E158" s="149">
        <v>46200</v>
      </c>
      <c r="F158" s="341" t="s">
        <v>40</v>
      </c>
      <c r="G158" s="308" t="s">
        <v>792</v>
      </c>
      <c r="H158" s="372">
        <v>0</v>
      </c>
      <c r="I158" s="169">
        <v>46210</v>
      </c>
      <c r="J158" s="342">
        <v>46218</v>
      </c>
      <c r="K158" s="344" t="s">
        <v>40</v>
      </c>
      <c r="L158" s="344" t="s">
        <v>793</v>
      </c>
      <c r="M158" s="346">
        <v>0</v>
      </c>
      <c r="N158" s="347">
        <v>46219</v>
      </c>
      <c r="O158" s="347">
        <v>46231</v>
      </c>
      <c r="P158" s="349" t="s">
        <v>40</v>
      </c>
      <c r="Q158" s="349" t="s">
        <v>794</v>
      </c>
      <c r="R158" s="350">
        <v>0</v>
      </c>
      <c r="S158" s="352">
        <v>46232</v>
      </c>
      <c r="T158" s="352">
        <v>46238</v>
      </c>
      <c r="U158" s="354" t="s">
        <v>40</v>
      </c>
      <c r="V158" s="354" t="s">
        <v>795</v>
      </c>
      <c r="W158" s="355">
        <v>0</v>
      </c>
      <c r="X158" s="357">
        <v>46247</v>
      </c>
      <c r="Y158" s="357">
        <v>46249</v>
      </c>
      <c r="Z158" s="359" t="s">
        <v>40</v>
      </c>
      <c r="AA158" s="359" t="s">
        <v>796</v>
      </c>
      <c r="AB158" s="360">
        <v>0</v>
      </c>
      <c r="AC158" s="362">
        <v>46250</v>
      </c>
      <c r="AD158" s="326">
        <v>46257</v>
      </c>
      <c r="AE158" s="327" t="s">
        <v>40</v>
      </c>
      <c r="AF158" s="365" t="s">
        <v>795</v>
      </c>
      <c r="AG158" s="366">
        <v>0</v>
      </c>
      <c r="AH158" s="368">
        <v>46266</v>
      </c>
      <c r="AI158" s="368">
        <v>46269</v>
      </c>
      <c r="AJ158" s="369" t="s">
        <v>165</v>
      </c>
      <c r="AK158" s="373" t="s">
        <v>795</v>
      </c>
      <c r="AL158" s="370">
        <v>0</v>
      </c>
      <c r="AM158" s="168" t="s">
        <v>422</v>
      </c>
      <c r="AN158" s="168" t="s">
        <v>422</v>
      </c>
      <c r="AO158" s="168" t="s">
        <v>40</v>
      </c>
      <c r="AP158" s="170">
        <v>0</v>
      </c>
      <c r="AQ158"/>
    </row>
    <row r="159" spans="1:43">
      <c r="A159" s="292" t="s">
        <v>670</v>
      </c>
      <c r="B159" s="299" t="s">
        <v>838</v>
      </c>
      <c r="C159" s="299">
        <v>1</v>
      </c>
      <c r="D159" s="149">
        <v>46195</v>
      </c>
      <c r="E159" s="149">
        <v>46200</v>
      </c>
      <c r="F159" s="341" t="s">
        <v>40</v>
      </c>
      <c r="G159" s="308" t="s">
        <v>792</v>
      </c>
      <c r="H159" s="372">
        <v>0</v>
      </c>
      <c r="I159" s="169">
        <v>46210</v>
      </c>
      <c r="J159" s="342">
        <v>46218</v>
      </c>
      <c r="K159" s="344" t="s">
        <v>40</v>
      </c>
      <c r="L159" s="344" t="s">
        <v>793</v>
      </c>
      <c r="M159" s="346">
        <v>0</v>
      </c>
      <c r="N159" s="347">
        <v>46219</v>
      </c>
      <c r="O159" s="347">
        <v>46231</v>
      </c>
      <c r="P159" s="349" t="s">
        <v>40</v>
      </c>
      <c r="Q159" s="349" t="s">
        <v>794</v>
      </c>
      <c r="R159" s="350">
        <v>0</v>
      </c>
      <c r="S159" s="352">
        <v>46232</v>
      </c>
      <c r="T159" s="352">
        <v>46238</v>
      </c>
      <c r="U159" s="354" t="s">
        <v>40</v>
      </c>
      <c r="V159" s="354" t="s">
        <v>795</v>
      </c>
      <c r="W159" s="355">
        <v>0</v>
      </c>
      <c r="X159" s="357">
        <v>46247</v>
      </c>
      <c r="Y159" s="357">
        <v>46249</v>
      </c>
      <c r="Z159" s="359" t="s">
        <v>40</v>
      </c>
      <c r="AA159" s="359" t="s">
        <v>796</v>
      </c>
      <c r="AB159" s="360">
        <v>0</v>
      </c>
      <c r="AC159" s="362">
        <v>46250</v>
      </c>
      <c r="AD159" s="326">
        <v>46257</v>
      </c>
      <c r="AE159" s="327" t="s">
        <v>40</v>
      </c>
      <c r="AF159" s="365" t="s">
        <v>795</v>
      </c>
      <c r="AG159" s="366">
        <v>0</v>
      </c>
      <c r="AH159" s="368">
        <v>46266</v>
      </c>
      <c r="AI159" s="368">
        <v>46269</v>
      </c>
      <c r="AJ159" s="369" t="s">
        <v>165</v>
      </c>
      <c r="AK159" s="373" t="s">
        <v>795</v>
      </c>
      <c r="AL159" s="370">
        <v>0</v>
      </c>
      <c r="AM159" s="168" t="s">
        <v>422</v>
      </c>
      <c r="AN159" s="168" t="s">
        <v>422</v>
      </c>
      <c r="AO159" s="168" t="s">
        <v>40</v>
      </c>
      <c r="AP159" s="170">
        <v>0</v>
      </c>
      <c r="AQ159"/>
    </row>
    <row r="160" spans="1:43">
      <c r="A160" s="292" t="s">
        <v>670</v>
      </c>
      <c r="B160" s="299" t="s">
        <v>839</v>
      </c>
      <c r="C160" s="299">
        <v>1</v>
      </c>
      <c r="D160" s="149">
        <v>46195</v>
      </c>
      <c r="E160" s="149">
        <v>46200</v>
      </c>
      <c r="F160" s="341" t="s">
        <v>40</v>
      </c>
      <c r="G160" s="308" t="s">
        <v>792</v>
      </c>
      <c r="H160" s="372">
        <v>0</v>
      </c>
      <c r="I160" s="169">
        <v>46210</v>
      </c>
      <c r="J160" s="342">
        <v>46218</v>
      </c>
      <c r="K160" s="344" t="s">
        <v>40</v>
      </c>
      <c r="L160" s="344" t="s">
        <v>793</v>
      </c>
      <c r="M160" s="346">
        <v>0</v>
      </c>
      <c r="N160" s="347">
        <v>46219</v>
      </c>
      <c r="O160" s="347">
        <v>46231</v>
      </c>
      <c r="P160" s="349" t="s">
        <v>40</v>
      </c>
      <c r="Q160" s="349" t="s">
        <v>794</v>
      </c>
      <c r="R160" s="350">
        <v>0</v>
      </c>
      <c r="S160" s="352">
        <v>46232</v>
      </c>
      <c r="T160" s="352">
        <v>46238</v>
      </c>
      <c r="U160" s="354" t="s">
        <v>40</v>
      </c>
      <c r="V160" s="354" t="s">
        <v>795</v>
      </c>
      <c r="W160" s="355">
        <v>0</v>
      </c>
      <c r="X160" s="357">
        <v>46247</v>
      </c>
      <c r="Y160" s="357">
        <v>46249</v>
      </c>
      <c r="Z160" s="359" t="s">
        <v>40</v>
      </c>
      <c r="AA160" s="359" t="s">
        <v>796</v>
      </c>
      <c r="AB160" s="360">
        <v>0</v>
      </c>
      <c r="AC160" s="362">
        <v>46250</v>
      </c>
      <c r="AD160" s="326">
        <v>46257</v>
      </c>
      <c r="AE160" s="327" t="s">
        <v>40</v>
      </c>
      <c r="AF160" s="365" t="s">
        <v>795</v>
      </c>
      <c r="AG160" s="366">
        <v>0</v>
      </c>
      <c r="AH160" s="368">
        <v>46266</v>
      </c>
      <c r="AI160" s="368">
        <v>46269</v>
      </c>
      <c r="AJ160" s="369" t="s">
        <v>165</v>
      </c>
      <c r="AK160" s="373" t="s">
        <v>795</v>
      </c>
      <c r="AL160" s="370">
        <v>0</v>
      </c>
      <c r="AM160" s="168" t="s">
        <v>422</v>
      </c>
      <c r="AN160" s="168" t="s">
        <v>422</v>
      </c>
      <c r="AO160" s="168" t="s">
        <v>40</v>
      </c>
      <c r="AP160" s="170">
        <v>0</v>
      </c>
      <c r="AQ160"/>
    </row>
    <row r="161" spans="1:43">
      <c r="A161" s="292" t="s">
        <v>670</v>
      </c>
      <c r="B161" s="299" t="s">
        <v>840</v>
      </c>
      <c r="C161" s="299">
        <v>1</v>
      </c>
      <c r="D161" s="149">
        <v>46195</v>
      </c>
      <c r="E161" s="149">
        <v>46200</v>
      </c>
      <c r="F161" s="341" t="s">
        <v>40</v>
      </c>
      <c r="G161" s="308" t="s">
        <v>792</v>
      </c>
      <c r="H161" s="372">
        <v>0</v>
      </c>
      <c r="I161" s="169">
        <v>46210</v>
      </c>
      <c r="J161" s="342">
        <v>46218</v>
      </c>
      <c r="K161" s="344" t="s">
        <v>40</v>
      </c>
      <c r="L161" s="344" t="s">
        <v>793</v>
      </c>
      <c r="M161" s="346">
        <v>0</v>
      </c>
      <c r="N161" s="347">
        <v>46219</v>
      </c>
      <c r="O161" s="347">
        <v>46231</v>
      </c>
      <c r="P161" s="349" t="s">
        <v>40</v>
      </c>
      <c r="Q161" s="349" t="s">
        <v>794</v>
      </c>
      <c r="R161" s="350">
        <v>0</v>
      </c>
      <c r="S161" s="352">
        <v>46232</v>
      </c>
      <c r="T161" s="352">
        <v>46238</v>
      </c>
      <c r="U161" s="354" t="s">
        <v>40</v>
      </c>
      <c r="V161" s="354" t="s">
        <v>795</v>
      </c>
      <c r="W161" s="355">
        <v>0</v>
      </c>
      <c r="X161" s="357">
        <v>46247</v>
      </c>
      <c r="Y161" s="357">
        <v>46249</v>
      </c>
      <c r="Z161" s="359" t="s">
        <v>40</v>
      </c>
      <c r="AA161" s="359" t="s">
        <v>796</v>
      </c>
      <c r="AB161" s="360">
        <v>0</v>
      </c>
      <c r="AC161" s="362">
        <v>46250</v>
      </c>
      <c r="AD161" s="326">
        <v>46257</v>
      </c>
      <c r="AE161" s="327" t="s">
        <v>40</v>
      </c>
      <c r="AF161" s="365" t="s">
        <v>795</v>
      </c>
      <c r="AG161" s="366">
        <v>0</v>
      </c>
      <c r="AH161" s="368">
        <v>46266</v>
      </c>
      <c r="AI161" s="368">
        <v>46269</v>
      </c>
      <c r="AJ161" s="369" t="s">
        <v>165</v>
      </c>
      <c r="AK161" s="373" t="s">
        <v>795</v>
      </c>
      <c r="AL161" s="370">
        <v>0</v>
      </c>
      <c r="AM161" s="168" t="s">
        <v>422</v>
      </c>
      <c r="AN161" s="168" t="s">
        <v>422</v>
      </c>
      <c r="AO161" s="168" t="s">
        <v>40</v>
      </c>
      <c r="AP161" s="170">
        <v>0</v>
      </c>
      <c r="AQ161"/>
    </row>
    <row r="162" spans="1:43">
      <c r="A162" s="292" t="s">
        <v>670</v>
      </c>
      <c r="B162" s="299" t="s">
        <v>841</v>
      </c>
      <c r="C162" s="299">
        <v>1</v>
      </c>
      <c r="D162" s="149">
        <v>46195</v>
      </c>
      <c r="E162" s="149">
        <v>46200</v>
      </c>
      <c r="F162" s="341" t="s">
        <v>40</v>
      </c>
      <c r="G162" s="308" t="s">
        <v>792</v>
      </c>
      <c r="H162" s="372">
        <v>0</v>
      </c>
      <c r="I162" s="169">
        <v>46210</v>
      </c>
      <c r="J162" s="342">
        <v>46218</v>
      </c>
      <c r="K162" s="344" t="s">
        <v>40</v>
      </c>
      <c r="L162" s="344" t="s">
        <v>793</v>
      </c>
      <c r="M162" s="346">
        <v>0</v>
      </c>
      <c r="N162" s="347">
        <v>46219</v>
      </c>
      <c r="O162" s="347">
        <v>46231</v>
      </c>
      <c r="P162" s="349" t="s">
        <v>40</v>
      </c>
      <c r="Q162" s="349" t="s">
        <v>794</v>
      </c>
      <c r="R162" s="350">
        <v>0</v>
      </c>
      <c r="S162" s="352">
        <v>46232</v>
      </c>
      <c r="T162" s="352">
        <v>46238</v>
      </c>
      <c r="U162" s="354" t="s">
        <v>40</v>
      </c>
      <c r="V162" s="354" t="s">
        <v>795</v>
      </c>
      <c r="W162" s="355">
        <v>0</v>
      </c>
      <c r="X162" s="357">
        <v>46247</v>
      </c>
      <c r="Y162" s="357">
        <v>46249</v>
      </c>
      <c r="Z162" s="359" t="s">
        <v>40</v>
      </c>
      <c r="AA162" s="359" t="s">
        <v>796</v>
      </c>
      <c r="AB162" s="360">
        <v>0</v>
      </c>
      <c r="AC162" s="362">
        <v>46250</v>
      </c>
      <c r="AD162" s="326">
        <v>46257</v>
      </c>
      <c r="AE162" s="327" t="s">
        <v>40</v>
      </c>
      <c r="AF162" s="365" t="s">
        <v>795</v>
      </c>
      <c r="AG162" s="366">
        <v>0</v>
      </c>
      <c r="AH162" s="368">
        <v>46266</v>
      </c>
      <c r="AI162" s="368">
        <v>46269</v>
      </c>
      <c r="AJ162" s="369" t="s">
        <v>165</v>
      </c>
      <c r="AK162" s="373" t="s">
        <v>795</v>
      </c>
      <c r="AL162" s="370">
        <v>0</v>
      </c>
      <c r="AM162" s="168" t="s">
        <v>422</v>
      </c>
      <c r="AN162" s="168" t="s">
        <v>422</v>
      </c>
      <c r="AO162" s="168" t="s">
        <v>40</v>
      </c>
      <c r="AP162" s="170">
        <v>0</v>
      </c>
      <c r="AQ162"/>
    </row>
    <row r="163" spans="1:43">
      <c r="A163" s="292" t="s">
        <v>670</v>
      </c>
      <c r="B163" s="299" t="s">
        <v>842</v>
      </c>
      <c r="C163" s="299">
        <v>1</v>
      </c>
      <c r="D163" s="149">
        <v>46195</v>
      </c>
      <c r="E163" s="149">
        <v>46200</v>
      </c>
      <c r="F163" s="341" t="s">
        <v>40</v>
      </c>
      <c r="G163" s="308" t="s">
        <v>792</v>
      </c>
      <c r="H163" s="372">
        <v>0</v>
      </c>
      <c r="I163" s="169">
        <v>46210</v>
      </c>
      <c r="J163" s="342">
        <v>46218</v>
      </c>
      <c r="K163" s="344" t="s">
        <v>40</v>
      </c>
      <c r="L163" s="344" t="s">
        <v>793</v>
      </c>
      <c r="M163" s="346">
        <v>0</v>
      </c>
      <c r="N163" s="347">
        <v>46219</v>
      </c>
      <c r="O163" s="347">
        <v>46231</v>
      </c>
      <c r="P163" s="349" t="s">
        <v>40</v>
      </c>
      <c r="Q163" s="349" t="s">
        <v>794</v>
      </c>
      <c r="R163" s="350">
        <v>0</v>
      </c>
      <c r="S163" s="352">
        <v>46232</v>
      </c>
      <c r="T163" s="352">
        <v>46238</v>
      </c>
      <c r="U163" s="354" t="s">
        <v>40</v>
      </c>
      <c r="V163" s="354" t="s">
        <v>795</v>
      </c>
      <c r="W163" s="355">
        <v>0</v>
      </c>
      <c r="X163" s="357">
        <v>46247</v>
      </c>
      <c r="Y163" s="357">
        <v>46249</v>
      </c>
      <c r="Z163" s="359" t="s">
        <v>40</v>
      </c>
      <c r="AA163" s="359" t="s">
        <v>796</v>
      </c>
      <c r="AB163" s="360">
        <v>0</v>
      </c>
      <c r="AC163" s="362">
        <v>46250</v>
      </c>
      <c r="AD163" s="326">
        <v>46257</v>
      </c>
      <c r="AE163" s="327" t="s">
        <v>40</v>
      </c>
      <c r="AF163" s="365" t="s">
        <v>795</v>
      </c>
      <c r="AG163" s="366">
        <v>0</v>
      </c>
      <c r="AH163" s="368">
        <v>46266</v>
      </c>
      <c r="AI163" s="368">
        <v>46269</v>
      </c>
      <c r="AJ163" s="369" t="s">
        <v>165</v>
      </c>
      <c r="AK163" s="373" t="s">
        <v>795</v>
      </c>
      <c r="AL163" s="370">
        <v>0</v>
      </c>
      <c r="AM163" s="168" t="s">
        <v>422</v>
      </c>
      <c r="AN163" s="168" t="s">
        <v>422</v>
      </c>
      <c r="AO163" s="168" t="s">
        <v>40</v>
      </c>
      <c r="AP163" s="170">
        <v>0</v>
      </c>
      <c r="AQ163"/>
    </row>
    <row r="164" spans="1:43">
      <c r="A164" s="292" t="s">
        <v>670</v>
      </c>
      <c r="B164" s="299" t="s">
        <v>843</v>
      </c>
      <c r="C164" s="299">
        <v>1</v>
      </c>
      <c r="D164" s="149">
        <v>46195</v>
      </c>
      <c r="E164" s="149">
        <v>46200</v>
      </c>
      <c r="F164" s="341" t="s">
        <v>40</v>
      </c>
      <c r="G164" s="308" t="s">
        <v>792</v>
      </c>
      <c r="H164" s="372">
        <v>0</v>
      </c>
      <c r="I164" s="169">
        <v>46210</v>
      </c>
      <c r="J164" s="342">
        <v>46218</v>
      </c>
      <c r="K164" s="344" t="s">
        <v>40</v>
      </c>
      <c r="L164" s="344" t="s">
        <v>793</v>
      </c>
      <c r="M164" s="346">
        <v>0</v>
      </c>
      <c r="N164" s="347">
        <v>46219</v>
      </c>
      <c r="O164" s="347">
        <v>46231</v>
      </c>
      <c r="P164" s="349" t="s">
        <v>40</v>
      </c>
      <c r="Q164" s="349" t="s">
        <v>794</v>
      </c>
      <c r="R164" s="350">
        <v>0</v>
      </c>
      <c r="S164" s="352">
        <v>46232</v>
      </c>
      <c r="T164" s="352">
        <v>46238</v>
      </c>
      <c r="U164" s="354" t="s">
        <v>40</v>
      </c>
      <c r="V164" s="354" t="s">
        <v>795</v>
      </c>
      <c r="W164" s="355">
        <v>0</v>
      </c>
      <c r="X164" s="357">
        <v>46247</v>
      </c>
      <c r="Y164" s="357">
        <v>46249</v>
      </c>
      <c r="Z164" s="359" t="s">
        <v>40</v>
      </c>
      <c r="AA164" s="359" t="s">
        <v>796</v>
      </c>
      <c r="AB164" s="360">
        <v>0</v>
      </c>
      <c r="AC164" s="362">
        <v>46250</v>
      </c>
      <c r="AD164" s="326">
        <v>46257</v>
      </c>
      <c r="AE164" s="327" t="s">
        <v>40</v>
      </c>
      <c r="AF164" s="365" t="s">
        <v>795</v>
      </c>
      <c r="AG164" s="366">
        <v>0</v>
      </c>
      <c r="AH164" s="368">
        <v>46266</v>
      </c>
      <c r="AI164" s="368">
        <v>46269</v>
      </c>
      <c r="AJ164" s="369" t="s">
        <v>165</v>
      </c>
      <c r="AK164" s="373" t="s">
        <v>795</v>
      </c>
      <c r="AL164" s="370">
        <v>0</v>
      </c>
      <c r="AM164" s="168" t="s">
        <v>422</v>
      </c>
      <c r="AN164" s="168" t="s">
        <v>422</v>
      </c>
      <c r="AO164" s="168" t="s">
        <v>40</v>
      </c>
      <c r="AP164" s="170">
        <v>0</v>
      </c>
      <c r="AQ164"/>
    </row>
    <row r="165" spans="1:43">
      <c r="A165" s="292" t="s">
        <v>670</v>
      </c>
      <c r="B165" s="299" t="s">
        <v>844</v>
      </c>
      <c r="C165" s="299">
        <v>1</v>
      </c>
      <c r="D165" s="149">
        <v>46195</v>
      </c>
      <c r="E165" s="149">
        <v>46200</v>
      </c>
      <c r="F165" s="341" t="s">
        <v>40</v>
      </c>
      <c r="G165" s="308" t="s">
        <v>792</v>
      </c>
      <c r="H165" s="372">
        <v>0</v>
      </c>
      <c r="I165" s="169">
        <v>46210</v>
      </c>
      <c r="J165" s="342">
        <v>46218</v>
      </c>
      <c r="K165" s="344" t="s">
        <v>40</v>
      </c>
      <c r="L165" s="344" t="s">
        <v>793</v>
      </c>
      <c r="M165" s="346">
        <v>0</v>
      </c>
      <c r="N165" s="347">
        <v>46219</v>
      </c>
      <c r="O165" s="347">
        <v>46231</v>
      </c>
      <c r="P165" s="349" t="s">
        <v>40</v>
      </c>
      <c r="Q165" s="349" t="s">
        <v>794</v>
      </c>
      <c r="R165" s="350">
        <v>0</v>
      </c>
      <c r="S165" s="352">
        <v>46232</v>
      </c>
      <c r="T165" s="352">
        <v>46238</v>
      </c>
      <c r="U165" s="354" t="s">
        <v>40</v>
      </c>
      <c r="V165" s="354" t="s">
        <v>795</v>
      </c>
      <c r="W165" s="355">
        <v>0</v>
      </c>
      <c r="X165" s="357">
        <v>46247</v>
      </c>
      <c r="Y165" s="357">
        <v>46249</v>
      </c>
      <c r="Z165" s="359" t="s">
        <v>40</v>
      </c>
      <c r="AA165" s="359" t="s">
        <v>796</v>
      </c>
      <c r="AB165" s="360">
        <v>0</v>
      </c>
      <c r="AC165" s="362">
        <v>46250</v>
      </c>
      <c r="AD165" s="326">
        <v>46257</v>
      </c>
      <c r="AE165" s="327" t="s">
        <v>40</v>
      </c>
      <c r="AF165" s="365" t="s">
        <v>795</v>
      </c>
      <c r="AG165" s="366">
        <v>0</v>
      </c>
      <c r="AH165" s="368">
        <v>46266</v>
      </c>
      <c r="AI165" s="368">
        <v>46269</v>
      </c>
      <c r="AJ165" s="369" t="s">
        <v>165</v>
      </c>
      <c r="AK165" s="373" t="s">
        <v>795</v>
      </c>
      <c r="AL165" s="370">
        <v>0</v>
      </c>
      <c r="AM165" s="168" t="s">
        <v>422</v>
      </c>
      <c r="AN165" s="168" t="s">
        <v>422</v>
      </c>
      <c r="AO165" s="168" t="s">
        <v>40</v>
      </c>
      <c r="AP165" s="170">
        <v>0</v>
      </c>
      <c r="AQ165"/>
    </row>
    <row r="166" spans="1:43">
      <c r="A166" s="292" t="s">
        <v>670</v>
      </c>
      <c r="B166" s="299" t="s">
        <v>845</v>
      </c>
      <c r="C166" s="299">
        <v>1</v>
      </c>
      <c r="D166" s="149">
        <v>46195</v>
      </c>
      <c r="E166" s="149">
        <v>46200</v>
      </c>
      <c r="F166" s="341" t="s">
        <v>40</v>
      </c>
      <c r="G166" s="308" t="s">
        <v>792</v>
      </c>
      <c r="H166" s="372">
        <v>0</v>
      </c>
      <c r="I166" s="169">
        <v>46210</v>
      </c>
      <c r="J166" s="342">
        <v>46218</v>
      </c>
      <c r="K166" s="344" t="s">
        <v>40</v>
      </c>
      <c r="L166" s="344" t="s">
        <v>793</v>
      </c>
      <c r="M166" s="346">
        <v>0</v>
      </c>
      <c r="N166" s="347">
        <v>46219</v>
      </c>
      <c r="O166" s="347">
        <v>46231</v>
      </c>
      <c r="P166" s="349" t="s">
        <v>40</v>
      </c>
      <c r="Q166" s="349" t="s">
        <v>794</v>
      </c>
      <c r="R166" s="350">
        <v>0</v>
      </c>
      <c r="S166" s="352">
        <v>46232</v>
      </c>
      <c r="T166" s="352">
        <v>46238</v>
      </c>
      <c r="U166" s="354" t="s">
        <v>40</v>
      </c>
      <c r="V166" s="354" t="s">
        <v>795</v>
      </c>
      <c r="W166" s="355">
        <v>0</v>
      </c>
      <c r="X166" s="357">
        <v>46247</v>
      </c>
      <c r="Y166" s="357">
        <v>46249</v>
      </c>
      <c r="Z166" s="359" t="s">
        <v>40</v>
      </c>
      <c r="AA166" s="359" t="s">
        <v>796</v>
      </c>
      <c r="AB166" s="360">
        <v>0</v>
      </c>
      <c r="AC166" s="362">
        <v>46250</v>
      </c>
      <c r="AD166" s="326">
        <v>46257</v>
      </c>
      <c r="AE166" s="327" t="s">
        <v>40</v>
      </c>
      <c r="AF166" s="365" t="s">
        <v>795</v>
      </c>
      <c r="AG166" s="366">
        <v>0</v>
      </c>
      <c r="AH166" s="368">
        <v>46266</v>
      </c>
      <c r="AI166" s="368">
        <v>46269</v>
      </c>
      <c r="AJ166" s="369" t="s">
        <v>165</v>
      </c>
      <c r="AK166" s="373" t="s">
        <v>795</v>
      </c>
      <c r="AL166" s="370">
        <v>0</v>
      </c>
      <c r="AM166" s="168" t="s">
        <v>422</v>
      </c>
      <c r="AN166" s="168" t="s">
        <v>422</v>
      </c>
      <c r="AO166" s="168" t="s">
        <v>40</v>
      </c>
      <c r="AP166" s="170">
        <v>0</v>
      </c>
      <c r="AQ166"/>
    </row>
    <row r="167" spans="1:43">
      <c r="A167" s="292" t="s">
        <v>670</v>
      </c>
      <c r="B167" s="299" t="s">
        <v>846</v>
      </c>
      <c r="C167" s="299">
        <v>1</v>
      </c>
      <c r="D167" s="149">
        <v>46195</v>
      </c>
      <c r="E167" s="149">
        <v>46200</v>
      </c>
      <c r="F167" s="341" t="s">
        <v>40</v>
      </c>
      <c r="G167" s="308" t="s">
        <v>792</v>
      </c>
      <c r="H167" s="372">
        <v>0</v>
      </c>
      <c r="I167" s="169">
        <v>46210</v>
      </c>
      <c r="J167" s="342">
        <v>46218</v>
      </c>
      <c r="K167" s="344" t="s">
        <v>40</v>
      </c>
      <c r="L167" s="344" t="s">
        <v>793</v>
      </c>
      <c r="M167" s="346">
        <v>0</v>
      </c>
      <c r="N167" s="347">
        <v>46219</v>
      </c>
      <c r="O167" s="347">
        <v>46231</v>
      </c>
      <c r="P167" s="349" t="s">
        <v>40</v>
      </c>
      <c r="Q167" s="349" t="s">
        <v>794</v>
      </c>
      <c r="R167" s="350">
        <v>0</v>
      </c>
      <c r="S167" s="352">
        <v>46232</v>
      </c>
      <c r="T167" s="352">
        <v>46238</v>
      </c>
      <c r="U167" s="354" t="s">
        <v>40</v>
      </c>
      <c r="V167" s="354" t="s">
        <v>795</v>
      </c>
      <c r="W167" s="355">
        <v>0</v>
      </c>
      <c r="X167" s="357">
        <v>46247</v>
      </c>
      <c r="Y167" s="357">
        <v>46249</v>
      </c>
      <c r="Z167" s="359" t="s">
        <v>40</v>
      </c>
      <c r="AA167" s="359" t="s">
        <v>796</v>
      </c>
      <c r="AB167" s="360">
        <v>0</v>
      </c>
      <c r="AC167" s="362">
        <v>46250</v>
      </c>
      <c r="AD167" s="326">
        <v>46257</v>
      </c>
      <c r="AE167" s="327" t="s">
        <v>40</v>
      </c>
      <c r="AF167" s="365" t="s">
        <v>795</v>
      </c>
      <c r="AG167" s="366">
        <v>0</v>
      </c>
      <c r="AH167" s="368">
        <v>46266</v>
      </c>
      <c r="AI167" s="368">
        <v>46269</v>
      </c>
      <c r="AJ167" s="369" t="s">
        <v>165</v>
      </c>
      <c r="AK167" s="373" t="s">
        <v>795</v>
      </c>
      <c r="AL167" s="370">
        <v>0</v>
      </c>
      <c r="AM167" s="168" t="s">
        <v>422</v>
      </c>
      <c r="AN167" s="168" t="s">
        <v>422</v>
      </c>
      <c r="AO167" s="168" t="s">
        <v>40</v>
      </c>
      <c r="AP167" s="170">
        <v>0</v>
      </c>
      <c r="AQ167"/>
    </row>
    <row r="168" spans="1:43">
      <c r="A168" s="292" t="s">
        <v>670</v>
      </c>
      <c r="B168" s="299" t="s">
        <v>847</v>
      </c>
      <c r="C168" s="299">
        <v>1</v>
      </c>
      <c r="D168" s="149">
        <v>46195</v>
      </c>
      <c r="E168" s="149">
        <v>46200</v>
      </c>
      <c r="F168" s="341" t="s">
        <v>40</v>
      </c>
      <c r="G168" s="308" t="s">
        <v>792</v>
      </c>
      <c r="H168" s="372">
        <v>0</v>
      </c>
      <c r="I168" s="169">
        <v>46210</v>
      </c>
      <c r="J168" s="342">
        <v>46218</v>
      </c>
      <c r="K168" s="344" t="s">
        <v>40</v>
      </c>
      <c r="L168" s="344" t="s">
        <v>793</v>
      </c>
      <c r="M168" s="346">
        <v>0</v>
      </c>
      <c r="N168" s="347">
        <v>46219</v>
      </c>
      <c r="O168" s="347">
        <v>46231</v>
      </c>
      <c r="P168" s="349" t="s">
        <v>40</v>
      </c>
      <c r="Q168" s="349" t="s">
        <v>794</v>
      </c>
      <c r="R168" s="350">
        <v>0</v>
      </c>
      <c r="S168" s="352">
        <v>46232</v>
      </c>
      <c r="T168" s="352">
        <v>46238</v>
      </c>
      <c r="U168" s="354" t="s">
        <v>40</v>
      </c>
      <c r="V168" s="354" t="s">
        <v>795</v>
      </c>
      <c r="W168" s="355">
        <v>0</v>
      </c>
      <c r="X168" s="357">
        <v>46247</v>
      </c>
      <c r="Y168" s="357">
        <v>46249</v>
      </c>
      <c r="Z168" s="359" t="s">
        <v>40</v>
      </c>
      <c r="AA168" s="359" t="s">
        <v>796</v>
      </c>
      <c r="AB168" s="360">
        <v>0</v>
      </c>
      <c r="AC168" s="362">
        <v>46250</v>
      </c>
      <c r="AD168" s="326">
        <v>46257</v>
      </c>
      <c r="AE168" s="327" t="s">
        <v>40</v>
      </c>
      <c r="AF168" s="365" t="s">
        <v>795</v>
      </c>
      <c r="AG168" s="366">
        <v>0</v>
      </c>
      <c r="AH168" s="368">
        <v>46266</v>
      </c>
      <c r="AI168" s="368">
        <v>46269</v>
      </c>
      <c r="AJ168" s="369" t="s">
        <v>165</v>
      </c>
      <c r="AK168" s="373" t="s">
        <v>795</v>
      </c>
      <c r="AL168" s="370">
        <v>0</v>
      </c>
      <c r="AM168" s="168" t="s">
        <v>422</v>
      </c>
      <c r="AN168" s="168" t="s">
        <v>422</v>
      </c>
      <c r="AO168" s="168" t="s">
        <v>40</v>
      </c>
      <c r="AP168" s="170">
        <v>0</v>
      </c>
      <c r="AQ168"/>
    </row>
    <row r="169" spans="1:43">
      <c r="A169" s="292" t="s">
        <v>670</v>
      </c>
      <c r="B169" s="299" t="s">
        <v>848</v>
      </c>
      <c r="C169" s="299">
        <v>1</v>
      </c>
      <c r="D169" s="149">
        <v>46195</v>
      </c>
      <c r="E169" s="149">
        <v>46200</v>
      </c>
      <c r="F169" s="341" t="s">
        <v>40</v>
      </c>
      <c r="G169" s="308" t="s">
        <v>792</v>
      </c>
      <c r="H169" s="372">
        <v>0</v>
      </c>
      <c r="I169" s="169">
        <v>46210</v>
      </c>
      <c r="J169" s="342">
        <v>46218</v>
      </c>
      <c r="K169" s="344" t="s">
        <v>40</v>
      </c>
      <c r="L169" s="344" t="s">
        <v>793</v>
      </c>
      <c r="M169" s="346">
        <v>0</v>
      </c>
      <c r="N169" s="347">
        <v>46219</v>
      </c>
      <c r="O169" s="347">
        <v>46231</v>
      </c>
      <c r="P169" s="349" t="s">
        <v>40</v>
      </c>
      <c r="Q169" s="349" t="s">
        <v>794</v>
      </c>
      <c r="R169" s="350">
        <v>0</v>
      </c>
      <c r="S169" s="352">
        <v>46232</v>
      </c>
      <c r="T169" s="352">
        <v>46238</v>
      </c>
      <c r="U169" s="354" t="s">
        <v>40</v>
      </c>
      <c r="V169" s="354" t="s">
        <v>795</v>
      </c>
      <c r="W169" s="355">
        <v>0</v>
      </c>
      <c r="X169" s="357">
        <v>46247</v>
      </c>
      <c r="Y169" s="357">
        <v>46249</v>
      </c>
      <c r="Z169" s="359" t="s">
        <v>40</v>
      </c>
      <c r="AA169" s="359" t="s">
        <v>796</v>
      </c>
      <c r="AB169" s="360">
        <v>0</v>
      </c>
      <c r="AC169" s="362">
        <v>46250</v>
      </c>
      <c r="AD169" s="326">
        <v>46257</v>
      </c>
      <c r="AE169" s="327" t="s">
        <v>40</v>
      </c>
      <c r="AF169" s="365" t="s">
        <v>795</v>
      </c>
      <c r="AG169" s="366">
        <v>0</v>
      </c>
      <c r="AH169" s="368">
        <v>46266</v>
      </c>
      <c r="AI169" s="368">
        <v>46269</v>
      </c>
      <c r="AJ169" s="369" t="s">
        <v>165</v>
      </c>
      <c r="AK169" s="373" t="s">
        <v>795</v>
      </c>
      <c r="AL169" s="370">
        <v>0</v>
      </c>
      <c r="AM169" s="168" t="s">
        <v>422</v>
      </c>
      <c r="AN169" s="168" t="s">
        <v>422</v>
      </c>
      <c r="AO169" s="168" t="s">
        <v>40</v>
      </c>
      <c r="AP169" s="170">
        <v>0</v>
      </c>
      <c r="AQ169"/>
    </row>
    <row r="170" spans="1:43">
      <c r="A170" s="292" t="s">
        <v>670</v>
      </c>
      <c r="B170" s="299" t="s">
        <v>849</v>
      </c>
      <c r="C170" s="299">
        <v>1</v>
      </c>
      <c r="D170" s="149">
        <v>46195</v>
      </c>
      <c r="E170" s="149">
        <v>46200</v>
      </c>
      <c r="F170" s="341" t="s">
        <v>40</v>
      </c>
      <c r="G170" s="308" t="s">
        <v>792</v>
      </c>
      <c r="H170" s="372">
        <v>0</v>
      </c>
      <c r="I170" s="169">
        <v>46210</v>
      </c>
      <c r="J170" s="342">
        <v>46218</v>
      </c>
      <c r="K170" s="344" t="s">
        <v>40</v>
      </c>
      <c r="L170" s="344" t="s">
        <v>793</v>
      </c>
      <c r="M170" s="346">
        <v>0</v>
      </c>
      <c r="N170" s="347">
        <v>46219</v>
      </c>
      <c r="O170" s="347">
        <v>46231</v>
      </c>
      <c r="P170" s="349" t="s">
        <v>40</v>
      </c>
      <c r="Q170" s="349" t="s">
        <v>794</v>
      </c>
      <c r="R170" s="350">
        <v>0</v>
      </c>
      <c r="S170" s="352">
        <v>46232</v>
      </c>
      <c r="T170" s="352">
        <v>46238</v>
      </c>
      <c r="U170" s="354" t="s">
        <v>40</v>
      </c>
      <c r="V170" s="354" t="s">
        <v>795</v>
      </c>
      <c r="W170" s="355">
        <v>0</v>
      </c>
      <c r="X170" s="357">
        <v>46247</v>
      </c>
      <c r="Y170" s="357">
        <v>46249</v>
      </c>
      <c r="Z170" s="359" t="s">
        <v>40</v>
      </c>
      <c r="AA170" s="359" t="s">
        <v>796</v>
      </c>
      <c r="AB170" s="360">
        <v>0</v>
      </c>
      <c r="AC170" s="362">
        <v>46250</v>
      </c>
      <c r="AD170" s="326">
        <v>46257</v>
      </c>
      <c r="AE170" s="327" t="s">
        <v>40</v>
      </c>
      <c r="AF170" s="365" t="s">
        <v>795</v>
      </c>
      <c r="AG170" s="366">
        <v>0</v>
      </c>
      <c r="AH170" s="368">
        <v>46266</v>
      </c>
      <c r="AI170" s="368">
        <v>46269</v>
      </c>
      <c r="AJ170" s="369" t="s">
        <v>165</v>
      </c>
      <c r="AK170" s="373" t="s">
        <v>795</v>
      </c>
      <c r="AL170" s="370">
        <v>0</v>
      </c>
      <c r="AM170" s="168" t="s">
        <v>422</v>
      </c>
      <c r="AN170" s="168" t="s">
        <v>422</v>
      </c>
      <c r="AO170" s="168" t="s">
        <v>40</v>
      </c>
      <c r="AP170" s="170">
        <v>0</v>
      </c>
      <c r="AQ170"/>
    </row>
    <row r="171" spans="1:43">
      <c r="A171" s="292" t="s">
        <v>670</v>
      </c>
      <c r="B171" s="299" t="s">
        <v>850</v>
      </c>
      <c r="C171" s="299">
        <v>1</v>
      </c>
      <c r="D171" s="149">
        <v>46195</v>
      </c>
      <c r="E171" s="149">
        <v>46200</v>
      </c>
      <c r="F171" s="341" t="s">
        <v>40</v>
      </c>
      <c r="G171" s="308" t="s">
        <v>792</v>
      </c>
      <c r="H171" s="372">
        <v>0</v>
      </c>
      <c r="I171" s="169">
        <v>46210</v>
      </c>
      <c r="J171" s="342">
        <v>46218</v>
      </c>
      <c r="K171" s="344" t="s">
        <v>40</v>
      </c>
      <c r="L171" s="344" t="s">
        <v>793</v>
      </c>
      <c r="M171" s="346">
        <v>0</v>
      </c>
      <c r="N171" s="347">
        <v>46219</v>
      </c>
      <c r="O171" s="347">
        <v>46231</v>
      </c>
      <c r="P171" s="349" t="s">
        <v>40</v>
      </c>
      <c r="Q171" s="349" t="s">
        <v>794</v>
      </c>
      <c r="R171" s="350">
        <v>0</v>
      </c>
      <c r="S171" s="352">
        <v>46232</v>
      </c>
      <c r="T171" s="352">
        <v>46238</v>
      </c>
      <c r="U171" s="354" t="s">
        <v>40</v>
      </c>
      <c r="V171" s="354" t="s">
        <v>795</v>
      </c>
      <c r="W171" s="355">
        <v>0</v>
      </c>
      <c r="X171" s="357">
        <v>46247</v>
      </c>
      <c r="Y171" s="357">
        <v>46249</v>
      </c>
      <c r="Z171" s="359" t="s">
        <v>40</v>
      </c>
      <c r="AA171" s="359" t="s">
        <v>796</v>
      </c>
      <c r="AB171" s="360">
        <v>0</v>
      </c>
      <c r="AC171" s="362">
        <v>46250</v>
      </c>
      <c r="AD171" s="326">
        <v>46257</v>
      </c>
      <c r="AE171" s="327" t="s">
        <v>40</v>
      </c>
      <c r="AF171" s="365" t="s">
        <v>795</v>
      </c>
      <c r="AG171" s="366">
        <v>0</v>
      </c>
      <c r="AH171" s="368">
        <v>46266</v>
      </c>
      <c r="AI171" s="368">
        <v>46269</v>
      </c>
      <c r="AJ171" s="369" t="s">
        <v>165</v>
      </c>
      <c r="AK171" s="373" t="s">
        <v>795</v>
      </c>
      <c r="AL171" s="370">
        <v>0</v>
      </c>
      <c r="AM171" s="168" t="s">
        <v>422</v>
      </c>
      <c r="AN171" s="168" t="s">
        <v>422</v>
      </c>
      <c r="AO171" s="168" t="s">
        <v>40</v>
      </c>
      <c r="AP171" s="170">
        <v>0</v>
      </c>
      <c r="AQ171"/>
    </row>
    <row r="172" spans="1:43">
      <c r="A172" s="292" t="s">
        <v>670</v>
      </c>
      <c r="B172" s="299" t="s">
        <v>851</v>
      </c>
      <c r="C172" s="299">
        <v>1</v>
      </c>
      <c r="D172" s="149">
        <v>46195</v>
      </c>
      <c r="E172" s="149">
        <v>46200</v>
      </c>
      <c r="F172" s="341" t="s">
        <v>40</v>
      </c>
      <c r="G172" s="308" t="s">
        <v>792</v>
      </c>
      <c r="H172" s="372">
        <v>0</v>
      </c>
      <c r="I172" s="169">
        <v>46210</v>
      </c>
      <c r="J172" s="342">
        <v>46218</v>
      </c>
      <c r="K172" s="344" t="s">
        <v>40</v>
      </c>
      <c r="L172" s="344" t="s">
        <v>793</v>
      </c>
      <c r="M172" s="346">
        <v>0</v>
      </c>
      <c r="N172" s="347">
        <v>46219</v>
      </c>
      <c r="O172" s="347">
        <v>46231</v>
      </c>
      <c r="P172" s="349" t="s">
        <v>40</v>
      </c>
      <c r="Q172" s="349" t="s">
        <v>794</v>
      </c>
      <c r="R172" s="350">
        <v>0</v>
      </c>
      <c r="S172" s="352">
        <v>46232</v>
      </c>
      <c r="T172" s="352">
        <v>46238</v>
      </c>
      <c r="U172" s="354" t="s">
        <v>40</v>
      </c>
      <c r="V172" s="354" t="s">
        <v>795</v>
      </c>
      <c r="W172" s="355">
        <v>0</v>
      </c>
      <c r="X172" s="357">
        <v>46247</v>
      </c>
      <c r="Y172" s="357">
        <v>46249</v>
      </c>
      <c r="Z172" s="359" t="s">
        <v>40</v>
      </c>
      <c r="AA172" s="359" t="s">
        <v>796</v>
      </c>
      <c r="AB172" s="360">
        <v>0</v>
      </c>
      <c r="AC172" s="362">
        <v>46250</v>
      </c>
      <c r="AD172" s="326">
        <v>46257</v>
      </c>
      <c r="AE172" s="327" t="s">
        <v>40</v>
      </c>
      <c r="AF172" s="365" t="s">
        <v>795</v>
      </c>
      <c r="AG172" s="366">
        <v>0</v>
      </c>
      <c r="AH172" s="368">
        <v>46266</v>
      </c>
      <c r="AI172" s="368">
        <v>46269</v>
      </c>
      <c r="AJ172" s="369" t="s">
        <v>165</v>
      </c>
      <c r="AK172" s="373" t="s">
        <v>795</v>
      </c>
      <c r="AL172" s="370">
        <v>0</v>
      </c>
      <c r="AM172" s="168" t="s">
        <v>422</v>
      </c>
      <c r="AN172" s="168" t="s">
        <v>422</v>
      </c>
      <c r="AO172" s="168" t="s">
        <v>40</v>
      </c>
      <c r="AP172" s="170">
        <v>0</v>
      </c>
      <c r="AQ172"/>
    </row>
    <row r="173" spans="1:43">
      <c r="A173" s="292" t="s">
        <v>670</v>
      </c>
      <c r="B173" s="299" t="s">
        <v>852</v>
      </c>
      <c r="C173" s="299">
        <v>1</v>
      </c>
      <c r="D173" s="149">
        <v>46195</v>
      </c>
      <c r="E173" s="149">
        <v>46200</v>
      </c>
      <c r="F173" s="341" t="s">
        <v>40</v>
      </c>
      <c r="G173" s="308" t="s">
        <v>792</v>
      </c>
      <c r="H173" s="372">
        <v>0</v>
      </c>
      <c r="I173" s="169">
        <v>46210</v>
      </c>
      <c r="J173" s="342">
        <v>46218</v>
      </c>
      <c r="K173" s="344" t="s">
        <v>40</v>
      </c>
      <c r="L173" s="344" t="s">
        <v>793</v>
      </c>
      <c r="M173" s="346">
        <v>0</v>
      </c>
      <c r="N173" s="347">
        <v>46219</v>
      </c>
      <c r="O173" s="347">
        <v>46231</v>
      </c>
      <c r="P173" s="349" t="s">
        <v>40</v>
      </c>
      <c r="Q173" s="349" t="s">
        <v>794</v>
      </c>
      <c r="R173" s="350">
        <v>0</v>
      </c>
      <c r="S173" s="352">
        <v>46232</v>
      </c>
      <c r="T173" s="352">
        <v>46238</v>
      </c>
      <c r="U173" s="354" t="s">
        <v>40</v>
      </c>
      <c r="V173" s="354" t="s">
        <v>795</v>
      </c>
      <c r="W173" s="355">
        <v>0</v>
      </c>
      <c r="X173" s="357">
        <v>46247</v>
      </c>
      <c r="Y173" s="357">
        <v>46249</v>
      </c>
      <c r="Z173" s="359" t="s">
        <v>40</v>
      </c>
      <c r="AA173" s="359" t="s">
        <v>796</v>
      </c>
      <c r="AB173" s="360">
        <v>0</v>
      </c>
      <c r="AC173" s="362">
        <v>46250</v>
      </c>
      <c r="AD173" s="326">
        <v>46257</v>
      </c>
      <c r="AE173" s="327" t="s">
        <v>40</v>
      </c>
      <c r="AF173" s="365" t="s">
        <v>795</v>
      </c>
      <c r="AG173" s="366">
        <v>0</v>
      </c>
      <c r="AH173" s="368">
        <v>46266</v>
      </c>
      <c r="AI173" s="368">
        <v>46269</v>
      </c>
      <c r="AJ173" s="369" t="s">
        <v>165</v>
      </c>
      <c r="AK173" s="373" t="s">
        <v>795</v>
      </c>
      <c r="AL173" s="370">
        <v>0</v>
      </c>
      <c r="AM173" s="168" t="s">
        <v>422</v>
      </c>
      <c r="AN173" s="168" t="s">
        <v>422</v>
      </c>
      <c r="AO173" s="168" t="s">
        <v>40</v>
      </c>
      <c r="AP173" s="170">
        <v>0</v>
      </c>
      <c r="AQ173"/>
    </row>
    <row r="174" spans="1:43">
      <c r="A174" s="292" t="s">
        <v>670</v>
      </c>
      <c r="B174" s="299" t="s">
        <v>853</v>
      </c>
      <c r="C174" s="299">
        <v>1</v>
      </c>
      <c r="D174" s="149">
        <v>46195</v>
      </c>
      <c r="E174" s="149">
        <v>46200</v>
      </c>
      <c r="F174" s="341" t="s">
        <v>40</v>
      </c>
      <c r="G174" s="308" t="s">
        <v>792</v>
      </c>
      <c r="H174" s="372">
        <v>0</v>
      </c>
      <c r="I174" s="169">
        <v>46210</v>
      </c>
      <c r="J174" s="342">
        <v>46218</v>
      </c>
      <c r="K174" s="344" t="s">
        <v>40</v>
      </c>
      <c r="L174" s="344" t="s">
        <v>793</v>
      </c>
      <c r="M174" s="346">
        <v>0</v>
      </c>
      <c r="N174" s="347">
        <v>46219</v>
      </c>
      <c r="O174" s="347">
        <v>46231</v>
      </c>
      <c r="P174" s="349" t="s">
        <v>40</v>
      </c>
      <c r="Q174" s="349" t="s">
        <v>794</v>
      </c>
      <c r="R174" s="350">
        <v>0</v>
      </c>
      <c r="S174" s="352">
        <v>46232</v>
      </c>
      <c r="T174" s="352">
        <v>46238</v>
      </c>
      <c r="U174" s="354" t="s">
        <v>40</v>
      </c>
      <c r="V174" s="354" t="s">
        <v>795</v>
      </c>
      <c r="W174" s="355">
        <v>0</v>
      </c>
      <c r="X174" s="357">
        <v>46247</v>
      </c>
      <c r="Y174" s="357">
        <v>46249</v>
      </c>
      <c r="Z174" s="359" t="s">
        <v>40</v>
      </c>
      <c r="AA174" s="359" t="s">
        <v>796</v>
      </c>
      <c r="AB174" s="360">
        <v>0</v>
      </c>
      <c r="AC174" s="362">
        <v>46250</v>
      </c>
      <c r="AD174" s="326">
        <v>46257</v>
      </c>
      <c r="AE174" s="327" t="s">
        <v>40</v>
      </c>
      <c r="AF174" s="365" t="s">
        <v>795</v>
      </c>
      <c r="AG174" s="366">
        <v>0</v>
      </c>
      <c r="AH174" s="368">
        <v>46266</v>
      </c>
      <c r="AI174" s="368">
        <v>46269</v>
      </c>
      <c r="AJ174" s="369" t="s">
        <v>165</v>
      </c>
      <c r="AK174" s="373" t="s">
        <v>795</v>
      </c>
      <c r="AL174" s="370">
        <v>0</v>
      </c>
      <c r="AM174" s="168" t="s">
        <v>422</v>
      </c>
      <c r="AN174" s="168" t="s">
        <v>422</v>
      </c>
      <c r="AO174" s="168" t="s">
        <v>40</v>
      </c>
      <c r="AP174" s="170">
        <v>0</v>
      </c>
      <c r="AQ174"/>
    </row>
    <row r="175" spans="1:43">
      <c r="A175" s="292" t="s">
        <v>670</v>
      </c>
      <c r="B175" s="299" t="s">
        <v>854</v>
      </c>
      <c r="C175" s="299">
        <v>1</v>
      </c>
      <c r="D175" s="149">
        <v>46195</v>
      </c>
      <c r="E175" s="149">
        <v>46200</v>
      </c>
      <c r="F175" s="341" t="s">
        <v>40</v>
      </c>
      <c r="G175" s="308" t="s">
        <v>792</v>
      </c>
      <c r="H175" s="372">
        <v>0</v>
      </c>
      <c r="I175" s="169">
        <v>46210</v>
      </c>
      <c r="J175" s="342">
        <v>46218</v>
      </c>
      <c r="K175" s="344" t="s">
        <v>40</v>
      </c>
      <c r="L175" s="344" t="s">
        <v>793</v>
      </c>
      <c r="M175" s="346">
        <v>0</v>
      </c>
      <c r="N175" s="347">
        <v>46219</v>
      </c>
      <c r="O175" s="347">
        <v>46231</v>
      </c>
      <c r="P175" s="349" t="s">
        <v>40</v>
      </c>
      <c r="Q175" s="349" t="s">
        <v>794</v>
      </c>
      <c r="R175" s="350">
        <v>0</v>
      </c>
      <c r="S175" s="352">
        <v>46232</v>
      </c>
      <c r="T175" s="352">
        <v>46238</v>
      </c>
      <c r="U175" s="354" t="s">
        <v>40</v>
      </c>
      <c r="V175" s="354" t="s">
        <v>795</v>
      </c>
      <c r="W175" s="355">
        <v>0</v>
      </c>
      <c r="X175" s="357">
        <v>46247</v>
      </c>
      <c r="Y175" s="357">
        <v>46249</v>
      </c>
      <c r="Z175" s="359" t="s">
        <v>40</v>
      </c>
      <c r="AA175" s="359" t="s">
        <v>796</v>
      </c>
      <c r="AB175" s="360">
        <v>0</v>
      </c>
      <c r="AC175" s="362">
        <v>46250</v>
      </c>
      <c r="AD175" s="326">
        <v>46257</v>
      </c>
      <c r="AE175" s="327" t="s">
        <v>40</v>
      </c>
      <c r="AF175" s="365" t="s">
        <v>795</v>
      </c>
      <c r="AG175" s="366">
        <v>0</v>
      </c>
      <c r="AH175" s="368">
        <v>46266</v>
      </c>
      <c r="AI175" s="368">
        <v>46269</v>
      </c>
      <c r="AJ175" s="369" t="s">
        <v>165</v>
      </c>
      <c r="AK175" s="373" t="s">
        <v>795</v>
      </c>
      <c r="AL175" s="370">
        <v>0</v>
      </c>
      <c r="AM175" s="168" t="s">
        <v>422</v>
      </c>
      <c r="AN175" s="168" t="s">
        <v>422</v>
      </c>
      <c r="AO175" s="168" t="s">
        <v>40</v>
      </c>
      <c r="AP175" s="170">
        <v>0</v>
      </c>
      <c r="AQ175"/>
    </row>
    <row r="176" spans="1:43">
      <c r="A176" s="292" t="s">
        <v>670</v>
      </c>
      <c r="B176" s="299" t="s">
        <v>855</v>
      </c>
      <c r="C176" s="299">
        <v>1</v>
      </c>
      <c r="D176" s="149">
        <v>46195</v>
      </c>
      <c r="E176" s="149">
        <v>46200</v>
      </c>
      <c r="F176" s="341" t="s">
        <v>40</v>
      </c>
      <c r="G176" s="308" t="s">
        <v>792</v>
      </c>
      <c r="H176" s="372">
        <v>0</v>
      </c>
      <c r="I176" s="169">
        <v>46210</v>
      </c>
      <c r="J176" s="342">
        <v>46218</v>
      </c>
      <c r="K176" s="344" t="s">
        <v>40</v>
      </c>
      <c r="L176" s="344" t="s">
        <v>793</v>
      </c>
      <c r="M176" s="346">
        <v>0</v>
      </c>
      <c r="N176" s="347">
        <v>46219</v>
      </c>
      <c r="O176" s="347">
        <v>46231</v>
      </c>
      <c r="P176" s="349" t="s">
        <v>40</v>
      </c>
      <c r="Q176" s="349" t="s">
        <v>794</v>
      </c>
      <c r="R176" s="350">
        <v>0</v>
      </c>
      <c r="S176" s="352">
        <v>46232</v>
      </c>
      <c r="T176" s="352">
        <v>46238</v>
      </c>
      <c r="U176" s="354" t="s">
        <v>40</v>
      </c>
      <c r="V176" s="354" t="s">
        <v>795</v>
      </c>
      <c r="W176" s="355">
        <v>0</v>
      </c>
      <c r="X176" s="357">
        <v>46247</v>
      </c>
      <c r="Y176" s="357">
        <v>46249</v>
      </c>
      <c r="Z176" s="359" t="s">
        <v>40</v>
      </c>
      <c r="AA176" s="359" t="s">
        <v>796</v>
      </c>
      <c r="AB176" s="360">
        <v>0</v>
      </c>
      <c r="AC176" s="362">
        <v>46250</v>
      </c>
      <c r="AD176" s="326">
        <v>46257</v>
      </c>
      <c r="AE176" s="327" t="s">
        <v>40</v>
      </c>
      <c r="AF176" s="365" t="s">
        <v>795</v>
      </c>
      <c r="AG176" s="366">
        <v>0</v>
      </c>
      <c r="AH176" s="368">
        <v>46266</v>
      </c>
      <c r="AI176" s="368">
        <v>46269</v>
      </c>
      <c r="AJ176" s="369" t="s">
        <v>165</v>
      </c>
      <c r="AK176" s="373" t="s">
        <v>795</v>
      </c>
      <c r="AL176" s="370">
        <v>0</v>
      </c>
      <c r="AM176" s="168" t="s">
        <v>422</v>
      </c>
      <c r="AN176" s="168" t="s">
        <v>422</v>
      </c>
      <c r="AO176" s="168" t="s">
        <v>40</v>
      </c>
      <c r="AP176" s="170">
        <v>0</v>
      </c>
      <c r="AQ176"/>
    </row>
    <row r="177" spans="1:43">
      <c r="A177" s="292" t="s">
        <v>670</v>
      </c>
      <c r="B177" s="299" t="s">
        <v>856</v>
      </c>
      <c r="C177" s="299">
        <v>1</v>
      </c>
      <c r="D177" s="149">
        <v>46195</v>
      </c>
      <c r="E177" s="149">
        <v>46200</v>
      </c>
      <c r="F177" s="341" t="s">
        <v>40</v>
      </c>
      <c r="G177" s="308" t="s">
        <v>792</v>
      </c>
      <c r="H177" s="372">
        <v>0</v>
      </c>
      <c r="I177" s="169">
        <v>46210</v>
      </c>
      <c r="J177" s="342">
        <v>46218</v>
      </c>
      <c r="K177" s="344" t="s">
        <v>40</v>
      </c>
      <c r="L177" s="344" t="s">
        <v>793</v>
      </c>
      <c r="M177" s="346">
        <v>0</v>
      </c>
      <c r="N177" s="347">
        <v>46219</v>
      </c>
      <c r="O177" s="347">
        <v>46231</v>
      </c>
      <c r="P177" s="349" t="s">
        <v>40</v>
      </c>
      <c r="Q177" s="349" t="s">
        <v>794</v>
      </c>
      <c r="R177" s="350">
        <v>0</v>
      </c>
      <c r="S177" s="352">
        <v>46232</v>
      </c>
      <c r="T177" s="352">
        <v>46238</v>
      </c>
      <c r="U177" s="354" t="s">
        <v>40</v>
      </c>
      <c r="V177" s="354" t="s">
        <v>795</v>
      </c>
      <c r="W177" s="355">
        <v>0</v>
      </c>
      <c r="X177" s="357">
        <v>46247</v>
      </c>
      <c r="Y177" s="357">
        <v>46249</v>
      </c>
      <c r="Z177" s="359" t="s">
        <v>40</v>
      </c>
      <c r="AA177" s="359" t="s">
        <v>796</v>
      </c>
      <c r="AB177" s="360">
        <v>0</v>
      </c>
      <c r="AC177" s="362">
        <v>46250</v>
      </c>
      <c r="AD177" s="326">
        <v>46257</v>
      </c>
      <c r="AE177" s="327" t="s">
        <v>40</v>
      </c>
      <c r="AF177" s="365" t="s">
        <v>795</v>
      </c>
      <c r="AG177" s="366">
        <v>0</v>
      </c>
      <c r="AH177" s="368">
        <v>46266</v>
      </c>
      <c r="AI177" s="368">
        <v>46269</v>
      </c>
      <c r="AJ177" s="369" t="s">
        <v>165</v>
      </c>
      <c r="AK177" s="373" t="s">
        <v>795</v>
      </c>
      <c r="AL177" s="370">
        <v>0</v>
      </c>
      <c r="AM177" s="168" t="s">
        <v>422</v>
      </c>
      <c r="AN177" s="168" t="s">
        <v>422</v>
      </c>
      <c r="AO177" s="168" t="s">
        <v>40</v>
      </c>
      <c r="AP177" s="170">
        <v>0</v>
      </c>
      <c r="AQ177"/>
    </row>
    <row r="178" spans="1:43">
      <c r="A178" s="292" t="s">
        <v>670</v>
      </c>
      <c r="B178" s="299" t="s">
        <v>857</v>
      </c>
      <c r="C178" s="299">
        <v>1</v>
      </c>
      <c r="D178" s="149">
        <v>46195</v>
      </c>
      <c r="E178" s="149">
        <v>46200</v>
      </c>
      <c r="F178" s="341" t="s">
        <v>40</v>
      </c>
      <c r="G178" s="308" t="s">
        <v>792</v>
      </c>
      <c r="H178" s="372">
        <v>0</v>
      </c>
      <c r="I178" s="169">
        <v>46210</v>
      </c>
      <c r="J178" s="342">
        <v>46218</v>
      </c>
      <c r="K178" s="344" t="s">
        <v>40</v>
      </c>
      <c r="L178" s="344" t="s">
        <v>793</v>
      </c>
      <c r="M178" s="346">
        <v>0</v>
      </c>
      <c r="N178" s="347">
        <v>46219</v>
      </c>
      <c r="O178" s="347">
        <v>46231</v>
      </c>
      <c r="P178" s="349" t="s">
        <v>40</v>
      </c>
      <c r="Q178" s="349" t="s">
        <v>794</v>
      </c>
      <c r="R178" s="350">
        <v>0</v>
      </c>
      <c r="S178" s="352">
        <v>46232</v>
      </c>
      <c r="T178" s="352">
        <v>46238</v>
      </c>
      <c r="U178" s="354" t="s">
        <v>40</v>
      </c>
      <c r="V178" s="354" t="s">
        <v>795</v>
      </c>
      <c r="W178" s="355">
        <v>0</v>
      </c>
      <c r="X178" s="357">
        <v>46247</v>
      </c>
      <c r="Y178" s="357">
        <v>46249</v>
      </c>
      <c r="Z178" s="359" t="s">
        <v>40</v>
      </c>
      <c r="AA178" s="359" t="s">
        <v>796</v>
      </c>
      <c r="AB178" s="360">
        <v>0</v>
      </c>
      <c r="AC178" s="362">
        <v>46250</v>
      </c>
      <c r="AD178" s="326">
        <v>46257</v>
      </c>
      <c r="AE178" s="327" t="s">
        <v>40</v>
      </c>
      <c r="AF178" s="365" t="s">
        <v>795</v>
      </c>
      <c r="AG178" s="366">
        <v>0</v>
      </c>
      <c r="AH178" s="368">
        <v>46266</v>
      </c>
      <c r="AI178" s="368">
        <v>46269</v>
      </c>
      <c r="AJ178" s="369" t="s">
        <v>165</v>
      </c>
      <c r="AK178" s="373" t="s">
        <v>795</v>
      </c>
      <c r="AL178" s="370">
        <v>0</v>
      </c>
      <c r="AM178" s="168" t="s">
        <v>422</v>
      </c>
      <c r="AN178" s="168" t="s">
        <v>422</v>
      </c>
      <c r="AO178" s="168" t="s">
        <v>40</v>
      </c>
      <c r="AP178" s="170">
        <v>0</v>
      </c>
      <c r="AQ178"/>
    </row>
    <row r="179" spans="1:43">
      <c r="A179" s="292" t="s">
        <v>670</v>
      </c>
      <c r="B179" s="299" t="s">
        <v>858</v>
      </c>
      <c r="C179" s="299">
        <v>1</v>
      </c>
      <c r="D179" s="149">
        <v>46195</v>
      </c>
      <c r="E179" s="149">
        <v>46200</v>
      </c>
      <c r="F179" s="341" t="s">
        <v>40</v>
      </c>
      <c r="G179" s="308" t="s">
        <v>792</v>
      </c>
      <c r="H179" s="372">
        <v>0</v>
      </c>
      <c r="I179" s="169">
        <v>46210</v>
      </c>
      <c r="J179" s="342">
        <v>46218</v>
      </c>
      <c r="K179" s="344" t="s">
        <v>40</v>
      </c>
      <c r="L179" s="344" t="s">
        <v>793</v>
      </c>
      <c r="M179" s="346">
        <v>0</v>
      </c>
      <c r="N179" s="347">
        <v>46219</v>
      </c>
      <c r="O179" s="347">
        <v>46231</v>
      </c>
      <c r="P179" s="349" t="s">
        <v>40</v>
      </c>
      <c r="Q179" s="349" t="s">
        <v>794</v>
      </c>
      <c r="R179" s="350">
        <v>0</v>
      </c>
      <c r="S179" s="352">
        <v>46232</v>
      </c>
      <c r="T179" s="352">
        <v>46238</v>
      </c>
      <c r="U179" s="354" t="s">
        <v>40</v>
      </c>
      <c r="V179" s="354" t="s">
        <v>795</v>
      </c>
      <c r="W179" s="355">
        <v>0</v>
      </c>
      <c r="X179" s="357">
        <v>46247</v>
      </c>
      <c r="Y179" s="357">
        <v>46249</v>
      </c>
      <c r="Z179" s="359" t="s">
        <v>40</v>
      </c>
      <c r="AA179" s="359" t="s">
        <v>796</v>
      </c>
      <c r="AB179" s="360">
        <v>0</v>
      </c>
      <c r="AC179" s="362">
        <v>46250</v>
      </c>
      <c r="AD179" s="326">
        <v>46257</v>
      </c>
      <c r="AE179" s="327" t="s">
        <v>40</v>
      </c>
      <c r="AF179" s="365" t="s">
        <v>795</v>
      </c>
      <c r="AG179" s="366">
        <v>0</v>
      </c>
      <c r="AH179" s="368">
        <v>46266</v>
      </c>
      <c r="AI179" s="368">
        <v>46269</v>
      </c>
      <c r="AJ179" s="369" t="s">
        <v>165</v>
      </c>
      <c r="AK179" s="373" t="s">
        <v>795</v>
      </c>
      <c r="AL179" s="370">
        <v>0</v>
      </c>
      <c r="AM179" s="168" t="s">
        <v>422</v>
      </c>
      <c r="AN179" s="168" t="s">
        <v>422</v>
      </c>
      <c r="AO179" s="168" t="s">
        <v>40</v>
      </c>
      <c r="AP179" s="170">
        <v>0</v>
      </c>
      <c r="AQ179"/>
    </row>
    <row r="180" spans="1:43">
      <c r="A180" s="292" t="s">
        <v>670</v>
      </c>
      <c r="B180" s="299" t="s">
        <v>859</v>
      </c>
      <c r="C180" s="299">
        <v>1</v>
      </c>
      <c r="D180" s="149">
        <v>46195</v>
      </c>
      <c r="E180" s="149">
        <v>46200</v>
      </c>
      <c r="F180" s="341" t="s">
        <v>40</v>
      </c>
      <c r="G180" s="308" t="s">
        <v>792</v>
      </c>
      <c r="H180" s="372">
        <v>0</v>
      </c>
      <c r="I180" s="169">
        <v>46210</v>
      </c>
      <c r="J180" s="342">
        <v>46218</v>
      </c>
      <c r="K180" s="344" t="s">
        <v>40</v>
      </c>
      <c r="L180" s="344" t="s">
        <v>793</v>
      </c>
      <c r="M180" s="346">
        <v>0</v>
      </c>
      <c r="N180" s="347">
        <v>46219</v>
      </c>
      <c r="O180" s="347">
        <v>46231</v>
      </c>
      <c r="P180" s="349" t="s">
        <v>40</v>
      </c>
      <c r="Q180" s="349" t="s">
        <v>794</v>
      </c>
      <c r="R180" s="350">
        <v>0</v>
      </c>
      <c r="S180" s="352">
        <v>46232</v>
      </c>
      <c r="T180" s="352">
        <v>46238</v>
      </c>
      <c r="U180" s="354" t="s">
        <v>40</v>
      </c>
      <c r="V180" s="354" t="s">
        <v>795</v>
      </c>
      <c r="W180" s="355">
        <v>0</v>
      </c>
      <c r="X180" s="357">
        <v>46247</v>
      </c>
      <c r="Y180" s="357">
        <v>46249</v>
      </c>
      <c r="Z180" s="359" t="s">
        <v>40</v>
      </c>
      <c r="AA180" s="359" t="s">
        <v>796</v>
      </c>
      <c r="AB180" s="360">
        <v>0</v>
      </c>
      <c r="AC180" s="362">
        <v>46250</v>
      </c>
      <c r="AD180" s="326">
        <v>46257</v>
      </c>
      <c r="AE180" s="327" t="s">
        <v>40</v>
      </c>
      <c r="AF180" s="365" t="s">
        <v>795</v>
      </c>
      <c r="AG180" s="366">
        <v>0</v>
      </c>
      <c r="AH180" s="368">
        <v>46266</v>
      </c>
      <c r="AI180" s="368">
        <v>46269</v>
      </c>
      <c r="AJ180" s="369" t="s">
        <v>165</v>
      </c>
      <c r="AK180" s="373" t="s">
        <v>795</v>
      </c>
      <c r="AL180" s="370">
        <v>0</v>
      </c>
      <c r="AM180" s="168" t="s">
        <v>422</v>
      </c>
      <c r="AN180" s="168" t="s">
        <v>422</v>
      </c>
      <c r="AO180" s="168" t="s">
        <v>40</v>
      </c>
      <c r="AP180" s="170">
        <v>0</v>
      </c>
      <c r="AQ180"/>
    </row>
    <row r="181" spans="1:43">
      <c r="A181" s="292" t="s">
        <v>670</v>
      </c>
      <c r="B181" s="299" t="s">
        <v>860</v>
      </c>
      <c r="C181" s="299">
        <v>1</v>
      </c>
      <c r="D181" s="149">
        <v>46195</v>
      </c>
      <c r="E181" s="149">
        <v>46200</v>
      </c>
      <c r="F181" s="341" t="s">
        <v>40</v>
      </c>
      <c r="G181" s="308" t="s">
        <v>792</v>
      </c>
      <c r="H181" s="372">
        <v>0</v>
      </c>
      <c r="I181" s="169">
        <v>46210</v>
      </c>
      <c r="J181" s="342">
        <v>46218</v>
      </c>
      <c r="K181" s="344" t="s">
        <v>40</v>
      </c>
      <c r="L181" s="344" t="s">
        <v>793</v>
      </c>
      <c r="M181" s="346">
        <v>0</v>
      </c>
      <c r="N181" s="347">
        <v>46219</v>
      </c>
      <c r="O181" s="347">
        <v>46231</v>
      </c>
      <c r="P181" s="349" t="s">
        <v>40</v>
      </c>
      <c r="Q181" s="349" t="s">
        <v>794</v>
      </c>
      <c r="R181" s="350">
        <v>0</v>
      </c>
      <c r="S181" s="352">
        <v>46232</v>
      </c>
      <c r="T181" s="352">
        <v>46238</v>
      </c>
      <c r="U181" s="354" t="s">
        <v>40</v>
      </c>
      <c r="V181" s="354" t="s">
        <v>795</v>
      </c>
      <c r="W181" s="355">
        <v>0</v>
      </c>
      <c r="X181" s="357">
        <v>46247</v>
      </c>
      <c r="Y181" s="357">
        <v>46249</v>
      </c>
      <c r="Z181" s="359" t="s">
        <v>40</v>
      </c>
      <c r="AA181" s="359" t="s">
        <v>796</v>
      </c>
      <c r="AB181" s="360">
        <v>0</v>
      </c>
      <c r="AC181" s="362">
        <v>46250</v>
      </c>
      <c r="AD181" s="326">
        <v>46257</v>
      </c>
      <c r="AE181" s="327" t="s">
        <v>40</v>
      </c>
      <c r="AF181" s="365" t="s">
        <v>795</v>
      </c>
      <c r="AG181" s="366">
        <v>0</v>
      </c>
      <c r="AH181" s="368">
        <v>46266</v>
      </c>
      <c r="AI181" s="368">
        <v>46269</v>
      </c>
      <c r="AJ181" s="369" t="s">
        <v>165</v>
      </c>
      <c r="AK181" s="373" t="s">
        <v>795</v>
      </c>
      <c r="AL181" s="370">
        <v>0</v>
      </c>
      <c r="AM181" s="168" t="s">
        <v>422</v>
      </c>
      <c r="AN181" s="168" t="s">
        <v>422</v>
      </c>
      <c r="AO181" s="168" t="s">
        <v>40</v>
      </c>
      <c r="AP181" s="170">
        <v>0</v>
      </c>
      <c r="AQ181"/>
    </row>
    <row r="182" spans="1:43">
      <c r="A182" s="292" t="s">
        <v>670</v>
      </c>
      <c r="B182" s="299" t="s">
        <v>861</v>
      </c>
      <c r="C182" s="299">
        <v>1</v>
      </c>
      <c r="D182" s="149">
        <v>46195</v>
      </c>
      <c r="E182" s="149">
        <v>46200</v>
      </c>
      <c r="F182" s="341" t="s">
        <v>40</v>
      </c>
      <c r="G182" s="308" t="s">
        <v>792</v>
      </c>
      <c r="H182" s="372">
        <v>0</v>
      </c>
      <c r="I182" s="169">
        <v>46210</v>
      </c>
      <c r="J182" s="342">
        <v>46218</v>
      </c>
      <c r="K182" s="344" t="s">
        <v>40</v>
      </c>
      <c r="L182" s="344" t="s">
        <v>793</v>
      </c>
      <c r="M182" s="346">
        <v>0</v>
      </c>
      <c r="N182" s="347">
        <v>46219</v>
      </c>
      <c r="O182" s="347">
        <v>46231</v>
      </c>
      <c r="P182" s="349" t="s">
        <v>40</v>
      </c>
      <c r="Q182" s="349" t="s">
        <v>794</v>
      </c>
      <c r="R182" s="350">
        <v>0</v>
      </c>
      <c r="S182" s="352">
        <v>46232</v>
      </c>
      <c r="T182" s="352">
        <v>46238</v>
      </c>
      <c r="U182" s="354" t="s">
        <v>40</v>
      </c>
      <c r="V182" s="354" t="s">
        <v>795</v>
      </c>
      <c r="W182" s="355">
        <v>0</v>
      </c>
      <c r="X182" s="357">
        <v>46247</v>
      </c>
      <c r="Y182" s="357">
        <v>46249</v>
      </c>
      <c r="Z182" s="359" t="s">
        <v>40</v>
      </c>
      <c r="AA182" s="359" t="s">
        <v>796</v>
      </c>
      <c r="AB182" s="360">
        <v>0</v>
      </c>
      <c r="AC182" s="362">
        <v>46250</v>
      </c>
      <c r="AD182" s="326">
        <v>46257</v>
      </c>
      <c r="AE182" s="327" t="s">
        <v>40</v>
      </c>
      <c r="AF182" s="365" t="s">
        <v>795</v>
      </c>
      <c r="AG182" s="366">
        <v>0</v>
      </c>
      <c r="AH182" s="368">
        <v>46266</v>
      </c>
      <c r="AI182" s="368">
        <v>46269</v>
      </c>
      <c r="AJ182" s="369" t="s">
        <v>165</v>
      </c>
      <c r="AK182" s="373" t="s">
        <v>795</v>
      </c>
      <c r="AL182" s="370">
        <v>0</v>
      </c>
      <c r="AM182" s="168" t="s">
        <v>422</v>
      </c>
      <c r="AN182" s="168" t="s">
        <v>422</v>
      </c>
      <c r="AO182" s="168" t="s">
        <v>40</v>
      </c>
      <c r="AP182" s="170">
        <v>0</v>
      </c>
      <c r="AQ182"/>
    </row>
    <row r="183" spans="1:43">
      <c r="A183" s="292" t="s">
        <v>670</v>
      </c>
      <c r="B183" s="299" t="s">
        <v>862</v>
      </c>
      <c r="C183" s="299">
        <v>1</v>
      </c>
      <c r="D183" s="149">
        <v>46195</v>
      </c>
      <c r="E183" s="149">
        <v>46200</v>
      </c>
      <c r="F183" s="341" t="s">
        <v>40</v>
      </c>
      <c r="G183" s="308" t="s">
        <v>792</v>
      </c>
      <c r="H183" s="372">
        <v>0</v>
      </c>
      <c r="I183" s="169">
        <v>46210</v>
      </c>
      <c r="J183" s="342">
        <v>46218</v>
      </c>
      <c r="K183" s="344" t="s">
        <v>40</v>
      </c>
      <c r="L183" s="344" t="s">
        <v>793</v>
      </c>
      <c r="M183" s="346">
        <v>0</v>
      </c>
      <c r="N183" s="347">
        <v>46219</v>
      </c>
      <c r="O183" s="347">
        <v>46231</v>
      </c>
      <c r="P183" s="349" t="s">
        <v>40</v>
      </c>
      <c r="Q183" s="349" t="s">
        <v>794</v>
      </c>
      <c r="R183" s="350">
        <v>0</v>
      </c>
      <c r="S183" s="352">
        <v>46232</v>
      </c>
      <c r="T183" s="352">
        <v>46238</v>
      </c>
      <c r="U183" s="354" t="s">
        <v>40</v>
      </c>
      <c r="V183" s="354" t="s">
        <v>795</v>
      </c>
      <c r="W183" s="355">
        <v>0</v>
      </c>
      <c r="X183" s="357">
        <v>46247</v>
      </c>
      <c r="Y183" s="357">
        <v>46249</v>
      </c>
      <c r="Z183" s="359" t="s">
        <v>40</v>
      </c>
      <c r="AA183" s="359" t="s">
        <v>796</v>
      </c>
      <c r="AB183" s="360">
        <v>0</v>
      </c>
      <c r="AC183" s="362">
        <v>46250</v>
      </c>
      <c r="AD183" s="326">
        <v>46257</v>
      </c>
      <c r="AE183" s="327" t="s">
        <v>40</v>
      </c>
      <c r="AF183" s="365" t="s">
        <v>795</v>
      </c>
      <c r="AG183" s="366">
        <v>0</v>
      </c>
      <c r="AH183" s="368">
        <v>46266</v>
      </c>
      <c r="AI183" s="368">
        <v>46269</v>
      </c>
      <c r="AJ183" s="369" t="s">
        <v>165</v>
      </c>
      <c r="AK183" s="373" t="s">
        <v>795</v>
      </c>
      <c r="AL183" s="370">
        <v>0</v>
      </c>
      <c r="AM183" s="168" t="s">
        <v>422</v>
      </c>
      <c r="AN183" s="168" t="s">
        <v>422</v>
      </c>
      <c r="AO183" s="168" t="s">
        <v>40</v>
      </c>
      <c r="AP183" s="170">
        <v>0</v>
      </c>
      <c r="AQ183"/>
    </row>
    <row r="184" spans="1:43">
      <c r="A184" s="292" t="s">
        <v>670</v>
      </c>
      <c r="B184" s="299" t="s">
        <v>863</v>
      </c>
      <c r="C184" s="299">
        <v>1</v>
      </c>
      <c r="D184" s="149">
        <v>46195</v>
      </c>
      <c r="E184" s="149">
        <v>46200</v>
      </c>
      <c r="F184" s="341" t="s">
        <v>40</v>
      </c>
      <c r="G184" s="308" t="s">
        <v>792</v>
      </c>
      <c r="H184" s="372">
        <v>0</v>
      </c>
      <c r="I184" s="169">
        <v>46210</v>
      </c>
      <c r="J184" s="342">
        <v>46218</v>
      </c>
      <c r="K184" s="344" t="s">
        <v>40</v>
      </c>
      <c r="L184" s="344" t="s">
        <v>793</v>
      </c>
      <c r="M184" s="346">
        <v>0</v>
      </c>
      <c r="N184" s="347">
        <v>46219</v>
      </c>
      <c r="O184" s="347">
        <v>46231</v>
      </c>
      <c r="P184" s="349" t="s">
        <v>40</v>
      </c>
      <c r="Q184" s="349" t="s">
        <v>794</v>
      </c>
      <c r="R184" s="350">
        <v>0</v>
      </c>
      <c r="S184" s="352">
        <v>46232</v>
      </c>
      <c r="T184" s="352">
        <v>46238</v>
      </c>
      <c r="U184" s="354" t="s">
        <v>40</v>
      </c>
      <c r="V184" s="354" t="s">
        <v>795</v>
      </c>
      <c r="W184" s="355">
        <v>0</v>
      </c>
      <c r="X184" s="357">
        <v>46247</v>
      </c>
      <c r="Y184" s="357">
        <v>46249</v>
      </c>
      <c r="Z184" s="359" t="s">
        <v>40</v>
      </c>
      <c r="AA184" s="359" t="s">
        <v>796</v>
      </c>
      <c r="AB184" s="360">
        <v>0</v>
      </c>
      <c r="AC184" s="362">
        <v>46250</v>
      </c>
      <c r="AD184" s="326">
        <v>46257</v>
      </c>
      <c r="AE184" s="327" t="s">
        <v>40</v>
      </c>
      <c r="AF184" s="365" t="s">
        <v>795</v>
      </c>
      <c r="AG184" s="366">
        <v>0</v>
      </c>
      <c r="AH184" s="368">
        <v>46266</v>
      </c>
      <c r="AI184" s="368">
        <v>46269</v>
      </c>
      <c r="AJ184" s="369" t="s">
        <v>165</v>
      </c>
      <c r="AK184" s="373" t="s">
        <v>795</v>
      </c>
      <c r="AL184" s="370">
        <v>0</v>
      </c>
      <c r="AM184" s="168" t="s">
        <v>422</v>
      </c>
      <c r="AN184" s="168" t="s">
        <v>422</v>
      </c>
      <c r="AO184" s="168" t="s">
        <v>40</v>
      </c>
      <c r="AP184" s="170">
        <v>0</v>
      </c>
      <c r="AQ184"/>
    </row>
    <row r="185" spans="1:43">
      <c r="A185" s="292" t="s">
        <v>670</v>
      </c>
      <c r="B185" s="299" t="s">
        <v>864</v>
      </c>
      <c r="C185" s="299">
        <v>1</v>
      </c>
      <c r="D185" s="149">
        <v>46195</v>
      </c>
      <c r="E185" s="149">
        <v>46200</v>
      </c>
      <c r="F185" s="341" t="s">
        <v>40</v>
      </c>
      <c r="G185" s="308" t="s">
        <v>792</v>
      </c>
      <c r="H185" s="372">
        <v>0</v>
      </c>
      <c r="I185" s="169">
        <v>46210</v>
      </c>
      <c r="J185" s="342">
        <v>46218</v>
      </c>
      <c r="K185" s="344" t="s">
        <v>40</v>
      </c>
      <c r="L185" s="344" t="s">
        <v>793</v>
      </c>
      <c r="M185" s="346">
        <v>0</v>
      </c>
      <c r="N185" s="347">
        <v>46219</v>
      </c>
      <c r="O185" s="347">
        <v>46231</v>
      </c>
      <c r="P185" s="349" t="s">
        <v>40</v>
      </c>
      <c r="Q185" s="349" t="s">
        <v>794</v>
      </c>
      <c r="R185" s="350">
        <v>0</v>
      </c>
      <c r="S185" s="352">
        <v>46232</v>
      </c>
      <c r="T185" s="352">
        <v>46238</v>
      </c>
      <c r="U185" s="354" t="s">
        <v>40</v>
      </c>
      <c r="V185" s="354" t="s">
        <v>795</v>
      </c>
      <c r="W185" s="355">
        <v>0</v>
      </c>
      <c r="X185" s="357">
        <v>46247</v>
      </c>
      <c r="Y185" s="357">
        <v>46249</v>
      </c>
      <c r="Z185" s="359" t="s">
        <v>40</v>
      </c>
      <c r="AA185" s="359" t="s">
        <v>796</v>
      </c>
      <c r="AB185" s="360">
        <v>0</v>
      </c>
      <c r="AC185" s="362">
        <v>46250</v>
      </c>
      <c r="AD185" s="326">
        <v>46257</v>
      </c>
      <c r="AE185" s="327" t="s">
        <v>40</v>
      </c>
      <c r="AF185" s="365" t="s">
        <v>795</v>
      </c>
      <c r="AG185" s="366">
        <v>0</v>
      </c>
      <c r="AH185" s="368">
        <v>46266</v>
      </c>
      <c r="AI185" s="368">
        <v>46269</v>
      </c>
      <c r="AJ185" s="369" t="s">
        <v>165</v>
      </c>
      <c r="AK185" s="373" t="s">
        <v>795</v>
      </c>
      <c r="AL185" s="370">
        <v>0</v>
      </c>
      <c r="AM185" s="168" t="s">
        <v>422</v>
      </c>
      <c r="AN185" s="168" t="s">
        <v>422</v>
      </c>
      <c r="AO185" s="168" t="s">
        <v>40</v>
      </c>
      <c r="AP185" s="170">
        <v>0</v>
      </c>
      <c r="AQ185"/>
    </row>
    <row r="186" spans="1:43">
      <c r="A186" s="292" t="s">
        <v>670</v>
      </c>
      <c r="B186" s="299" t="s">
        <v>865</v>
      </c>
      <c r="C186" s="299">
        <v>1</v>
      </c>
      <c r="D186" s="149">
        <v>46195</v>
      </c>
      <c r="E186" s="149">
        <v>46200</v>
      </c>
      <c r="F186" s="341" t="s">
        <v>40</v>
      </c>
      <c r="G186" s="308" t="s">
        <v>792</v>
      </c>
      <c r="H186" s="372">
        <v>0</v>
      </c>
      <c r="I186" s="169">
        <v>46210</v>
      </c>
      <c r="J186" s="342">
        <v>46218</v>
      </c>
      <c r="K186" s="344" t="s">
        <v>40</v>
      </c>
      <c r="L186" s="344" t="s">
        <v>793</v>
      </c>
      <c r="M186" s="346">
        <v>0</v>
      </c>
      <c r="N186" s="347">
        <v>46219</v>
      </c>
      <c r="O186" s="347">
        <v>46231</v>
      </c>
      <c r="P186" s="349" t="s">
        <v>40</v>
      </c>
      <c r="Q186" s="349" t="s">
        <v>794</v>
      </c>
      <c r="R186" s="350">
        <v>0</v>
      </c>
      <c r="S186" s="352">
        <v>46232</v>
      </c>
      <c r="T186" s="352">
        <v>46238</v>
      </c>
      <c r="U186" s="354" t="s">
        <v>40</v>
      </c>
      <c r="V186" s="354" t="s">
        <v>795</v>
      </c>
      <c r="W186" s="355">
        <v>0</v>
      </c>
      <c r="X186" s="357">
        <v>46247</v>
      </c>
      <c r="Y186" s="357">
        <v>46249</v>
      </c>
      <c r="Z186" s="359" t="s">
        <v>40</v>
      </c>
      <c r="AA186" s="359" t="s">
        <v>796</v>
      </c>
      <c r="AB186" s="360">
        <v>0</v>
      </c>
      <c r="AC186" s="362">
        <v>46250</v>
      </c>
      <c r="AD186" s="326">
        <v>46257</v>
      </c>
      <c r="AE186" s="327" t="s">
        <v>40</v>
      </c>
      <c r="AF186" s="365" t="s">
        <v>795</v>
      </c>
      <c r="AG186" s="366">
        <v>0</v>
      </c>
      <c r="AH186" s="368">
        <v>46266</v>
      </c>
      <c r="AI186" s="368">
        <v>46269</v>
      </c>
      <c r="AJ186" s="369" t="s">
        <v>165</v>
      </c>
      <c r="AK186" s="373" t="s">
        <v>795</v>
      </c>
      <c r="AL186" s="370">
        <v>0</v>
      </c>
      <c r="AM186" s="168" t="s">
        <v>422</v>
      </c>
      <c r="AN186" s="168" t="s">
        <v>422</v>
      </c>
      <c r="AO186" s="168" t="s">
        <v>40</v>
      </c>
      <c r="AP186" s="170">
        <v>0</v>
      </c>
      <c r="AQ186"/>
    </row>
    <row r="187" spans="1:43">
      <c r="A187" s="292" t="s">
        <v>670</v>
      </c>
      <c r="B187" s="299" t="s">
        <v>866</v>
      </c>
      <c r="C187" s="299">
        <v>1</v>
      </c>
      <c r="D187" s="149">
        <v>46195</v>
      </c>
      <c r="E187" s="149">
        <v>46200</v>
      </c>
      <c r="F187" s="341" t="s">
        <v>40</v>
      </c>
      <c r="G187" s="308" t="s">
        <v>792</v>
      </c>
      <c r="H187" s="372">
        <v>0</v>
      </c>
      <c r="I187" s="169">
        <v>46210</v>
      </c>
      <c r="J187" s="342">
        <v>46218</v>
      </c>
      <c r="K187" s="344" t="s">
        <v>40</v>
      </c>
      <c r="L187" s="344" t="s">
        <v>793</v>
      </c>
      <c r="M187" s="346">
        <v>0</v>
      </c>
      <c r="N187" s="347">
        <v>46219</v>
      </c>
      <c r="O187" s="347">
        <v>46231</v>
      </c>
      <c r="P187" s="349" t="s">
        <v>40</v>
      </c>
      <c r="Q187" s="349" t="s">
        <v>794</v>
      </c>
      <c r="R187" s="350">
        <v>0</v>
      </c>
      <c r="S187" s="352">
        <v>46232</v>
      </c>
      <c r="T187" s="352">
        <v>46238</v>
      </c>
      <c r="U187" s="354" t="s">
        <v>40</v>
      </c>
      <c r="V187" s="354" t="s">
        <v>795</v>
      </c>
      <c r="W187" s="355">
        <v>0</v>
      </c>
      <c r="X187" s="357">
        <v>46247</v>
      </c>
      <c r="Y187" s="357">
        <v>46249</v>
      </c>
      <c r="Z187" s="359" t="s">
        <v>40</v>
      </c>
      <c r="AA187" s="359" t="s">
        <v>796</v>
      </c>
      <c r="AB187" s="360">
        <v>0</v>
      </c>
      <c r="AC187" s="362">
        <v>46250</v>
      </c>
      <c r="AD187" s="326">
        <v>46257</v>
      </c>
      <c r="AE187" s="327" t="s">
        <v>40</v>
      </c>
      <c r="AF187" s="365" t="s">
        <v>795</v>
      </c>
      <c r="AG187" s="366">
        <v>0</v>
      </c>
      <c r="AH187" s="368">
        <v>46266</v>
      </c>
      <c r="AI187" s="368">
        <v>46269</v>
      </c>
      <c r="AJ187" s="369" t="s">
        <v>165</v>
      </c>
      <c r="AK187" s="373" t="s">
        <v>795</v>
      </c>
      <c r="AL187" s="370">
        <v>0</v>
      </c>
      <c r="AM187" s="168" t="s">
        <v>422</v>
      </c>
      <c r="AN187" s="168" t="s">
        <v>422</v>
      </c>
      <c r="AO187" s="168" t="s">
        <v>40</v>
      </c>
      <c r="AP187" s="170">
        <v>0</v>
      </c>
      <c r="AQ187"/>
    </row>
    <row r="188" spans="1:43">
      <c r="A188" s="292" t="s">
        <v>670</v>
      </c>
      <c r="B188" s="299" t="s">
        <v>867</v>
      </c>
      <c r="C188" s="299">
        <v>1</v>
      </c>
      <c r="D188" s="149">
        <v>46195</v>
      </c>
      <c r="E188" s="149">
        <v>46200</v>
      </c>
      <c r="F188" s="341" t="s">
        <v>40</v>
      </c>
      <c r="G188" s="308" t="s">
        <v>792</v>
      </c>
      <c r="H188" s="372">
        <v>0</v>
      </c>
      <c r="I188" s="169">
        <v>46210</v>
      </c>
      <c r="J188" s="342">
        <v>46218</v>
      </c>
      <c r="K188" s="344" t="s">
        <v>40</v>
      </c>
      <c r="L188" s="344" t="s">
        <v>793</v>
      </c>
      <c r="M188" s="346">
        <v>0</v>
      </c>
      <c r="N188" s="347">
        <v>46219</v>
      </c>
      <c r="O188" s="347">
        <v>46231</v>
      </c>
      <c r="P188" s="349" t="s">
        <v>40</v>
      </c>
      <c r="Q188" s="349" t="s">
        <v>794</v>
      </c>
      <c r="R188" s="350">
        <v>0</v>
      </c>
      <c r="S188" s="352">
        <v>46232</v>
      </c>
      <c r="T188" s="352">
        <v>46238</v>
      </c>
      <c r="U188" s="354" t="s">
        <v>40</v>
      </c>
      <c r="V188" s="354" t="s">
        <v>795</v>
      </c>
      <c r="W188" s="355">
        <v>0</v>
      </c>
      <c r="X188" s="357">
        <v>46247</v>
      </c>
      <c r="Y188" s="357">
        <v>46249</v>
      </c>
      <c r="Z188" s="359" t="s">
        <v>40</v>
      </c>
      <c r="AA188" s="359" t="s">
        <v>796</v>
      </c>
      <c r="AB188" s="360">
        <v>0</v>
      </c>
      <c r="AC188" s="362">
        <v>46250</v>
      </c>
      <c r="AD188" s="326">
        <v>46257</v>
      </c>
      <c r="AE188" s="327" t="s">
        <v>40</v>
      </c>
      <c r="AF188" s="365" t="s">
        <v>795</v>
      </c>
      <c r="AG188" s="366">
        <v>0</v>
      </c>
      <c r="AH188" s="368">
        <v>46266</v>
      </c>
      <c r="AI188" s="368">
        <v>46269</v>
      </c>
      <c r="AJ188" s="369" t="s">
        <v>165</v>
      </c>
      <c r="AK188" s="373" t="s">
        <v>795</v>
      </c>
      <c r="AL188" s="370">
        <v>0</v>
      </c>
      <c r="AM188" s="168" t="s">
        <v>422</v>
      </c>
      <c r="AN188" s="168" t="s">
        <v>422</v>
      </c>
      <c r="AO188" s="168" t="s">
        <v>40</v>
      </c>
      <c r="AP188" s="170">
        <v>0</v>
      </c>
      <c r="AQ188"/>
    </row>
    <row r="189" spans="1:43">
      <c r="A189" s="292" t="s">
        <v>670</v>
      </c>
      <c r="B189" s="299" t="s">
        <v>868</v>
      </c>
      <c r="C189" s="299">
        <v>1</v>
      </c>
      <c r="D189" s="149">
        <v>46195</v>
      </c>
      <c r="E189" s="149">
        <v>46200</v>
      </c>
      <c r="F189" s="341" t="s">
        <v>40</v>
      </c>
      <c r="G189" s="308" t="s">
        <v>792</v>
      </c>
      <c r="H189" s="372">
        <v>0</v>
      </c>
      <c r="I189" s="169">
        <v>46210</v>
      </c>
      <c r="J189" s="342">
        <v>46218</v>
      </c>
      <c r="K189" s="344" t="s">
        <v>40</v>
      </c>
      <c r="L189" s="344" t="s">
        <v>793</v>
      </c>
      <c r="M189" s="346">
        <v>0</v>
      </c>
      <c r="N189" s="347">
        <v>46219</v>
      </c>
      <c r="O189" s="347">
        <v>46231</v>
      </c>
      <c r="P189" s="349" t="s">
        <v>40</v>
      </c>
      <c r="Q189" s="349" t="s">
        <v>794</v>
      </c>
      <c r="R189" s="350">
        <v>0</v>
      </c>
      <c r="S189" s="352">
        <v>46232</v>
      </c>
      <c r="T189" s="352">
        <v>46238</v>
      </c>
      <c r="U189" s="354" t="s">
        <v>40</v>
      </c>
      <c r="V189" s="354" t="s">
        <v>795</v>
      </c>
      <c r="W189" s="355">
        <v>0</v>
      </c>
      <c r="X189" s="357">
        <v>46247</v>
      </c>
      <c r="Y189" s="357">
        <v>46249</v>
      </c>
      <c r="Z189" s="359" t="s">
        <v>40</v>
      </c>
      <c r="AA189" s="359" t="s">
        <v>796</v>
      </c>
      <c r="AB189" s="360">
        <v>0</v>
      </c>
      <c r="AC189" s="362">
        <v>46250</v>
      </c>
      <c r="AD189" s="326">
        <v>46257</v>
      </c>
      <c r="AE189" s="327" t="s">
        <v>40</v>
      </c>
      <c r="AF189" s="365" t="s">
        <v>795</v>
      </c>
      <c r="AG189" s="366">
        <v>0</v>
      </c>
      <c r="AH189" s="368">
        <v>46266</v>
      </c>
      <c r="AI189" s="368">
        <v>46269</v>
      </c>
      <c r="AJ189" s="369" t="s">
        <v>165</v>
      </c>
      <c r="AK189" s="373" t="s">
        <v>795</v>
      </c>
      <c r="AL189" s="370">
        <v>0</v>
      </c>
      <c r="AM189" s="168" t="s">
        <v>422</v>
      </c>
      <c r="AN189" s="168" t="s">
        <v>422</v>
      </c>
      <c r="AO189" s="168" t="s">
        <v>40</v>
      </c>
      <c r="AP189" s="170">
        <v>0</v>
      </c>
      <c r="AQ189"/>
    </row>
    <row r="190" spans="1:43">
      <c r="A190" s="292" t="s">
        <v>670</v>
      </c>
      <c r="B190" s="299" t="s">
        <v>869</v>
      </c>
      <c r="C190" s="299">
        <v>1</v>
      </c>
      <c r="D190" s="149">
        <v>46195</v>
      </c>
      <c r="E190" s="149">
        <v>46200</v>
      </c>
      <c r="F190" s="341" t="s">
        <v>40</v>
      </c>
      <c r="G190" s="308" t="s">
        <v>792</v>
      </c>
      <c r="H190" s="372">
        <v>0</v>
      </c>
      <c r="I190" s="169">
        <v>46210</v>
      </c>
      <c r="J190" s="342">
        <v>46218</v>
      </c>
      <c r="K190" s="344" t="s">
        <v>40</v>
      </c>
      <c r="L190" s="344" t="s">
        <v>793</v>
      </c>
      <c r="M190" s="346">
        <v>0</v>
      </c>
      <c r="N190" s="347">
        <v>46219</v>
      </c>
      <c r="O190" s="347">
        <v>46231</v>
      </c>
      <c r="P190" s="349" t="s">
        <v>40</v>
      </c>
      <c r="Q190" s="349" t="s">
        <v>794</v>
      </c>
      <c r="R190" s="350">
        <v>0</v>
      </c>
      <c r="S190" s="352">
        <v>46232</v>
      </c>
      <c r="T190" s="352">
        <v>46238</v>
      </c>
      <c r="U190" s="354" t="s">
        <v>40</v>
      </c>
      <c r="V190" s="354" t="s">
        <v>795</v>
      </c>
      <c r="W190" s="355">
        <v>0</v>
      </c>
      <c r="X190" s="357">
        <v>46247</v>
      </c>
      <c r="Y190" s="357">
        <v>46249</v>
      </c>
      <c r="Z190" s="359" t="s">
        <v>40</v>
      </c>
      <c r="AA190" s="359" t="s">
        <v>796</v>
      </c>
      <c r="AB190" s="360">
        <v>0</v>
      </c>
      <c r="AC190" s="362">
        <v>46250</v>
      </c>
      <c r="AD190" s="326">
        <v>46257</v>
      </c>
      <c r="AE190" s="327" t="s">
        <v>40</v>
      </c>
      <c r="AF190" s="365" t="s">
        <v>795</v>
      </c>
      <c r="AG190" s="366">
        <v>0</v>
      </c>
      <c r="AH190" s="368">
        <v>46266</v>
      </c>
      <c r="AI190" s="368">
        <v>46269</v>
      </c>
      <c r="AJ190" s="369" t="s">
        <v>165</v>
      </c>
      <c r="AK190" s="373" t="s">
        <v>795</v>
      </c>
      <c r="AL190" s="370">
        <v>0</v>
      </c>
      <c r="AM190" s="168" t="s">
        <v>422</v>
      </c>
      <c r="AN190" s="168" t="s">
        <v>422</v>
      </c>
      <c r="AO190" s="168" t="s">
        <v>40</v>
      </c>
      <c r="AP190" s="170">
        <v>0</v>
      </c>
      <c r="AQ190"/>
    </row>
    <row r="191" spans="1:43">
      <c r="A191" s="292" t="s">
        <v>670</v>
      </c>
      <c r="B191" s="299" t="s">
        <v>870</v>
      </c>
      <c r="C191" s="299">
        <v>1</v>
      </c>
      <c r="D191" s="149">
        <v>46195</v>
      </c>
      <c r="E191" s="149">
        <v>46200</v>
      </c>
      <c r="F191" s="341" t="s">
        <v>40</v>
      </c>
      <c r="G191" s="308" t="s">
        <v>792</v>
      </c>
      <c r="H191" s="372">
        <v>0</v>
      </c>
      <c r="I191" s="169">
        <v>46210</v>
      </c>
      <c r="J191" s="342">
        <v>46218</v>
      </c>
      <c r="K191" s="344" t="s">
        <v>40</v>
      </c>
      <c r="L191" s="344" t="s">
        <v>793</v>
      </c>
      <c r="M191" s="346">
        <v>0</v>
      </c>
      <c r="N191" s="347">
        <v>46219</v>
      </c>
      <c r="O191" s="347">
        <v>46231</v>
      </c>
      <c r="P191" s="349" t="s">
        <v>40</v>
      </c>
      <c r="Q191" s="349" t="s">
        <v>794</v>
      </c>
      <c r="R191" s="350">
        <v>0</v>
      </c>
      <c r="S191" s="352">
        <v>46232</v>
      </c>
      <c r="T191" s="352">
        <v>46238</v>
      </c>
      <c r="U191" s="354" t="s">
        <v>40</v>
      </c>
      <c r="V191" s="354" t="s">
        <v>795</v>
      </c>
      <c r="W191" s="355">
        <v>0</v>
      </c>
      <c r="X191" s="357">
        <v>46247</v>
      </c>
      <c r="Y191" s="357">
        <v>46249</v>
      </c>
      <c r="Z191" s="359" t="s">
        <v>40</v>
      </c>
      <c r="AA191" s="359" t="s">
        <v>796</v>
      </c>
      <c r="AB191" s="360">
        <v>0</v>
      </c>
      <c r="AC191" s="362">
        <v>46250</v>
      </c>
      <c r="AD191" s="326">
        <v>46257</v>
      </c>
      <c r="AE191" s="327" t="s">
        <v>40</v>
      </c>
      <c r="AF191" s="365" t="s">
        <v>795</v>
      </c>
      <c r="AG191" s="366">
        <v>0</v>
      </c>
      <c r="AH191" s="368">
        <v>46266</v>
      </c>
      <c r="AI191" s="368">
        <v>46269</v>
      </c>
      <c r="AJ191" s="369" t="s">
        <v>165</v>
      </c>
      <c r="AK191" s="373" t="s">
        <v>795</v>
      </c>
      <c r="AL191" s="370">
        <v>0</v>
      </c>
      <c r="AM191" s="168" t="s">
        <v>422</v>
      </c>
      <c r="AN191" s="168" t="s">
        <v>422</v>
      </c>
      <c r="AO191" s="168" t="s">
        <v>40</v>
      </c>
      <c r="AP191" s="170">
        <v>0</v>
      </c>
      <c r="AQ191"/>
    </row>
    <row r="192" spans="1:43">
      <c r="A192" s="292" t="s">
        <v>670</v>
      </c>
      <c r="B192" s="299" t="s">
        <v>871</v>
      </c>
      <c r="C192" s="299">
        <v>1</v>
      </c>
      <c r="D192" s="149">
        <v>46195</v>
      </c>
      <c r="E192" s="149">
        <v>46200</v>
      </c>
      <c r="F192" s="341" t="s">
        <v>40</v>
      </c>
      <c r="G192" s="308" t="s">
        <v>792</v>
      </c>
      <c r="H192" s="372">
        <v>0</v>
      </c>
      <c r="I192" s="169">
        <v>46210</v>
      </c>
      <c r="J192" s="342">
        <v>46218</v>
      </c>
      <c r="K192" s="344" t="s">
        <v>40</v>
      </c>
      <c r="L192" s="344" t="s">
        <v>793</v>
      </c>
      <c r="M192" s="346">
        <v>0</v>
      </c>
      <c r="N192" s="347">
        <v>46219</v>
      </c>
      <c r="O192" s="347">
        <v>46231</v>
      </c>
      <c r="P192" s="349" t="s">
        <v>40</v>
      </c>
      <c r="Q192" s="349" t="s">
        <v>794</v>
      </c>
      <c r="R192" s="350">
        <v>0</v>
      </c>
      <c r="S192" s="352">
        <v>46232</v>
      </c>
      <c r="T192" s="352">
        <v>46238</v>
      </c>
      <c r="U192" s="354" t="s">
        <v>40</v>
      </c>
      <c r="V192" s="354" t="s">
        <v>795</v>
      </c>
      <c r="W192" s="355">
        <v>0</v>
      </c>
      <c r="X192" s="357">
        <v>46247</v>
      </c>
      <c r="Y192" s="357">
        <v>46249</v>
      </c>
      <c r="Z192" s="359" t="s">
        <v>40</v>
      </c>
      <c r="AA192" s="359" t="s">
        <v>796</v>
      </c>
      <c r="AB192" s="360">
        <v>0</v>
      </c>
      <c r="AC192" s="362">
        <v>46250</v>
      </c>
      <c r="AD192" s="326">
        <v>46257</v>
      </c>
      <c r="AE192" s="327" t="s">
        <v>40</v>
      </c>
      <c r="AF192" s="365" t="s">
        <v>795</v>
      </c>
      <c r="AG192" s="366">
        <v>0</v>
      </c>
      <c r="AH192" s="368">
        <v>46266</v>
      </c>
      <c r="AI192" s="368">
        <v>46269</v>
      </c>
      <c r="AJ192" s="369" t="s">
        <v>165</v>
      </c>
      <c r="AK192" s="373" t="s">
        <v>795</v>
      </c>
      <c r="AL192" s="370">
        <v>0</v>
      </c>
      <c r="AM192" s="168" t="s">
        <v>422</v>
      </c>
      <c r="AN192" s="168" t="s">
        <v>422</v>
      </c>
      <c r="AO192" s="168" t="s">
        <v>40</v>
      </c>
      <c r="AP192" s="170">
        <v>0</v>
      </c>
      <c r="AQ192"/>
    </row>
    <row r="193" spans="1:43">
      <c r="A193" s="292" t="s">
        <v>670</v>
      </c>
      <c r="B193" s="299" t="s">
        <v>872</v>
      </c>
      <c r="C193" s="299">
        <v>1</v>
      </c>
      <c r="D193" s="149">
        <v>46195</v>
      </c>
      <c r="E193" s="149">
        <v>46200</v>
      </c>
      <c r="F193" s="341" t="s">
        <v>40</v>
      </c>
      <c r="G193" s="308" t="s">
        <v>792</v>
      </c>
      <c r="H193" s="372">
        <v>0</v>
      </c>
      <c r="I193" s="169">
        <v>46210</v>
      </c>
      <c r="J193" s="342">
        <v>46218</v>
      </c>
      <c r="K193" s="344" t="s">
        <v>40</v>
      </c>
      <c r="L193" s="344" t="s">
        <v>793</v>
      </c>
      <c r="M193" s="346">
        <v>0</v>
      </c>
      <c r="N193" s="347">
        <v>46219</v>
      </c>
      <c r="O193" s="347">
        <v>46231</v>
      </c>
      <c r="P193" s="349" t="s">
        <v>40</v>
      </c>
      <c r="Q193" s="349" t="s">
        <v>794</v>
      </c>
      <c r="R193" s="350">
        <v>0</v>
      </c>
      <c r="S193" s="352">
        <v>46232</v>
      </c>
      <c r="T193" s="352">
        <v>46238</v>
      </c>
      <c r="U193" s="354" t="s">
        <v>40</v>
      </c>
      <c r="V193" s="354" t="s">
        <v>795</v>
      </c>
      <c r="W193" s="355">
        <v>0</v>
      </c>
      <c r="X193" s="357">
        <v>46247</v>
      </c>
      <c r="Y193" s="357">
        <v>46249</v>
      </c>
      <c r="Z193" s="359" t="s">
        <v>40</v>
      </c>
      <c r="AA193" s="359" t="s">
        <v>796</v>
      </c>
      <c r="AB193" s="360">
        <v>0</v>
      </c>
      <c r="AC193" s="362">
        <v>46250</v>
      </c>
      <c r="AD193" s="326">
        <v>46257</v>
      </c>
      <c r="AE193" s="327" t="s">
        <v>40</v>
      </c>
      <c r="AF193" s="365" t="s">
        <v>795</v>
      </c>
      <c r="AG193" s="366">
        <v>0</v>
      </c>
      <c r="AH193" s="368">
        <v>46266</v>
      </c>
      <c r="AI193" s="368">
        <v>46269</v>
      </c>
      <c r="AJ193" s="369" t="s">
        <v>165</v>
      </c>
      <c r="AK193" s="373" t="s">
        <v>795</v>
      </c>
      <c r="AL193" s="370">
        <v>0</v>
      </c>
      <c r="AM193" s="168" t="s">
        <v>422</v>
      </c>
      <c r="AN193" s="168" t="s">
        <v>422</v>
      </c>
      <c r="AO193" s="168" t="s">
        <v>40</v>
      </c>
      <c r="AP193" s="170">
        <v>0</v>
      </c>
      <c r="AQ193"/>
    </row>
    <row r="194" spans="1:43">
      <c r="A194" s="292" t="s">
        <v>670</v>
      </c>
      <c r="B194" s="299" t="s">
        <v>873</v>
      </c>
      <c r="C194" s="299">
        <v>1</v>
      </c>
      <c r="D194" s="149">
        <v>46195</v>
      </c>
      <c r="E194" s="149">
        <v>46200</v>
      </c>
      <c r="F194" s="341" t="s">
        <v>40</v>
      </c>
      <c r="G194" s="308" t="s">
        <v>792</v>
      </c>
      <c r="H194" s="372">
        <v>0</v>
      </c>
      <c r="I194" s="169">
        <v>46210</v>
      </c>
      <c r="J194" s="342">
        <v>46218</v>
      </c>
      <c r="K194" s="344" t="s">
        <v>40</v>
      </c>
      <c r="L194" s="344" t="s">
        <v>793</v>
      </c>
      <c r="M194" s="346">
        <v>0</v>
      </c>
      <c r="N194" s="347">
        <v>46219</v>
      </c>
      <c r="O194" s="347">
        <v>46231</v>
      </c>
      <c r="P194" s="349" t="s">
        <v>40</v>
      </c>
      <c r="Q194" s="349" t="s">
        <v>794</v>
      </c>
      <c r="R194" s="350">
        <v>0</v>
      </c>
      <c r="S194" s="352">
        <v>46232</v>
      </c>
      <c r="T194" s="352">
        <v>46238</v>
      </c>
      <c r="U194" s="354" t="s">
        <v>40</v>
      </c>
      <c r="V194" s="354" t="s">
        <v>795</v>
      </c>
      <c r="W194" s="355">
        <v>0</v>
      </c>
      <c r="X194" s="357">
        <v>46247</v>
      </c>
      <c r="Y194" s="357">
        <v>46249</v>
      </c>
      <c r="Z194" s="359" t="s">
        <v>40</v>
      </c>
      <c r="AA194" s="359" t="s">
        <v>796</v>
      </c>
      <c r="AB194" s="360">
        <v>0</v>
      </c>
      <c r="AC194" s="362">
        <v>46250</v>
      </c>
      <c r="AD194" s="326">
        <v>46257</v>
      </c>
      <c r="AE194" s="327" t="s">
        <v>40</v>
      </c>
      <c r="AF194" s="365" t="s">
        <v>795</v>
      </c>
      <c r="AG194" s="366">
        <v>0</v>
      </c>
      <c r="AH194" s="368">
        <v>46266</v>
      </c>
      <c r="AI194" s="368">
        <v>46269</v>
      </c>
      <c r="AJ194" s="369" t="s">
        <v>165</v>
      </c>
      <c r="AK194" s="373" t="s">
        <v>795</v>
      </c>
      <c r="AL194" s="370">
        <v>0</v>
      </c>
      <c r="AM194" s="168" t="s">
        <v>422</v>
      </c>
      <c r="AN194" s="168" t="s">
        <v>422</v>
      </c>
      <c r="AO194" s="168" t="s">
        <v>40</v>
      </c>
      <c r="AP194" s="170">
        <v>0</v>
      </c>
      <c r="AQ194"/>
    </row>
    <row r="195" spans="1:43">
      <c r="A195" s="292" t="s">
        <v>670</v>
      </c>
      <c r="B195" s="299" t="s">
        <v>874</v>
      </c>
      <c r="C195" s="299">
        <v>1</v>
      </c>
      <c r="D195" s="149">
        <v>46195</v>
      </c>
      <c r="E195" s="149">
        <v>46200</v>
      </c>
      <c r="F195" s="341" t="s">
        <v>40</v>
      </c>
      <c r="G195" s="308" t="s">
        <v>792</v>
      </c>
      <c r="H195" s="372">
        <v>0</v>
      </c>
      <c r="I195" s="169">
        <v>46210</v>
      </c>
      <c r="J195" s="342">
        <v>46218</v>
      </c>
      <c r="K195" s="344" t="s">
        <v>40</v>
      </c>
      <c r="L195" s="344" t="s">
        <v>793</v>
      </c>
      <c r="M195" s="346">
        <v>0</v>
      </c>
      <c r="N195" s="347">
        <v>46219</v>
      </c>
      <c r="O195" s="347">
        <v>46231</v>
      </c>
      <c r="P195" s="349" t="s">
        <v>40</v>
      </c>
      <c r="Q195" s="349" t="s">
        <v>794</v>
      </c>
      <c r="R195" s="350">
        <v>0</v>
      </c>
      <c r="S195" s="352">
        <v>46232</v>
      </c>
      <c r="T195" s="352">
        <v>46238</v>
      </c>
      <c r="U195" s="354" t="s">
        <v>40</v>
      </c>
      <c r="V195" s="354" t="s">
        <v>795</v>
      </c>
      <c r="W195" s="355">
        <v>0</v>
      </c>
      <c r="X195" s="357">
        <v>46247</v>
      </c>
      <c r="Y195" s="357">
        <v>46249</v>
      </c>
      <c r="Z195" s="359" t="s">
        <v>40</v>
      </c>
      <c r="AA195" s="359" t="s">
        <v>796</v>
      </c>
      <c r="AB195" s="360">
        <v>0</v>
      </c>
      <c r="AC195" s="362">
        <v>46250</v>
      </c>
      <c r="AD195" s="326">
        <v>46257</v>
      </c>
      <c r="AE195" s="327" t="s">
        <v>40</v>
      </c>
      <c r="AF195" s="365" t="s">
        <v>795</v>
      </c>
      <c r="AG195" s="366">
        <v>0</v>
      </c>
      <c r="AH195" s="368">
        <v>46266</v>
      </c>
      <c r="AI195" s="368">
        <v>46269</v>
      </c>
      <c r="AJ195" s="369" t="s">
        <v>165</v>
      </c>
      <c r="AK195" s="373" t="s">
        <v>795</v>
      </c>
      <c r="AL195" s="370">
        <v>0</v>
      </c>
      <c r="AM195" s="168" t="s">
        <v>422</v>
      </c>
      <c r="AN195" s="168" t="s">
        <v>422</v>
      </c>
      <c r="AO195" s="168" t="s">
        <v>40</v>
      </c>
      <c r="AP195" s="170">
        <v>0</v>
      </c>
      <c r="AQ195"/>
    </row>
    <row r="196" spans="1:43">
      <c r="A196" s="292" t="s">
        <v>670</v>
      </c>
      <c r="B196" s="299" t="s">
        <v>875</v>
      </c>
      <c r="C196" s="299">
        <v>1</v>
      </c>
      <c r="D196" s="149">
        <v>46195</v>
      </c>
      <c r="E196" s="149">
        <v>46200</v>
      </c>
      <c r="F196" s="341" t="s">
        <v>40</v>
      </c>
      <c r="G196" s="308" t="s">
        <v>792</v>
      </c>
      <c r="H196" s="372">
        <v>0</v>
      </c>
      <c r="I196" s="169">
        <v>46210</v>
      </c>
      <c r="J196" s="342">
        <v>46218</v>
      </c>
      <c r="K196" s="344" t="s">
        <v>40</v>
      </c>
      <c r="L196" s="344" t="s">
        <v>793</v>
      </c>
      <c r="M196" s="346">
        <v>0</v>
      </c>
      <c r="N196" s="347">
        <v>46219</v>
      </c>
      <c r="O196" s="347">
        <v>46231</v>
      </c>
      <c r="P196" s="349" t="s">
        <v>40</v>
      </c>
      <c r="Q196" s="349" t="s">
        <v>794</v>
      </c>
      <c r="R196" s="350">
        <v>0</v>
      </c>
      <c r="S196" s="352">
        <v>46232</v>
      </c>
      <c r="T196" s="352">
        <v>46238</v>
      </c>
      <c r="U196" s="354" t="s">
        <v>40</v>
      </c>
      <c r="V196" s="354" t="s">
        <v>795</v>
      </c>
      <c r="W196" s="355">
        <v>0</v>
      </c>
      <c r="X196" s="357">
        <v>46247</v>
      </c>
      <c r="Y196" s="357">
        <v>46249</v>
      </c>
      <c r="Z196" s="359" t="s">
        <v>40</v>
      </c>
      <c r="AA196" s="359" t="s">
        <v>796</v>
      </c>
      <c r="AB196" s="360">
        <v>0</v>
      </c>
      <c r="AC196" s="362">
        <v>46250</v>
      </c>
      <c r="AD196" s="326">
        <v>46257</v>
      </c>
      <c r="AE196" s="327" t="s">
        <v>40</v>
      </c>
      <c r="AF196" s="365" t="s">
        <v>795</v>
      </c>
      <c r="AG196" s="366">
        <v>0</v>
      </c>
      <c r="AH196" s="368">
        <v>46266</v>
      </c>
      <c r="AI196" s="368">
        <v>46269</v>
      </c>
      <c r="AJ196" s="369" t="s">
        <v>165</v>
      </c>
      <c r="AK196" s="373" t="s">
        <v>795</v>
      </c>
      <c r="AL196" s="370">
        <v>0</v>
      </c>
      <c r="AM196" s="168" t="s">
        <v>422</v>
      </c>
      <c r="AN196" s="168" t="s">
        <v>422</v>
      </c>
      <c r="AO196" s="168" t="s">
        <v>40</v>
      </c>
      <c r="AP196" s="170">
        <v>0</v>
      </c>
      <c r="AQ196"/>
    </row>
    <row r="197" spans="1:43">
      <c r="A197" s="292" t="s">
        <v>670</v>
      </c>
      <c r="B197" s="299" t="s">
        <v>876</v>
      </c>
      <c r="C197" s="299">
        <v>1</v>
      </c>
      <c r="D197" s="149">
        <v>46195</v>
      </c>
      <c r="E197" s="149">
        <v>46200</v>
      </c>
      <c r="F197" s="341" t="s">
        <v>40</v>
      </c>
      <c r="G197" s="308" t="s">
        <v>792</v>
      </c>
      <c r="H197" s="372">
        <v>0</v>
      </c>
      <c r="I197" s="169">
        <v>46210</v>
      </c>
      <c r="J197" s="342">
        <v>46218</v>
      </c>
      <c r="K197" s="344" t="s">
        <v>40</v>
      </c>
      <c r="L197" s="344" t="s">
        <v>793</v>
      </c>
      <c r="M197" s="346">
        <v>0</v>
      </c>
      <c r="N197" s="347">
        <v>46219</v>
      </c>
      <c r="O197" s="347">
        <v>46231</v>
      </c>
      <c r="P197" s="349" t="s">
        <v>40</v>
      </c>
      <c r="Q197" s="349" t="s">
        <v>794</v>
      </c>
      <c r="R197" s="350">
        <v>0</v>
      </c>
      <c r="S197" s="352">
        <v>46232</v>
      </c>
      <c r="T197" s="352">
        <v>46238</v>
      </c>
      <c r="U197" s="354" t="s">
        <v>40</v>
      </c>
      <c r="V197" s="354" t="s">
        <v>795</v>
      </c>
      <c r="W197" s="355">
        <v>0</v>
      </c>
      <c r="X197" s="357">
        <v>46247</v>
      </c>
      <c r="Y197" s="357">
        <v>46249</v>
      </c>
      <c r="Z197" s="359" t="s">
        <v>40</v>
      </c>
      <c r="AA197" s="359" t="s">
        <v>796</v>
      </c>
      <c r="AB197" s="360">
        <v>0</v>
      </c>
      <c r="AC197" s="362">
        <v>46250</v>
      </c>
      <c r="AD197" s="326">
        <v>46257</v>
      </c>
      <c r="AE197" s="327" t="s">
        <v>40</v>
      </c>
      <c r="AF197" s="365" t="s">
        <v>795</v>
      </c>
      <c r="AG197" s="366">
        <v>0</v>
      </c>
      <c r="AH197" s="368">
        <v>46266</v>
      </c>
      <c r="AI197" s="368">
        <v>46269</v>
      </c>
      <c r="AJ197" s="369" t="s">
        <v>165</v>
      </c>
      <c r="AK197" s="373" t="s">
        <v>795</v>
      </c>
      <c r="AL197" s="370">
        <v>0</v>
      </c>
      <c r="AM197" s="168" t="s">
        <v>422</v>
      </c>
      <c r="AN197" s="168" t="s">
        <v>422</v>
      </c>
      <c r="AO197" s="168" t="s">
        <v>40</v>
      </c>
      <c r="AP197" s="170">
        <v>0</v>
      </c>
      <c r="AQ197"/>
    </row>
    <row r="198" spans="1:43">
      <c r="A198" s="292" t="s">
        <v>670</v>
      </c>
      <c r="B198" s="299" t="s">
        <v>877</v>
      </c>
      <c r="C198" s="299">
        <v>1</v>
      </c>
      <c r="D198" s="149">
        <v>46195</v>
      </c>
      <c r="E198" s="149">
        <v>46200</v>
      </c>
      <c r="F198" s="341" t="s">
        <v>40</v>
      </c>
      <c r="G198" s="308" t="s">
        <v>792</v>
      </c>
      <c r="H198" s="372">
        <v>0</v>
      </c>
      <c r="I198" s="169">
        <v>46210</v>
      </c>
      <c r="J198" s="342">
        <v>46218</v>
      </c>
      <c r="K198" s="344" t="s">
        <v>40</v>
      </c>
      <c r="L198" s="344" t="s">
        <v>793</v>
      </c>
      <c r="M198" s="346">
        <v>0</v>
      </c>
      <c r="N198" s="347">
        <v>46219</v>
      </c>
      <c r="O198" s="347">
        <v>46231</v>
      </c>
      <c r="P198" s="349" t="s">
        <v>40</v>
      </c>
      <c r="Q198" s="349" t="s">
        <v>794</v>
      </c>
      <c r="R198" s="350">
        <v>0</v>
      </c>
      <c r="S198" s="352">
        <v>46232</v>
      </c>
      <c r="T198" s="352">
        <v>46238</v>
      </c>
      <c r="U198" s="354" t="s">
        <v>40</v>
      </c>
      <c r="V198" s="354" t="s">
        <v>795</v>
      </c>
      <c r="W198" s="355">
        <v>0</v>
      </c>
      <c r="X198" s="357">
        <v>46247</v>
      </c>
      <c r="Y198" s="357">
        <v>46249</v>
      </c>
      <c r="Z198" s="359" t="s">
        <v>40</v>
      </c>
      <c r="AA198" s="359" t="s">
        <v>796</v>
      </c>
      <c r="AB198" s="360">
        <v>0</v>
      </c>
      <c r="AC198" s="362">
        <v>46250</v>
      </c>
      <c r="AD198" s="326">
        <v>46257</v>
      </c>
      <c r="AE198" s="327" t="s">
        <v>40</v>
      </c>
      <c r="AF198" s="365" t="s">
        <v>795</v>
      </c>
      <c r="AG198" s="366">
        <v>0</v>
      </c>
      <c r="AH198" s="368">
        <v>46266</v>
      </c>
      <c r="AI198" s="368">
        <v>46269</v>
      </c>
      <c r="AJ198" s="369" t="s">
        <v>165</v>
      </c>
      <c r="AK198" s="373" t="s">
        <v>795</v>
      </c>
      <c r="AL198" s="370">
        <v>0</v>
      </c>
      <c r="AM198" s="168" t="s">
        <v>422</v>
      </c>
      <c r="AN198" s="168" t="s">
        <v>422</v>
      </c>
      <c r="AO198" s="168" t="s">
        <v>40</v>
      </c>
      <c r="AP198" s="170">
        <v>0</v>
      </c>
      <c r="AQ198"/>
    </row>
    <row r="199" spans="1:43">
      <c r="A199" s="292" t="s">
        <v>670</v>
      </c>
      <c r="B199" s="299" t="s">
        <v>878</v>
      </c>
      <c r="C199" s="299">
        <v>1</v>
      </c>
      <c r="D199" s="149">
        <v>46195</v>
      </c>
      <c r="E199" s="149">
        <v>46200</v>
      </c>
      <c r="F199" s="341" t="s">
        <v>40</v>
      </c>
      <c r="G199" s="308" t="s">
        <v>792</v>
      </c>
      <c r="H199" s="372">
        <v>0</v>
      </c>
      <c r="I199" s="169">
        <v>46210</v>
      </c>
      <c r="J199" s="342">
        <v>46218</v>
      </c>
      <c r="K199" s="344" t="s">
        <v>40</v>
      </c>
      <c r="L199" s="344" t="s">
        <v>793</v>
      </c>
      <c r="M199" s="346">
        <v>0</v>
      </c>
      <c r="N199" s="347">
        <v>46219</v>
      </c>
      <c r="O199" s="347">
        <v>46231</v>
      </c>
      <c r="P199" s="349" t="s">
        <v>40</v>
      </c>
      <c r="Q199" s="349" t="s">
        <v>794</v>
      </c>
      <c r="R199" s="350">
        <v>0</v>
      </c>
      <c r="S199" s="352">
        <v>46232</v>
      </c>
      <c r="T199" s="352">
        <v>46238</v>
      </c>
      <c r="U199" s="354" t="s">
        <v>40</v>
      </c>
      <c r="V199" s="354" t="s">
        <v>795</v>
      </c>
      <c r="W199" s="355">
        <v>0</v>
      </c>
      <c r="X199" s="357">
        <v>46247</v>
      </c>
      <c r="Y199" s="357">
        <v>46249</v>
      </c>
      <c r="Z199" s="359" t="s">
        <v>40</v>
      </c>
      <c r="AA199" s="359" t="s">
        <v>796</v>
      </c>
      <c r="AB199" s="360">
        <v>0</v>
      </c>
      <c r="AC199" s="362">
        <v>46250</v>
      </c>
      <c r="AD199" s="326">
        <v>46257</v>
      </c>
      <c r="AE199" s="327" t="s">
        <v>40</v>
      </c>
      <c r="AF199" s="365" t="s">
        <v>795</v>
      </c>
      <c r="AG199" s="366">
        <v>0</v>
      </c>
      <c r="AH199" s="368">
        <v>46266</v>
      </c>
      <c r="AI199" s="368">
        <v>46269</v>
      </c>
      <c r="AJ199" s="369" t="s">
        <v>165</v>
      </c>
      <c r="AK199" s="373" t="s">
        <v>795</v>
      </c>
      <c r="AL199" s="370">
        <v>0</v>
      </c>
      <c r="AM199" s="168" t="s">
        <v>422</v>
      </c>
      <c r="AN199" s="168" t="s">
        <v>422</v>
      </c>
      <c r="AO199" s="168" t="s">
        <v>40</v>
      </c>
      <c r="AP199" s="170">
        <v>0</v>
      </c>
      <c r="AQ199"/>
    </row>
    <row r="200" spans="1:43">
      <c r="A200" s="292" t="s">
        <v>670</v>
      </c>
      <c r="B200" s="299" t="s">
        <v>879</v>
      </c>
      <c r="C200" s="299">
        <v>1</v>
      </c>
      <c r="D200" s="149">
        <v>46195</v>
      </c>
      <c r="E200" s="149">
        <v>46200</v>
      </c>
      <c r="F200" s="341" t="s">
        <v>40</v>
      </c>
      <c r="G200" s="308" t="s">
        <v>792</v>
      </c>
      <c r="H200" s="372">
        <v>0</v>
      </c>
      <c r="I200" s="169">
        <v>46210</v>
      </c>
      <c r="J200" s="342">
        <v>46218</v>
      </c>
      <c r="K200" s="344" t="s">
        <v>40</v>
      </c>
      <c r="L200" s="344" t="s">
        <v>793</v>
      </c>
      <c r="M200" s="346">
        <v>0</v>
      </c>
      <c r="N200" s="347">
        <v>46219</v>
      </c>
      <c r="O200" s="347">
        <v>46231</v>
      </c>
      <c r="P200" s="349" t="s">
        <v>40</v>
      </c>
      <c r="Q200" s="349" t="s">
        <v>794</v>
      </c>
      <c r="R200" s="350">
        <v>0</v>
      </c>
      <c r="S200" s="352">
        <v>46232</v>
      </c>
      <c r="T200" s="352">
        <v>46238</v>
      </c>
      <c r="U200" s="354" t="s">
        <v>40</v>
      </c>
      <c r="V200" s="354" t="s">
        <v>795</v>
      </c>
      <c r="W200" s="355">
        <v>0</v>
      </c>
      <c r="X200" s="357">
        <v>46247</v>
      </c>
      <c r="Y200" s="357">
        <v>46249</v>
      </c>
      <c r="Z200" s="359" t="s">
        <v>40</v>
      </c>
      <c r="AA200" s="359" t="s">
        <v>796</v>
      </c>
      <c r="AB200" s="360">
        <v>0</v>
      </c>
      <c r="AC200" s="362">
        <v>46250</v>
      </c>
      <c r="AD200" s="326">
        <v>46257</v>
      </c>
      <c r="AE200" s="327" t="s">
        <v>40</v>
      </c>
      <c r="AF200" s="365" t="s">
        <v>795</v>
      </c>
      <c r="AG200" s="366">
        <v>0</v>
      </c>
      <c r="AH200" s="368">
        <v>46266</v>
      </c>
      <c r="AI200" s="368">
        <v>46269</v>
      </c>
      <c r="AJ200" s="369" t="s">
        <v>165</v>
      </c>
      <c r="AK200" s="373" t="s">
        <v>795</v>
      </c>
      <c r="AL200" s="370">
        <v>0</v>
      </c>
      <c r="AM200" s="168" t="s">
        <v>422</v>
      </c>
      <c r="AN200" s="168" t="s">
        <v>422</v>
      </c>
      <c r="AO200" s="168" t="s">
        <v>40</v>
      </c>
      <c r="AP200" s="170">
        <v>0</v>
      </c>
      <c r="AQ200"/>
    </row>
    <row r="201" spans="1:43">
      <c r="A201" s="292" t="s">
        <v>670</v>
      </c>
      <c r="B201" s="299" t="s">
        <v>880</v>
      </c>
      <c r="C201" s="299">
        <v>1</v>
      </c>
      <c r="D201" s="149">
        <v>46195</v>
      </c>
      <c r="E201" s="149">
        <v>46200</v>
      </c>
      <c r="F201" s="341" t="s">
        <v>40</v>
      </c>
      <c r="G201" s="308" t="s">
        <v>792</v>
      </c>
      <c r="H201" s="372">
        <v>0</v>
      </c>
      <c r="I201" s="169">
        <v>46210</v>
      </c>
      <c r="J201" s="342">
        <v>46218</v>
      </c>
      <c r="K201" s="344" t="s">
        <v>40</v>
      </c>
      <c r="L201" s="344" t="s">
        <v>793</v>
      </c>
      <c r="M201" s="346">
        <v>0</v>
      </c>
      <c r="N201" s="347">
        <v>46219</v>
      </c>
      <c r="O201" s="347">
        <v>46231</v>
      </c>
      <c r="P201" s="349" t="s">
        <v>40</v>
      </c>
      <c r="Q201" s="349" t="s">
        <v>794</v>
      </c>
      <c r="R201" s="350">
        <v>0</v>
      </c>
      <c r="S201" s="352">
        <v>46239</v>
      </c>
      <c r="T201" s="352">
        <v>46246</v>
      </c>
      <c r="U201" s="354" t="s">
        <v>40</v>
      </c>
      <c r="V201" s="354" t="s">
        <v>795</v>
      </c>
      <c r="W201" s="355">
        <v>0</v>
      </c>
      <c r="X201" s="357">
        <v>46247</v>
      </c>
      <c r="Y201" s="357">
        <v>46249</v>
      </c>
      <c r="Z201" s="359" t="s">
        <v>40</v>
      </c>
      <c r="AA201" s="359" t="s">
        <v>796</v>
      </c>
      <c r="AB201" s="360">
        <v>0</v>
      </c>
      <c r="AC201" s="362">
        <v>46258</v>
      </c>
      <c r="AD201" s="326">
        <v>46265</v>
      </c>
      <c r="AE201" s="327" t="s">
        <v>40</v>
      </c>
      <c r="AF201" s="365" t="s">
        <v>795</v>
      </c>
      <c r="AG201" s="366">
        <v>0</v>
      </c>
      <c r="AH201" s="368">
        <v>46266</v>
      </c>
      <c r="AI201" s="368">
        <v>46269</v>
      </c>
      <c r="AJ201" s="369" t="s">
        <v>165</v>
      </c>
      <c r="AK201" s="373" t="s">
        <v>795</v>
      </c>
      <c r="AL201" s="370">
        <v>0</v>
      </c>
      <c r="AM201" s="167">
        <v>0</v>
      </c>
      <c r="AN201" s="167">
        <v>0</v>
      </c>
      <c r="AO201" s="167">
        <v>0</v>
      </c>
      <c r="AP201" s="167">
        <v>0</v>
      </c>
      <c r="AQ201"/>
    </row>
    <row r="202" spans="1:43">
      <c r="A202" s="292" t="s">
        <v>670</v>
      </c>
      <c r="B202" s="300" t="s">
        <v>881</v>
      </c>
      <c r="C202" s="299">
        <v>1</v>
      </c>
      <c r="D202" s="149">
        <v>46195</v>
      </c>
      <c r="E202" s="149">
        <v>46200</v>
      </c>
      <c r="F202" s="341" t="s">
        <v>40</v>
      </c>
      <c r="G202" s="308" t="s">
        <v>792</v>
      </c>
      <c r="H202" s="372">
        <v>0</v>
      </c>
      <c r="I202" s="169">
        <v>46210</v>
      </c>
      <c r="J202" s="342">
        <v>46218</v>
      </c>
      <c r="K202" s="344" t="s">
        <v>40</v>
      </c>
      <c r="L202" s="344" t="s">
        <v>793</v>
      </c>
      <c r="M202" s="346">
        <v>0</v>
      </c>
      <c r="N202" s="347">
        <v>46219</v>
      </c>
      <c r="O202" s="347">
        <v>46231</v>
      </c>
      <c r="P202" s="349" t="s">
        <v>40</v>
      </c>
      <c r="Q202" s="349" t="s">
        <v>794</v>
      </c>
      <c r="R202" s="350">
        <v>0</v>
      </c>
      <c r="S202" s="352">
        <v>46239</v>
      </c>
      <c r="T202" s="352">
        <v>46246</v>
      </c>
      <c r="U202" s="354" t="s">
        <v>40</v>
      </c>
      <c r="V202" s="354" t="s">
        <v>795</v>
      </c>
      <c r="W202" s="355">
        <v>0</v>
      </c>
      <c r="X202" s="357">
        <v>46247</v>
      </c>
      <c r="Y202" s="357">
        <v>46249</v>
      </c>
      <c r="Z202" s="359" t="s">
        <v>40</v>
      </c>
      <c r="AA202" s="359" t="s">
        <v>796</v>
      </c>
      <c r="AB202" s="360">
        <v>0</v>
      </c>
      <c r="AC202" s="362">
        <v>46258</v>
      </c>
      <c r="AD202" s="326">
        <v>46265</v>
      </c>
      <c r="AE202" s="327" t="s">
        <v>40</v>
      </c>
      <c r="AF202" s="365" t="s">
        <v>795</v>
      </c>
      <c r="AG202" s="366">
        <v>0</v>
      </c>
      <c r="AH202" s="368">
        <v>46266</v>
      </c>
      <c r="AI202" s="368">
        <v>46269</v>
      </c>
      <c r="AJ202" s="369" t="s">
        <v>165</v>
      </c>
      <c r="AK202" s="373" t="s">
        <v>795</v>
      </c>
      <c r="AL202" s="370">
        <v>0</v>
      </c>
      <c r="AM202" s="178" t="s">
        <v>422</v>
      </c>
      <c r="AN202" s="178" t="s">
        <v>422</v>
      </c>
      <c r="AO202" s="178" t="s">
        <v>422</v>
      </c>
      <c r="AP202" s="179">
        <v>0</v>
      </c>
      <c r="AQ202"/>
    </row>
    <row r="203" spans="1:43">
      <c r="A203" s="292" t="s">
        <v>670</v>
      </c>
      <c r="B203" s="299" t="s">
        <v>882</v>
      </c>
      <c r="C203" s="299">
        <v>1</v>
      </c>
      <c r="D203" s="149">
        <v>46195</v>
      </c>
      <c r="E203" s="149">
        <v>46200</v>
      </c>
      <c r="F203" s="341" t="s">
        <v>40</v>
      </c>
      <c r="G203" s="308" t="s">
        <v>792</v>
      </c>
      <c r="H203" s="372">
        <v>0</v>
      </c>
      <c r="I203" s="169">
        <v>46210</v>
      </c>
      <c r="J203" s="342">
        <v>46218</v>
      </c>
      <c r="K203" s="344" t="s">
        <v>40</v>
      </c>
      <c r="L203" s="344" t="s">
        <v>793</v>
      </c>
      <c r="M203" s="346">
        <v>0</v>
      </c>
      <c r="N203" s="347">
        <v>46219</v>
      </c>
      <c r="O203" s="347">
        <v>46231</v>
      </c>
      <c r="P203" s="349" t="s">
        <v>40</v>
      </c>
      <c r="Q203" s="349" t="s">
        <v>794</v>
      </c>
      <c r="R203" s="350">
        <v>0</v>
      </c>
      <c r="S203" s="352">
        <v>46239</v>
      </c>
      <c r="T203" s="352">
        <v>46246</v>
      </c>
      <c r="U203" s="354" t="s">
        <v>40</v>
      </c>
      <c r="V203" s="354" t="s">
        <v>795</v>
      </c>
      <c r="W203" s="355">
        <v>0</v>
      </c>
      <c r="X203" s="357">
        <v>46247</v>
      </c>
      <c r="Y203" s="357">
        <v>46249</v>
      </c>
      <c r="Z203" s="359" t="s">
        <v>40</v>
      </c>
      <c r="AA203" s="359" t="s">
        <v>796</v>
      </c>
      <c r="AB203" s="360">
        <v>0</v>
      </c>
      <c r="AC203" s="362">
        <v>46258</v>
      </c>
      <c r="AD203" s="326">
        <v>46265</v>
      </c>
      <c r="AE203" s="327" t="s">
        <v>40</v>
      </c>
      <c r="AF203" s="365" t="s">
        <v>795</v>
      </c>
      <c r="AG203" s="366">
        <v>0</v>
      </c>
      <c r="AH203" s="368">
        <v>46266</v>
      </c>
      <c r="AI203" s="368">
        <v>46269</v>
      </c>
      <c r="AJ203" s="369" t="s">
        <v>165</v>
      </c>
      <c r="AK203" s="373" t="s">
        <v>795</v>
      </c>
      <c r="AL203" s="370">
        <v>0</v>
      </c>
      <c r="AM203"/>
      <c r="AN203"/>
      <c r="AO203"/>
      <c r="AP203"/>
      <c r="AQ203"/>
    </row>
    <row r="204" spans="1:43">
      <c r="A204" s="292" t="s">
        <v>670</v>
      </c>
      <c r="B204" s="300" t="s">
        <v>883</v>
      </c>
      <c r="C204" s="299">
        <v>1</v>
      </c>
      <c r="D204" s="149">
        <v>46195</v>
      </c>
      <c r="E204" s="149">
        <v>46200</v>
      </c>
      <c r="F204" s="341" t="s">
        <v>40</v>
      </c>
      <c r="G204" s="308" t="s">
        <v>792</v>
      </c>
      <c r="H204" s="372">
        <v>0</v>
      </c>
      <c r="I204" s="169">
        <v>46210</v>
      </c>
      <c r="J204" s="342">
        <v>46218</v>
      </c>
      <c r="K204" s="344" t="s">
        <v>40</v>
      </c>
      <c r="L204" s="344" t="s">
        <v>793</v>
      </c>
      <c r="M204" s="346">
        <v>0</v>
      </c>
      <c r="N204" s="347">
        <v>46219</v>
      </c>
      <c r="O204" s="347">
        <v>46231</v>
      </c>
      <c r="P204" s="349" t="s">
        <v>40</v>
      </c>
      <c r="Q204" s="349" t="s">
        <v>794</v>
      </c>
      <c r="R204" s="350">
        <v>0</v>
      </c>
      <c r="S204" s="352">
        <v>46239</v>
      </c>
      <c r="T204" s="352">
        <v>46246</v>
      </c>
      <c r="U204" s="354" t="s">
        <v>40</v>
      </c>
      <c r="V204" s="354" t="s">
        <v>795</v>
      </c>
      <c r="W204" s="355">
        <v>0</v>
      </c>
      <c r="X204" s="357">
        <v>46247</v>
      </c>
      <c r="Y204" s="357">
        <v>46249</v>
      </c>
      <c r="Z204" s="359" t="s">
        <v>40</v>
      </c>
      <c r="AA204" s="359" t="s">
        <v>796</v>
      </c>
      <c r="AB204" s="360">
        <v>0</v>
      </c>
      <c r="AC204" s="362">
        <v>46258</v>
      </c>
      <c r="AD204" s="326">
        <v>46265</v>
      </c>
      <c r="AE204" s="327" t="s">
        <v>40</v>
      </c>
      <c r="AF204" s="365" t="s">
        <v>795</v>
      </c>
      <c r="AG204" s="366">
        <v>0</v>
      </c>
      <c r="AH204" s="368">
        <v>46266</v>
      </c>
      <c r="AI204" s="368">
        <v>46269</v>
      </c>
      <c r="AJ204" s="369" t="s">
        <v>165</v>
      </c>
      <c r="AK204" s="373" t="s">
        <v>795</v>
      </c>
      <c r="AL204" s="370">
        <v>0</v>
      </c>
    </row>
    <row r="205" spans="1:43">
      <c r="A205" s="292" t="s">
        <v>670</v>
      </c>
      <c r="B205" s="300" t="s">
        <v>884</v>
      </c>
      <c r="C205" s="299">
        <v>1</v>
      </c>
      <c r="D205" s="149">
        <v>46195</v>
      </c>
      <c r="E205" s="149">
        <v>46200</v>
      </c>
      <c r="F205" s="341" t="s">
        <v>40</v>
      </c>
      <c r="G205" s="308" t="s">
        <v>792</v>
      </c>
      <c r="H205" s="372">
        <v>0</v>
      </c>
      <c r="I205" s="169">
        <v>46210</v>
      </c>
      <c r="J205" s="342">
        <v>46218</v>
      </c>
      <c r="K205" s="344" t="s">
        <v>40</v>
      </c>
      <c r="L205" s="344" t="s">
        <v>793</v>
      </c>
      <c r="M205" s="346">
        <v>0</v>
      </c>
      <c r="N205" s="347">
        <v>46219</v>
      </c>
      <c r="O205" s="347">
        <v>46231</v>
      </c>
      <c r="P205" s="349" t="s">
        <v>40</v>
      </c>
      <c r="Q205" s="349" t="s">
        <v>794</v>
      </c>
      <c r="R205" s="350">
        <v>0</v>
      </c>
      <c r="S205" s="352">
        <v>46239</v>
      </c>
      <c r="T205" s="352">
        <v>46246</v>
      </c>
      <c r="U205" s="354" t="s">
        <v>40</v>
      </c>
      <c r="V205" s="354" t="s">
        <v>795</v>
      </c>
      <c r="W205" s="355">
        <v>0</v>
      </c>
      <c r="X205" s="357">
        <v>46247</v>
      </c>
      <c r="Y205" s="357">
        <v>46249</v>
      </c>
      <c r="Z205" s="359" t="s">
        <v>40</v>
      </c>
      <c r="AA205" s="359" t="s">
        <v>796</v>
      </c>
      <c r="AB205" s="360">
        <v>0</v>
      </c>
      <c r="AC205" s="362">
        <v>46258</v>
      </c>
      <c r="AD205" s="326">
        <v>46265</v>
      </c>
      <c r="AE205" s="327" t="s">
        <v>40</v>
      </c>
      <c r="AF205" s="365" t="s">
        <v>795</v>
      </c>
      <c r="AG205" s="366">
        <v>0</v>
      </c>
      <c r="AH205" s="368">
        <v>46266</v>
      </c>
      <c r="AI205" s="368">
        <v>46269</v>
      </c>
      <c r="AJ205" s="369" t="s">
        <v>165</v>
      </c>
      <c r="AK205" s="373" t="s">
        <v>795</v>
      </c>
      <c r="AL205" s="370">
        <v>0</v>
      </c>
    </row>
    <row r="206" spans="1:43">
      <c r="A206" s="292" t="s">
        <v>670</v>
      </c>
      <c r="B206" s="300" t="s">
        <v>885</v>
      </c>
      <c r="C206" s="299">
        <v>1</v>
      </c>
      <c r="D206" s="149">
        <v>46195</v>
      </c>
      <c r="E206" s="149">
        <v>46200</v>
      </c>
      <c r="F206" s="341" t="s">
        <v>40</v>
      </c>
      <c r="G206" s="308" t="s">
        <v>792</v>
      </c>
      <c r="H206" s="372">
        <v>0</v>
      </c>
      <c r="I206" s="169">
        <v>46210</v>
      </c>
      <c r="J206" s="342">
        <v>46218</v>
      </c>
      <c r="K206" s="344" t="s">
        <v>40</v>
      </c>
      <c r="L206" s="344" t="s">
        <v>793</v>
      </c>
      <c r="M206" s="346">
        <v>0</v>
      </c>
      <c r="N206" s="347">
        <v>46219</v>
      </c>
      <c r="O206" s="347">
        <v>46231</v>
      </c>
      <c r="P206" s="349" t="s">
        <v>40</v>
      </c>
      <c r="Q206" s="349" t="s">
        <v>794</v>
      </c>
      <c r="R206" s="350">
        <v>0</v>
      </c>
      <c r="S206" s="352">
        <v>46239</v>
      </c>
      <c r="T206" s="352">
        <v>46246</v>
      </c>
      <c r="U206" s="354" t="s">
        <v>40</v>
      </c>
      <c r="V206" s="354" t="s">
        <v>795</v>
      </c>
      <c r="W206" s="355">
        <v>0</v>
      </c>
      <c r="X206" s="357">
        <v>46247</v>
      </c>
      <c r="Y206" s="357">
        <v>46249</v>
      </c>
      <c r="Z206" s="359" t="s">
        <v>40</v>
      </c>
      <c r="AA206" s="359" t="s">
        <v>796</v>
      </c>
      <c r="AB206" s="360">
        <v>0</v>
      </c>
      <c r="AC206" s="362">
        <v>46258</v>
      </c>
      <c r="AD206" s="326">
        <v>46265</v>
      </c>
      <c r="AE206" s="327" t="s">
        <v>40</v>
      </c>
      <c r="AF206" s="365" t="s">
        <v>795</v>
      </c>
      <c r="AG206" s="366">
        <v>0</v>
      </c>
      <c r="AH206" s="368">
        <v>46266</v>
      </c>
      <c r="AI206" s="368">
        <v>46269</v>
      </c>
      <c r="AJ206" s="369" t="s">
        <v>165</v>
      </c>
      <c r="AK206" s="373" t="s">
        <v>795</v>
      </c>
      <c r="AL206" s="370">
        <v>0</v>
      </c>
    </row>
    <row r="207" spans="1:43">
      <c r="A207" s="292" t="s">
        <v>670</v>
      </c>
      <c r="B207" s="300" t="s">
        <v>886</v>
      </c>
      <c r="C207" s="299">
        <v>1</v>
      </c>
      <c r="D207" s="149">
        <v>46195</v>
      </c>
      <c r="E207" s="149">
        <v>46200</v>
      </c>
      <c r="F207" s="341" t="s">
        <v>40</v>
      </c>
      <c r="G207" s="308" t="s">
        <v>792</v>
      </c>
      <c r="H207" s="372">
        <v>0</v>
      </c>
      <c r="I207" s="169">
        <v>46210</v>
      </c>
      <c r="J207" s="342">
        <v>46218</v>
      </c>
      <c r="K207" s="344" t="s">
        <v>40</v>
      </c>
      <c r="L207" s="344" t="s">
        <v>793</v>
      </c>
      <c r="M207" s="346">
        <v>0</v>
      </c>
      <c r="N207" s="347">
        <v>46219</v>
      </c>
      <c r="O207" s="347">
        <v>46231</v>
      </c>
      <c r="P207" s="349" t="s">
        <v>40</v>
      </c>
      <c r="Q207" s="349" t="s">
        <v>794</v>
      </c>
      <c r="R207" s="350">
        <v>0</v>
      </c>
      <c r="S207" s="352">
        <v>46239</v>
      </c>
      <c r="T207" s="352">
        <v>46246</v>
      </c>
      <c r="U207" s="354" t="s">
        <v>40</v>
      </c>
      <c r="V207" s="354" t="s">
        <v>795</v>
      </c>
      <c r="W207" s="355">
        <v>0</v>
      </c>
      <c r="X207" s="357">
        <v>46247</v>
      </c>
      <c r="Y207" s="357">
        <v>46249</v>
      </c>
      <c r="Z207" s="359" t="s">
        <v>40</v>
      </c>
      <c r="AA207" s="359" t="s">
        <v>796</v>
      </c>
      <c r="AB207" s="360">
        <v>0</v>
      </c>
      <c r="AC207" s="362">
        <v>46258</v>
      </c>
      <c r="AD207" s="326">
        <v>46265</v>
      </c>
      <c r="AE207" s="327" t="s">
        <v>40</v>
      </c>
      <c r="AF207" s="365" t="s">
        <v>795</v>
      </c>
      <c r="AG207" s="366">
        <v>0</v>
      </c>
      <c r="AH207" s="368">
        <v>46266</v>
      </c>
      <c r="AI207" s="368">
        <v>46269</v>
      </c>
      <c r="AJ207" s="369" t="s">
        <v>165</v>
      </c>
      <c r="AK207" s="373" t="s">
        <v>795</v>
      </c>
      <c r="AL207" s="370">
        <v>0</v>
      </c>
    </row>
    <row r="208" spans="1:43">
      <c r="A208" s="292" t="s">
        <v>670</v>
      </c>
      <c r="B208" s="300" t="s">
        <v>887</v>
      </c>
      <c r="C208" s="299">
        <v>1</v>
      </c>
      <c r="D208" s="149">
        <v>46195</v>
      </c>
      <c r="E208" s="149">
        <v>46200</v>
      </c>
      <c r="F208" s="341" t="s">
        <v>40</v>
      </c>
      <c r="G208" s="308" t="s">
        <v>792</v>
      </c>
      <c r="H208" s="372">
        <v>0</v>
      </c>
      <c r="I208" s="169">
        <v>46210</v>
      </c>
      <c r="J208" s="342">
        <v>46218</v>
      </c>
      <c r="K208" s="344" t="s">
        <v>40</v>
      </c>
      <c r="L208" s="344" t="s">
        <v>793</v>
      </c>
      <c r="M208" s="346">
        <v>0</v>
      </c>
      <c r="N208" s="347">
        <v>46219</v>
      </c>
      <c r="O208" s="347">
        <v>46231</v>
      </c>
      <c r="P208" s="349" t="s">
        <v>40</v>
      </c>
      <c r="Q208" s="349" t="s">
        <v>794</v>
      </c>
      <c r="R208" s="350">
        <v>0</v>
      </c>
      <c r="S208" s="352">
        <v>46239</v>
      </c>
      <c r="T208" s="352">
        <v>46246</v>
      </c>
      <c r="U208" s="354" t="s">
        <v>40</v>
      </c>
      <c r="V208" s="354" t="s">
        <v>795</v>
      </c>
      <c r="W208" s="355">
        <v>0</v>
      </c>
      <c r="X208" s="357">
        <v>46247</v>
      </c>
      <c r="Y208" s="357">
        <v>46249</v>
      </c>
      <c r="Z208" s="359" t="s">
        <v>40</v>
      </c>
      <c r="AA208" s="359" t="s">
        <v>796</v>
      </c>
      <c r="AB208" s="360">
        <v>0</v>
      </c>
      <c r="AC208" s="362">
        <v>46258</v>
      </c>
      <c r="AD208" s="326">
        <v>46265</v>
      </c>
      <c r="AE208" s="327" t="s">
        <v>40</v>
      </c>
      <c r="AF208" s="365" t="s">
        <v>795</v>
      </c>
      <c r="AG208" s="366">
        <v>0</v>
      </c>
      <c r="AH208" s="368">
        <v>46266</v>
      </c>
      <c r="AI208" s="368">
        <v>46269</v>
      </c>
      <c r="AJ208" s="369" t="s">
        <v>165</v>
      </c>
      <c r="AK208" s="373" t="s">
        <v>795</v>
      </c>
      <c r="AL208" s="370">
        <v>0</v>
      </c>
    </row>
    <row r="209" spans="1:38">
      <c r="A209" s="292" t="s">
        <v>670</v>
      </c>
      <c r="B209" s="300" t="s">
        <v>888</v>
      </c>
      <c r="C209" s="299">
        <v>1</v>
      </c>
      <c r="D209" s="149">
        <v>46195</v>
      </c>
      <c r="E209" s="149">
        <v>46200</v>
      </c>
      <c r="F209" s="341" t="s">
        <v>40</v>
      </c>
      <c r="G209" s="308" t="s">
        <v>792</v>
      </c>
      <c r="H209" s="372">
        <v>0</v>
      </c>
      <c r="I209" s="169">
        <v>46210</v>
      </c>
      <c r="J209" s="342">
        <v>46218</v>
      </c>
      <c r="K209" s="344" t="s">
        <v>40</v>
      </c>
      <c r="L209" s="344" t="s">
        <v>793</v>
      </c>
      <c r="M209" s="346">
        <v>0</v>
      </c>
      <c r="N209" s="347">
        <v>46219</v>
      </c>
      <c r="O209" s="347">
        <v>46231</v>
      </c>
      <c r="P209" s="349" t="s">
        <v>40</v>
      </c>
      <c r="Q209" s="349" t="s">
        <v>794</v>
      </c>
      <c r="R209" s="350">
        <v>0</v>
      </c>
      <c r="S209" s="352">
        <v>46239</v>
      </c>
      <c r="T209" s="352">
        <v>46246</v>
      </c>
      <c r="U209" s="354" t="s">
        <v>40</v>
      </c>
      <c r="V209" s="354" t="s">
        <v>795</v>
      </c>
      <c r="W209" s="355">
        <v>0</v>
      </c>
      <c r="X209" s="357">
        <v>46247</v>
      </c>
      <c r="Y209" s="357">
        <v>46249</v>
      </c>
      <c r="Z209" s="359" t="s">
        <v>40</v>
      </c>
      <c r="AA209" s="359" t="s">
        <v>796</v>
      </c>
      <c r="AB209" s="360">
        <v>0</v>
      </c>
      <c r="AC209" s="362">
        <v>46258</v>
      </c>
      <c r="AD209" s="326">
        <v>46265</v>
      </c>
      <c r="AE209" s="327" t="s">
        <v>40</v>
      </c>
      <c r="AF209" s="365" t="s">
        <v>795</v>
      </c>
      <c r="AG209" s="366">
        <v>0</v>
      </c>
      <c r="AH209" s="368">
        <v>46266</v>
      </c>
      <c r="AI209" s="368">
        <v>46269</v>
      </c>
      <c r="AJ209" s="369" t="s">
        <v>165</v>
      </c>
      <c r="AK209" s="373" t="s">
        <v>795</v>
      </c>
      <c r="AL209" s="370">
        <v>0</v>
      </c>
    </row>
    <row r="210" spans="1:38">
      <c r="A210" s="292" t="s">
        <v>670</v>
      </c>
      <c r="B210" s="300" t="s">
        <v>889</v>
      </c>
      <c r="C210" s="299">
        <v>1</v>
      </c>
      <c r="D210" s="149">
        <v>46195</v>
      </c>
      <c r="E210" s="149">
        <v>46200</v>
      </c>
      <c r="F210" s="341" t="s">
        <v>40</v>
      </c>
      <c r="G210" s="308" t="s">
        <v>792</v>
      </c>
      <c r="H210" s="372">
        <v>0</v>
      </c>
      <c r="I210" s="169">
        <v>46210</v>
      </c>
      <c r="J210" s="342">
        <v>46218</v>
      </c>
      <c r="K210" s="344" t="s">
        <v>40</v>
      </c>
      <c r="L210" s="344" t="s">
        <v>793</v>
      </c>
      <c r="M210" s="346">
        <v>0</v>
      </c>
      <c r="N210" s="347">
        <v>46219</v>
      </c>
      <c r="O210" s="347">
        <v>46231</v>
      </c>
      <c r="P210" s="349" t="s">
        <v>40</v>
      </c>
      <c r="Q210" s="349" t="s">
        <v>794</v>
      </c>
      <c r="R210" s="350">
        <v>0</v>
      </c>
      <c r="S210" s="352">
        <v>46239</v>
      </c>
      <c r="T210" s="352">
        <v>46246</v>
      </c>
      <c r="U210" s="354" t="s">
        <v>40</v>
      </c>
      <c r="V210" s="354" t="s">
        <v>795</v>
      </c>
      <c r="W210" s="355">
        <v>0</v>
      </c>
      <c r="X210" s="357">
        <v>46247</v>
      </c>
      <c r="Y210" s="357">
        <v>46249</v>
      </c>
      <c r="Z210" s="359" t="s">
        <v>40</v>
      </c>
      <c r="AA210" s="359" t="s">
        <v>796</v>
      </c>
      <c r="AB210" s="360">
        <v>0</v>
      </c>
      <c r="AC210" s="362">
        <v>46258</v>
      </c>
      <c r="AD210" s="326">
        <v>46265</v>
      </c>
      <c r="AE210" s="327" t="s">
        <v>40</v>
      </c>
      <c r="AF210" s="365" t="s">
        <v>795</v>
      </c>
      <c r="AG210" s="366">
        <v>0</v>
      </c>
      <c r="AH210" s="368">
        <v>46266</v>
      </c>
      <c r="AI210" s="368">
        <v>46269</v>
      </c>
      <c r="AJ210" s="369" t="s">
        <v>165</v>
      </c>
      <c r="AK210" s="373" t="s">
        <v>795</v>
      </c>
      <c r="AL210" s="370">
        <v>0</v>
      </c>
    </row>
    <row r="211" spans="1:38">
      <c r="A211" s="292" t="s">
        <v>670</v>
      </c>
      <c r="B211" s="300" t="s">
        <v>890</v>
      </c>
      <c r="C211" s="299">
        <v>1</v>
      </c>
      <c r="D211" s="149">
        <v>46195</v>
      </c>
      <c r="E211" s="149">
        <v>46200</v>
      </c>
      <c r="F211" s="341" t="s">
        <v>40</v>
      </c>
      <c r="G211" s="308" t="s">
        <v>792</v>
      </c>
      <c r="H211" s="372">
        <v>0</v>
      </c>
      <c r="I211" s="169">
        <v>46210</v>
      </c>
      <c r="J211" s="342">
        <v>46218</v>
      </c>
      <c r="K211" s="344" t="s">
        <v>40</v>
      </c>
      <c r="L211" s="344" t="s">
        <v>793</v>
      </c>
      <c r="M211" s="346">
        <v>0</v>
      </c>
      <c r="N211" s="347">
        <v>46219</v>
      </c>
      <c r="O211" s="347">
        <v>46231</v>
      </c>
      <c r="P211" s="349" t="s">
        <v>40</v>
      </c>
      <c r="Q211" s="349" t="s">
        <v>794</v>
      </c>
      <c r="R211" s="350">
        <v>0</v>
      </c>
      <c r="S211" s="352">
        <v>46239</v>
      </c>
      <c r="T211" s="352">
        <v>46246</v>
      </c>
      <c r="U211" s="354" t="s">
        <v>40</v>
      </c>
      <c r="V211" s="354" t="s">
        <v>795</v>
      </c>
      <c r="W211" s="355">
        <v>0</v>
      </c>
      <c r="X211" s="357">
        <v>46247</v>
      </c>
      <c r="Y211" s="357">
        <v>46249</v>
      </c>
      <c r="Z211" s="359" t="s">
        <v>40</v>
      </c>
      <c r="AA211" s="359" t="s">
        <v>796</v>
      </c>
      <c r="AB211" s="360">
        <v>0</v>
      </c>
      <c r="AC211" s="362">
        <v>46258</v>
      </c>
      <c r="AD211" s="326">
        <v>46265</v>
      </c>
      <c r="AE211" s="327" t="s">
        <v>40</v>
      </c>
      <c r="AF211" s="365" t="s">
        <v>795</v>
      </c>
      <c r="AG211" s="366">
        <v>0</v>
      </c>
      <c r="AH211" s="368">
        <v>46266</v>
      </c>
      <c r="AI211" s="368">
        <v>46269</v>
      </c>
      <c r="AJ211" s="369" t="s">
        <v>165</v>
      </c>
      <c r="AK211" s="373" t="s">
        <v>795</v>
      </c>
      <c r="AL211" s="370">
        <v>0</v>
      </c>
    </row>
    <row r="212" spans="1:38">
      <c r="A212" s="292" t="s">
        <v>670</v>
      </c>
      <c r="B212" s="300" t="s">
        <v>891</v>
      </c>
      <c r="C212" s="299">
        <v>1</v>
      </c>
      <c r="D212" s="149">
        <v>46195</v>
      </c>
      <c r="E212" s="149">
        <v>46200</v>
      </c>
      <c r="F212" s="341" t="s">
        <v>40</v>
      </c>
      <c r="G212" s="308" t="s">
        <v>792</v>
      </c>
      <c r="H212" s="372">
        <v>0</v>
      </c>
      <c r="I212" s="169">
        <v>46210</v>
      </c>
      <c r="J212" s="342">
        <v>46218</v>
      </c>
      <c r="K212" s="344" t="s">
        <v>40</v>
      </c>
      <c r="L212" s="344" t="s">
        <v>793</v>
      </c>
      <c r="M212" s="346">
        <v>0</v>
      </c>
      <c r="N212" s="347">
        <v>46219</v>
      </c>
      <c r="O212" s="347">
        <v>46231</v>
      </c>
      <c r="P212" s="349" t="s">
        <v>40</v>
      </c>
      <c r="Q212" s="349" t="s">
        <v>794</v>
      </c>
      <c r="R212" s="350">
        <v>0</v>
      </c>
      <c r="S212" s="352">
        <v>46239</v>
      </c>
      <c r="T212" s="352">
        <v>46246</v>
      </c>
      <c r="U212" s="354" t="s">
        <v>40</v>
      </c>
      <c r="V212" s="354" t="s">
        <v>795</v>
      </c>
      <c r="W212" s="355">
        <v>0</v>
      </c>
      <c r="X212" s="357">
        <v>46247</v>
      </c>
      <c r="Y212" s="357">
        <v>46249</v>
      </c>
      <c r="Z212" s="359" t="s">
        <v>40</v>
      </c>
      <c r="AA212" s="359" t="s">
        <v>796</v>
      </c>
      <c r="AB212" s="360">
        <v>0</v>
      </c>
      <c r="AC212" s="362">
        <v>46258</v>
      </c>
      <c r="AD212" s="326">
        <v>46265</v>
      </c>
      <c r="AE212" s="327" t="s">
        <v>40</v>
      </c>
      <c r="AF212" s="365" t="s">
        <v>795</v>
      </c>
      <c r="AG212" s="366">
        <v>0</v>
      </c>
      <c r="AH212" s="368">
        <v>46266</v>
      </c>
      <c r="AI212" s="368">
        <v>46269</v>
      </c>
      <c r="AJ212" s="369" t="s">
        <v>165</v>
      </c>
      <c r="AK212" s="373" t="s">
        <v>795</v>
      </c>
      <c r="AL212" s="370">
        <v>0</v>
      </c>
    </row>
    <row r="213" spans="1:38">
      <c r="A213" s="292" t="s">
        <v>670</v>
      </c>
      <c r="B213" s="300" t="s">
        <v>892</v>
      </c>
      <c r="C213" s="299">
        <v>1</v>
      </c>
      <c r="D213" s="149">
        <v>46195</v>
      </c>
      <c r="E213" s="149">
        <v>46200</v>
      </c>
      <c r="F213" s="341" t="s">
        <v>40</v>
      </c>
      <c r="G213" s="308" t="s">
        <v>792</v>
      </c>
      <c r="H213" s="372">
        <v>0</v>
      </c>
      <c r="I213" s="169">
        <v>46210</v>
      </c>
      <c r="J213" s="342">
        <v>46218</v>
      </c>
      <c r="K213" s="344" t="s">
        <v>40</v>
      </c>
      <c r="L213" s="344" t="s">
        <v>793</v>
      </c>
      <c r="M213" s="346">
        <v>0</v>
      </c>
      <c r="N213" s="347">
        <v>46219</v>
      </c>
      <c r="O213" s="347">
        <v>46231</v>
      </c>
      <c r="P213" s="349" t="s">
        <v>40</v>
      </c>
      <c r="Q213" s="349" t="s">
        <v>794</v>
      </c>
      <c r="R213" s="350">
        <v>0</v>
      </c>
      <c r="S213" s="352">
        <v>46239</v>
      </c>
      <c r="T213" s="352">
        <v>46246</v>
      </c>
      <c r="U213" s="354" t="s">
        <v>40</v>
      </c>
      <c r="V213" s="354" t="s">
        <v>795</v>
      </c>
      <c r="W213" s="355">
        <v>0</v>
      </c>
      <c r="X213" s="357">
        <v>46247</v>
      </c>
      <c r="Y213" s="357">
        <v>46249</v>
      </c>
      <c r="Z213" s="359" t="s">
        <v>40</v>
      </c>
      <c r="AA213" s="359" t="s">
        <v>796</v>
      </c>
      <c r="AB213" s="360">
        <v>0</v>
      </c>
      <c r="AC213" s="362">
        <v>46258</v>
      </c>
      <c r="AD213" s="326">
        <v>46265</v>
      </c>
      <c r="AE213" s="327" t="s">
        <v>40</v>
      </c>
      <c r="AF213" s="365" t="s">
        <v>795</v>
      </c>
      <c r="AG213" s="366">
        <v>0</v>
      </c>
      <c r="AH213" s="368">
        <v>46266</v>
      </c>
      <c r="AI213" s="368">
        <v>46269</v>
      </c>
      <c r="AJ213" s="369" t="s">
        <v>165</v>
      </c>
      <c r="AK213" s="373" t="s">
        <v>795</v>
      </c>
      <c r="AL213" s="370">
        <v>0</v>
      </c>
    </row>
    <row r="214" spans="1:38">
      <c r="A214" s="292" t="s">
        <v>670</v>
      </c>
      <c r="B214" s="300" t="s">
        <v>893</v>
      </c>
      <c r="C214" s="299">
        <v>1</v>
      </c>
      <c r="D214" s="149">
        <v>46195</v>
      </c>
      <c r="E214" s="149">
        <v>46200</v>
      </c>
      <c r="F214" s="341" t="s">
        <v>40</v>
      </c>
      <c r="G214" s="308" t="s">
        <v>792</v>
      </c>
      <c r="H214" s="372">
        <v>0</v>
      </c>
      <c r="I214" s="169">
        <v>46210</v>
      </c>
      <c r="J214" s="342">
        <v>46218</v>
      </c>
      <c r="K214" s="344" t="s">
        <v>40</v>
      </c>
      <c r="L214" s="344" t="s">
        <v>793</v>
      </c>
      <c r="M214" s="346">
        <v>0</v>
      </c>
      <c r="N214" s="347">
        <v>46219</v>
      </c>
      <c r="O214" s="347">
        <v>46231</v>
      </c>
      <c r="P214" s="349" t="s">
        <v>40</v>
      </c>
      <c r="Q214" s="349" t="s">
        <v>794</v>
      </c>
      <c r="R214" s="350">
        <v>0</v>
      </c>
      <c r="S214" s="352">
        <v>46239</v>
      </c>
      <c r="T214" s="352">
        <v>46246</v>
      </c>
      <c r="U214" s="354" t="s">
        <v>40</v>
      </c>
      <c r="V214" s="354" t="s">
        <v>795</v>
      </c>
      <c r="W214" s="355">
        <v>0</v>
      </c>
      <c r="X214" s="357">
        <v>46247</v>
      </c>
      <c r="Y214" s="357">
        <v>46249</v>
      </c>
      <c r="Z214" s="359" t="s">
        <v>40</v>
      </c>
      <c r="AA214" s="359" t="s">
        <v>796</v>
      </c>
      <c r="AB214" s="360">
        <v>0</v>
      </c>
      <c r="AC214" s="362">
        <v>46258</v>
      </c>
      <c r="AD214" s="326">
        <v>46265</v>
      </c>
      <c r="AE214" s="327" t="s">
        <v>40</v>
      </c>
      <c r="AF214" s="365" t="s">
        <v>795</v>
      </c>
      <c r="AG214" s="366">
        <v>0</v>
      </c>
      <c r="AH214" s="368">
        <v>46266</v>
      </c>
      <c r="AI214" s="368">
        <v>46269</v>
      </c>
      <c r="AJ214" s="369" t="s">
        <v>165</v>
      </c>
      <c r="AK214" s="373" t="s">
        <v>795</v>
      </c>
      <c r="AL214" s="370">
        <v>0</v>
      </c>
    </row>
    <row r="215" spans="1:38">
      <c r="A215" s="292" t="s">
        <v>670</v>
      </c>
      <c r="B215" s="300" t="s">
        <v>894</v>
      </c>
      <c r="C215" s="299">
        <v>1</v>
      </c>
      <c r="D215" s="149">
        <v>46195</v>
      </c>
      <c r="E215" s="149">
        <v>46200</v>
      </c>
      <c r="F215" s="341" t="s">
        <v>40</v>
      </c>
      <c r="G215" s="308" t="s">
        <v>792</v>
      </c>
      <c r="H215" s="372">
        <v>0</v>
      </c>
      <c r="I215" s="169">
        <v>46210</v>
      </c>
      <c r="J215" s="342">
        <v>46218</v>
      </c>
      <c r="K215" s="344" t="s">
        <v>40</v>
      </c>
      <c r="L215" s="344" t="s">
        <v>793</v>
      </c>
      <c r="M215" s="346">
        <v>0</v>
      </c>
      <c r="N215" s="347">
        <v>46219</v>
      </c>
      <c r="O215" s="347">
        <v>46231</v>
      </c>
      <c r="P215" s="349" t="s">
        <v>40</v>
      </c>
      <c r="Q215" s="349" t="s">
        <v>794</v>
      </c>
      <c r="R215" s="350">
        <v>0</v>
      </c>
      <c r="S215" s="352">
        <v>46239</v>
      </c>
      <c r="T215" s="352">
        <v>46246</v>
      </c>
      <c r="U215" s="354" t="s">
        <v>40</v>
      </c>
      <c r="V215" s="354" t="s">
        <v>795</v>
      </c>
      <c r="W215" s="355">
        <v>0</v>
      </c>
      <c r="X215" s="357">
        <v>46247</v>
      </c>
      <c r="Y215" s="357">
        <v>46249</v>
      </c>
      <c r="Z215" s="359" t="s">
        <v>40</v>
      </c>
      <c r="AA215" s="359" t="s">
        <v>796</v>
      </c>
      <c r="AB215" s="360">
        <v>0</v>
      </c>
      <c r="AC215" s="362">
        <v>46258</v>
      </c>
      <c r="AD215" s="326">
        <v>46265</v>
      </c>
      <c r="AE215" s="327" t="s">
        <v>40</v>
      </c>
      <c r="AF215" s="365" t="s">
        <v>795</v>
      </c>
      <c r="AG215" s="366">
        <v>0</v>
      </c>
      <c r="AH215" s="368">
        <v>46266</v>
      </c>
      <c r="AI215" s="368">
        <v>46269</v>
      </c>
      <c r="AJ215" s="369" t="s">
        <v>165</v>
      </c>
      <c r="AK215" s="373" t="s">
        <v>795</v>
      </c>
      <c r="AL215" s="370">
        <v>0</v>
      </c>
    </row>
    <row r="216" spans="1:38">
      <c r="A216" s="292" t="s">
        <v>670</v>
      </c>
      <c r="B216" s="300" t="s">
        <v>895</v>
      </c>
      <c r="C216" s="299">
        <v>1</v>
      </c>
      <c r="D216" s="149">
        <v>46195</v>
      </c>
      <c r="E216" s="149">
        <v>46200</v>
      </c>
      <c r="F216" s="341" t="s">
        <v>40</v>
      </c>
      <c r="G216" s="308" t="s">
        <v>792</v>
      </c>
      <c r="H216" s="372">
        <v>0</v>
      </c>
      <c r="I216" s="169">
        <v>46210</v>
      </c>
      <c r="J216" s="342">
        <v>46218</v>
      </c>
      <c r="K216" s="344" t="s">
        <v>40</v>
      </c>
      <c r="L216" s="344" t="s">
        <v>793</v>
      </c>
      <c r="M216" s="346">
        <v>0</v>
      </c>
      <c r="N216" s="347">
        <v>46219</v>
      </c>
      <c r="O216" s="347">
        <v>46231</v>
      </c>
      <c r="P216" s="349" t="s">
        <v>40</v>
      </c>
      <c r="Q216" s="349" t="s">
        <v>794</v>
      </c>
      <c r="R216" s="350">
        <v>0</v>
      </c>
      <c r="S216" s="352">
        <v>46239</v>
      </c>
      <c r="T216" s="352">
        <v>46246</v>
      </c>
      <c r="U216" s="354" t="s">
        <v>40</v>
      </c>
      <c r="V216" s="354" t="s">
        <v>795</v>
      </c>
      <c r="W216" s="355">
        <v>0</v>
      </c>
      <c r="X216" s="357">
        <v>46247</v>
      </c>
      <c r="Y216" s="357">
        <v>46249</v>
      </c>
      <c r="Z216" s="359" t="s">
        <v>40</v>
      </c>
      <c r="AA216" s="359" t="s">
        <v>796</v>
      </c>
      <c r="AB216" s="360">
        <v>0</v>
      </c>
      <c r="AC216" s="362">
        <v>46258</v>
      </c>
      <c r="AD216" s="326">
        <v>46265</v>
      </c>
      <c r="AE216" s="327" t="s">
        <v>40</v>
      </c>
      <c r="AF216" s="365" t="s">
        <v>795</v>
      </c>
      <c r="AG216" s="366">
        <v>0</v>
      </c>
      <c r="AH216" s="368">
        <v>46266</v>
      </c>
      <c r="AI216" s="368">
        <v>46269</v>
      </c>
      <c r="AJ216" s="369" t="s">
        <v>165</v>
      </c>
      <c r="AK216" s="373" t="s">
        <v>795</v>
      </c>
      <c r="AL216" s="370">
        <v>0</v>
      </c>
    </row>
    <row r="217" spans="1:38">
      <c r="A217" s="292" t="s">
        <v>670</v>
      </c>
      <c r="B217" s="300" t="s">
        <v>896</v>
      </c>
      <c r="C217" s="299">
        <v>1</v>
      </c>
      <c r="D217" s="149">
        <v>46195</v>
      </c>
      <c r="E217" s="149">
        <v>46200</v>
      </c>
      <c r="F217" s="341" t="s">
        <v>40</v>
      </c>
      <c r="G217" s="308" t="s">
        <v>792</v>
      </c>
      <c r="H217" s="372">
        <v>0</v>
      </c>
      <c r="I217" s="169">
        <v>46210</v>
      </c>
      <c r="J217" s="342">
        <v>46218</v>
      </c>
      <c r="K217" s="344" t="s">
        <v>40</v>
      </c>
      <c r="L217" s="344" t="s">
        <v>793</v>
      </c>
      <c r="M217" s="346">
        <v>0</v>
      </c>
      <c r="N217" s="347">
        <v>46219</v>
      </c>
      <c r="O217" s="347">
        <v>46231</v>
      </c>
      <c r="P217" s="349" t="s">
        <v>40</v>
      </c>
      <c r="Q217" s="349" t="s">
        <v>794</v>
      </c>
      <c r="R217" s="350">
        <v>0</v>
      </c>
      <c r="S217" s="352">
        <v>46239</v>
      </c>
      <c r="T217" s="352">
        <v>46246</v>
      </c>
      <c r="U217" s="354" t="s">
        <v>40</v>
      </c>
      <c r="V217" s="354" t="s">
        <v>795</v>
      </c>
      <c r="W217" s="355">
        <v>0</v>
      </c>
      <c r="X217" s="357">
        <v>46247</v>
      </c>
      <c r="Y217" s="357">
        <v>46249</v>
      </c>
      <c r="Z217" s="359" t="s">
        <v>40</v>
      </c>
      <c r="AA217" s="359" t="s">
        <v>796</v>
      </c>
      <c r="AB217" s="360">
        <v>0</v>
      </c>
      <c r="AC217" s="362">
        <v>46258</v>
      </c>
      <c r="AD217" s="326">
        <v>46265</v>
      </c>
      <c r="AE217" s="327" t="s">
        <v>40</v>
      </c>
      <c r="AF217" s="365" t="s">
        <v>795</v>
      </c>
      <c r="AG217" s="366">
        <v>0</v>
      </c>
      <c r="AH217" s="368">
        <v>46266</v>
      </c>
      <c r="AI217" s="368">
        <v>46269</v>
      </c>
      <c r="AJ217" s="369" t="s">
        <v>165</v>
      </c>
      <c r="AK217" s="373" t="s">
        <v>795</v>
      </c>
      <c r="AL217" s="370">
        <v>0</v>
      </c>
    </row>
    <row r="218" spans="1:38">
      <c r="A218" s="292" t="s">
        <v>670</v>
      </c>
      <c r="B218" s="300" t="s">
        <v>897</v>
      </c>
      <c r="C218" s="299">
        <v>1</v>
      </c>
      <c r="D218" s="149">
        <v>46195</v>
      </c>
      <c r="E218" s="149">
        <v>46200</v>
      </c>
      <c r="F218" s="341" t="s">
        <v>40</v>
      </c>
      <c r="G218" s="308" t="s">
        <v>792</v>
      </c>
      <c r="H218" s="372">
        <v>0</v>
      </c>
      <c r="I218" s="169">
        <v>46210</v>
      </c>
      <c r="J218" s="342">
        <v>46218</v>
      </c>
      <c r="K218" s="344" t="s">
        <v>40</v>
      </c>
      <c r="L218" s="344" t="s">
        <v>793</v>
      </c>
      <c r="M218" s="346">
        <v>0</v>
      </c>
      <c r="N218" s="347">
        <v>46219</v>
      </c>
      <c r="O218" s="347">
        <v>46231</v>
      </c>
      <c r="P218" s="349" t="s">
        <v>40</v>
      </c>
      <c r="Q218" s="349" t="s">
        <v>794</v>
      </c>
      <c r="R218" s="350">
        <v>0</v>
      </c>
      <c r="S218" s="352">
        <v>46239</v>
      </c>
      <c r="T218" s="352">
        <v>46246</v>
      </c>
      <c r="U218" s="354" t="s">
        <v>40</v>
      </c>
      <c r="V218" s="354" t="s">
        <v>795</v>
      </c>
      <c r="W218" s="355">
        <v>0</v>
      </c>
      <c r="X218" s="357">
        <v>46247</v>
      </c>
      <c r="Y218" s="357">
        <v>46249</v>
      </c>
      <c r="Z218" s="359" t="s">
        <v>40</v>
      </c>
      <c r="AA218" s="359" t="s">
        <v>796</v>
      </c>
      <c r="AB218" s="360">
        <v>0</v>
      </c>
      <c r="AC218" s="362">
        <v>46258</v>
      </c>
      <c r="AD218" s="326">
        <v>46265</v>
      </c>
      <c r="AE218" s="327" t="s">
        <v>40</v>
      </c>
      <c r="AF218" s="365" t="s">
        <v>795</v>
      </c>
      <c r="AG218" s="366">
        <v>0</v>
      </c>
      <c r="AH218" s="368">
        <v>46266</v>
      </c>
      <c r="AI218" s="368">
        <v>46269</v>
      </c>
      <c r="AJ218" s="369" t="s">
        <v>165</v>
      </c>
      <c r="AK218" s="373" t="s">
        <v>795</v>
      </c>
      <c r="AL218" s="370">
        <v>0</v>
      </c>
    </row>
    <row r="219" spans="1:38">
      <c r="A219" s="292" t="s">
        <v>670</v>
      </c>
      <c r="B219" s="300" t="s">
        <v>898</v>
      </c>
      <c r="C219" s="299">
        <v>1</v>
      </c>
      <c r="D219" s="149">
        <v>46195</v>
      </c>
      <c r="E219" s="149">
        <v>46200</v>
      </c>
      <c r="F219" s="341" t="s">
        <v>40</v>
      </c>
      <c r="G219" s="308" t="s">
        <v>792</v>
      </c>
      <c r="H219" s="372">
        <v>0</v>
      </c>
      <c r="I219" s="169">
        <v>46210</v>
      </c>
      <c r="J219" s="342">
        <v>46218</v>
      </c>
      <c r="K219" s="344" t="s">
        <v>40</v>
      </c>
      <c r="L219" s="344" t="s">
        <v>793</v>
      </c>
      <c r="M219" s="346">
        <v>0</v>
      </c>
      <c r="N219" s="347">
        <v>46219</v>
      </c>
      <c r="O219" s="347">
        <v>46231</v>
      </c>
      <c r="P219" s="349" t="s">
        <v>40</v>
      </c>
      <c r="Q219" s="349" t="s">
        <v>794</v>
      </c>
      <c r="R219" s="350">
        <v>0</v>
      </c>
      <c r="S219" s="352">
        <v>46239</v>
      </c>
      <c r="T219" s="352">
        <v>46246</v>
      </c>
      <c r="U219" s="354" t="s">
        <v>40</v>
      </c>
      <c r="V219" s="354" t="s">
        <v>795</v>
      </c>
      <c r="W219" s="355">
        <v>0</v>
      </c>
      <c r="X219" s="357">
        <v>46247</v>
      </c>
      <c r="Y219" s="357">
        <v>46249</v>
      </c>
      <c r="Z219" s="359" t="s">
        <v>40</v>
      </c>
      <c r="AA219" s="359" t="s">
        <v>796</v>
      </c>
      <c r="AB219" s="360">
        <v>0</v>
      </c>
      <c r="AC219" s="362">
        <v>46258</v>
      </c>
      <c r="AD219" s="326">
        <v>46265</v>
      </c>
      <c r="AE219" s="327" t="s">
        <v>40</v>
      </c>
      <c r="AF219" s="365" t="s">
        <v>795</v>
      </c>
      <c r="AG219" s="366">
        <v>0</v>
      </c>
      <c r="AH219" s="368">
        <v>46266</v>
      </c>
      <c r="AI219" s="368">
        <v>46269</v>
      </c>
      <c r="AJ219" s="369" t="s">
        <v>165</v>
      </c>
      <c r="AK219" s="373" t="s">
        <v>795</v>
      </c>
      <c r="AL219" s="370">
        <v>0</v>
      </c>
    </row>
    <row r="220" spans="1:38">
      <c r="A220" s="292" t="s">
        <v>670</v>
      </c>
      <c r="B220" s="300" t="s">
        <v>899</v>
      </c>
      <c r="C220" s="299">
        <v>1</v>
      </c>
      <c r="D220" s="149">
        <v>46195</v>
      </c>
      <c r="E220" s="149">
        <v>46200</v>
      </c>
      <c r="F220" s="341" t="s">
        <v>40</v>
      </c>
      <c r="G220" s="308" t="s">
        <v>792</v>
      </c>
      <c r="H220" s="372">
        <v>0</v>
      </c>
      <c r="I220" s="169">
        <v>46210</v>
      </c>
      <c r="J220" s="342">
        <v>46218</v>
      </c>
      <c r="K220" s="344" t="s">
        <v>40</v>
      </c>
      <c r="L220" s="344" t="s">
        <v>793</v>
      </c>
      <c r="M220" s="346">
        <v>0</v>
      </c>
      <c r="N220" s="347">
        <v>46219</v>
      </c>
      <c r="O220" s="347">
        <v>46231</v>
      </c>
      <c r="P220" s="349" t="s">
        <v>40</v>
      </c>
      <c r="Q220" s="349" t="s">
        <v>794</v>
      </c>
      <c r="R220" s="350">
        <v>0</v>
      </c>
      <c r="S220" s="352">
        <v>46239</v>
      </c>
      <c r="T220" s="352">
        <v>46246</v>
      </c>
      <c r="U220" s="354" t="s">
        <v>40</v>
      </c>
      <c r="V220" s="354" t="s">
        <v>795</v>
      </c>
      <c r="W220" s="355">
        <v>0</v>
      </c>
      <c r="X220" s="357">
        <v>46247</v>
      </c>
      <c r="Y220" s="357">
        <v>46249</v>
      </c>
      <c r="Z220" s="359" t="s">
        <v>40</v>
      </c>
      <c r="AA220" s="359" t="s">
        <v>796</v>
      </c>
      <c r="AB220" s="360">
        <v>0</v>
      </c>
      <c r="AC220" s="362">
        <v>46258</v>
      </c>
      <c r="AD220" s="326">
        <v>46265</v>
      </c>
      <c r="AE220" s="327" t="s">
        <v>40</v>
      </c>
      <c r="AF220" s="365" t="s">
        <v>795</v>
      </c>
      <c r="AG220" s="366">
        <v>0</v>
      </c>
      <c r="AH220" s="368">
        <v>46266</v>
      </c>
      <c r="AI220" s="368">
        <v>46269</v>
      </c>
      <c r="AJ220" s="369" t="s">
        <v>165</v>
      </c>
      <c r="AK220" s="373" t="s">
        <v>795</v>
      </c>
      <c r="AL220" s="370">
        <v>0</v>
      </c>
    </row>
    <row r="221" spans="1:38">
      <c r="A221" s="292" t="s">
        <v>670</v>
      </c>
      <c r="B221" s="300" t="s">
        <v>900</v>
      </c>
      <c r="C221" s="299">
        <v>1</v>
      </c>
      <c r="D221" s="149">
        <v>46195</v>
      </c>
      <c r="E221" s="149">
        <v>46200</v>
      </c>
      <c r="F221" s="341" t="s">
        <v>40</v>
      </c>
      <c r="G221" s="308" t="s">
        <v>792</v>
      </c>
      <c r="H221" s="372">
        <v>0</v>
      </c>
      <c r="I221" s="169">
        <v>46210</v>
      </c>
      <c r="J221" s="342">
        <v>46218</v>
      </c>
      <c r="K221" s="344" t="s">
        <v>40</v>
      </c>
      <c r="L221" s="344" t="s">
        <v>793</v>
      </c>
      <c r="M221" s="346">
        <v>0</v>
      </c>
      <c r="N221" s="347">
        <v>46219</v>
      </c>
      <c r="O221" s="347">
        <v>46231</v>
      </c>
      <c r="P221" s="349" t="s">
        <v>40</v>
      </c>
      <c r="Q221" s="349" t="s">
        <v>794</v>
      </c>
      <c r="R221" s="350">
        <v>0</v>
      </c>
      <c r="S221" s="352">
        <v>46239</v>
      </c>
      <c r="T221" s="352">
        <v>46246</v>
      </c>
      <c r="U221" s="354" t="s">
        <v>40</v>
      </c>
      <c r="V221" s="354" t="s">
        <v>795</v>
      </c>
      <c r="W221" s="355">
        <v>0</v>
      </c>
      <c r="X221" s="357">
        <v>46247</v>
      </c>
      <c r="Y221" s="357">
        <v>46249</v>
      </c>
      <c r="Z221" s="359" t="s">
        <v>40</v>
      </c>
      <c r="AA221" s="359" t="s">
        <v>796</v>
      </c>
      <c r="AB221" s="360">
        <v>0</v>
      </c>
      <c r="AC221" s="362">
        <v>46258</v>
      </c>
      <c r="AD221" s="326">
        <v>46265</v>
      </c>
      <c r="AE221" s="327" t="s">
        <v>40</v>
      </c>
      <c r="AF221" s="365" t="s">
        <v>795</v>
      </c>
      <c r="AG221" s="366">
        <v>0</v>
      </c>
      <c r="AH221" s="368">
        <v>46266</v>
      </c>
      <c r="AI221" s="368">
        <v>46269</v>
      </c>
      <c r="AJ221" s="369" t="s">
        <v>165</v>
      </c>
      <c r="AK221" s="373" t="s">
        <v>795</v>
      </c>
      <c r="AL221" s="370">
        <v>0</v>
      </c>
    </row>
    <row r="222" spans="1:38">
      <c r="A222" s="292" t="s">
        <v>670</v>
      </c>
      <c r="B222" s="300" t="s">
        <v>901</v>
      </c>
      <c r="C222" s="299">
        <v>1</v>
      </c>
      <c r="D222" s="149">
        <v>46195</v>
      </c>
      <c r="E222" s="149">
        <v>46200</v>
      </c>
      <c r="F222" s="341" t="s">
        <v>40</v>
      </c>
      <c r="G222" s="308" t="s">
        <v>792</v>
      </c>
      <c r="H222" s="372">
        <v>0</v>
      </c>
      <c r="I222" s="169">
        <v>46210</v>
      </c>
      <c r="J222" s="342">
        <v>46218</v>
      </c>
      <c r="K222" s="344" t="s">
        <v>40</v>
      </c>
      <c r="L222" s="344" t="s">
        <v>793</v>
      </c>
      <c r="M222" s="346">
        <v>0</v>
      </c>
      <c r="N222" s="347">
        <v>46219</v>
      </c>
      <c r="O222" s="347">
        <v>46231</v>
      </c>
      <c r="P222" s="349" t="s">
        <v>40</v>
      </c>
      <c r="Q222" s="349" t="s">
        <v>794</v>
      </c>
      <c r="R222" s="350">
        <v>0</v>
      </c>
      <c r="S222" s="352">
        <v>46239</v>
      </c>
      <c r="T222" s="352">
        <v>46246</v>
      </c>
      <c r="U222" s="354" t="s">
        <v>40</v>
      </c>
      <c r="V222" s="354" t="s">
        <v>795</v>
      </c>
      <c r="W222" s="355">
        <v>0</v>
      </c>
      <c r="X222" s="357">
        <v>46247</v>
      </c>
      <c r="Y222" s="357">
        <v>46249</v>
      </c>
      <c r="Z222" s="359" t="s">
        <v>40</v>
      </c>
      <c r="AA222" s="359" t="s">
        <v>796</v>
      </c>
      <c r="AB222" s="360">
        <v>0</v>
      </c>
      <c r="AC222" s="362">
        <v>46258</v>
      </c>
      <c r="AD222" s="326">
        <v>46265</v>
      </c>
      <c r="AE222" s="327" t="s">
        <v>40</v>
      </c>
      <c r="AF222" s="365" t="s">
        <v>795</v>
      </c>
      <c r="AG222" s="366">
        <v>0</v>
      </c>
      <c r="AH222" s="368">
        <v>46266</v>
      </c>
      <c r="AI222" s="368">
        <v>46269</v>
      </c>
      <c r="AJ222" s="369" t="s">
        <v>165</v>
      </c>
      <c r="AK222" s="373" t="s">
        <v>795</v>
      </c>
      <c r="AL222" s="370">
        <v>0</v>
      </c>
    </row>
    <row r="223" spans="1:38">
      <c r="A223" s="292" t="s">
        <v>670</v>
      </c>
      <c r="B223" s="300" t="s">
        <v>902</v>
      </c>
      <c r="C223" s="299">
        <v>1</v>
      </c>
      <c r="D223" s="149">
        <v>46195</v>
      </c>
      <c r="E223" s="149">
        <v>46200</v>
      </c>
      <c r="F223" s="341" t="s">
        <v>40</v>
      </c>
      <c r="G223" s="308" t="s">
        <v>792</v>
      </c>
      <c r="H223" s="372">
        <v>0</v>
      </c>
      <c r="I223" s="169">
        <v>46210</v>
      </c>
      <c r="J223" s="342">
        <v>46218</v>
      </c>
      <c r="K223" s="344" t="s">
        <v>40</v>
      </c>
      <c r="L223" s="344" t="s">
        <v>793</v>
      </c>
      <c r="M223" s="346">
        <v>0</v>
      </c>
      <c r="N223" s="347">
        <v>46219</v>
      </c>
      <c r="O223" s="347">
        <v>46231</v>
      </c>
      <c r="P223" s="349" t="s">
        <v>40</v>
      </c>
      <c r="Q223" s="349" t="s">
        <v>794</v>
      </c>
      <c r="R223" s="350">
        <v>0</v>
      </c>
      <c r="S223" s="352">
        <v>46239</v>
      </c>
      <c r="T223" s="352">
        <v>46246</v>
      </c>
      <c r="U223" s="354" t="s">
        <v>40</v>
      </c>
      <c r="V223" s="354" t="s">
        <v>795</v>
      </c>
      <c r="W223" s="355">
        <v>0</v>
      </c>
      <c r="X223" s="357">
        <v>46247</v>
      </c>
      <c r="Y223" s="357">
        <v>46249</v>
      </c>
      <c r="Z223" s="359" t="s">
        <v>40</v>
      </c>
      <c r="AA223" s="359" t="s">
        <v>796</v>
      </c>
      <c r="AB223" s="360">
        <v>0</v>
      </c>
      <c r="AC223" s="362">
        <v>46258</v>
      </c>
      <c r="AD223" s="326">
        <v>46265</v>
      </c>
      <c r="AE223" s="327" t="s">
        <v>40</v>
      </c>
      <c r="AF223" s="365" t="s">
        <v>795</v>
      </c>
      <c r="AG223" s="366">
        <v>0</v>
      </c>
      <c r="AH223" s="368">
        <v>46266</v>
      </c>
      <c r="AI223" s="368">
        <v>46269</v>
      </c>
      <c r="AJ223" s="369" t="s">
        <v>165</v>
      </c>
      <c r="AK223" s="373" t="s">
        <v>795</v>
      </c>
      <c r="AL223" s="370">
        <v>0</v>
      </c>
    </row>
    <row r="224" spans="1:38">
      <c r="A224" s="292" t="s">
        <v>670</v>
      </c>
      <c r="B224" s="300" t="s">
        <v>903</v>
      </c>
      <c r="C224" s="299">
        <v>1</v>
      </c>
      <c r="D224" s="149">
        <v>46195</v>
      </c>
      <c r="E224" s="149">
        <v>46200</v>
      </c>
      <c r="F224" s="341" t="s">
        <v>40</v>
      </c>
      <c r="G224" s="308" t="s">
        <v>792</v>
      </c>
      <c r="H224" s="372">
        <v>0</v>
      </c>
      <c r="I224" s="169">
        <v>46210</v>
      </c>
      <c r="J224" s="342">
        <v>46218</v>
      </c>
      <c r="K224" s="344" t="s">
        <v>40</v>
      </c>
      <c r="L224" s="344" t="s">
        <v>793</v>
      </c>
      <c r="M224" s="346">
        <v>0</v>
      </c>
      <c r="N224" s="347">
        <v>46219</v>
      </c>
      <c r="O224" s="347">
        <v>46231</v>
      </c>
      <c r="P224" s="349" t="s">
        <v>40</v>
      </c>
      <c r="Q224" s="349" t="s">
        <v>794</v>
      </c>
      <c r="R224" s="350">
        <v>0</v>
      </c>
      <c r="S224" s="352">
        <v>46239</v>
      </c>
      <c r="T224" s="352">
        <v>46246</v>
      </c>
      <c r="U224" s="354" t="s">
        <v>40</v>
      </c>
      <c r="V224" s="354" t="s">
        <v>795</v>
      </c>
      <c r="W224" s="355">
        <v>0</v>
      </c>
      <c r="X224" s="357">
        <v>46247</v>
      </c>
      <c r="Y224" s="357">
        <v>46249</v>
      </c>
      <c r="Z224" s="359" t="s">
        <v>40</v>
      </c>
      <c r="AA224" s="359" t="s">
        <v>796</v>
      </c>
      <c r="AB224" s="360">
        <v>0</v>
      </c>
      <c r="AC224" s="362">
        <v>46258</v>
      </c>
      <c r="AD224" s="326">
        <v>46265</v>
      </c>
      <c r="AE224" s="327" t="s">
        <v>40</v>
      </c>
      <c r="AF224" s="365" t="s">
        <v>795</v>
      </c>
      <c r="AG224" s="366">
        <v>0</v>
      </c>
      <c r="AH224" s="368">
        <v>46266</v>
      </c>
      <c r="AI224" s="368">
        <v>46269</v>
      </c>
      <c r="AJ224" s="369" t="s">
        <v>165</v>
      </c>
      <c r="AK224" s="373" t="s">
        <v>795</v>
      </c>
      <c r="AL224" s="370">
        <v>0</v>
      </c>
    </row>
    <row r="225" spans="1:38">
      <c r="A225" s="292" t="s">
        <v>670</v>
      </c>
      <c r="B225" s="300" t="s">
        <v>904</v>
      </c>
      <c r="C225" s="299">
        <v>1</v>
      </c>
      <c r="D225" s="149">
        <v>46195</v>
      </c>
      <c r="E225" s="149">
        <v>46200</v>
      </c>
      <c r="F225" s="341" t="s">
        <v>40</v>
      </c>
      <c r="G225" s="308" t="s">
        <v>792</v>
      </c>
      <c r="H225" s="372">
        <v>0</v>
      </c>
      <c r="I225" s="169">
        <v>46210</v>
      </c>
      <c r="J225" s="342">
        <v>46218</v>
      </c>
      <c r="K225" s="344" t="s">
        <v>40</v>
      </c>
      <c r="L225" s="344" t="s">
        <v>793</v>
      </c>
      <c r="M225" s="346">
        <v>0</v>
      </c>
      <c r="N225" s="347">
        <v>46219</v>
      </c>
      <c r="O225" s="347">
        <v>46231</v>
      </c>
      <c r="P225" s="349" t="s">
        <v>40</v>
      </c>
      <c r="Q225" s="349" t="s">
        <v>794</v>
      </c>
      <c r="R225" s="350">
        <v>0</v>
      </c>
      <c r="S225" s="352">
        <v>46239</v>
      </c>
      <c r="T225" s="352">
        <v>46246</v>
      </c>
      <c r="U225" s="354" t="s">
        <v>40</v>
      </c>
      <c r="V225" s="354" t="s">
        <v>795</v>
      </c>
      <c r="W225" s="355">
        <v>0</v>
      </c>
      <c r="X225" s="357">
        <v>46247</v>
      </c>
      <c r="Y225" s="357">
        <v>46249</v>
      </c>
      <c r="Z225" s="359" t="s">
        <v>40</v>
      </c>
      <c r="AA225" s="359" t="s">
        <v>796</v>
      </c>
      <c r="AB225" s="360">
        <v>0</v>
      </c>
      <c r="AC225" s="362">
        <v>46258</v>
      </c>
      <c r="AD225" s="326">
        <v>46265</v>
      </c>
      <c r="AE225" s="327" t="s">
        <v>40</v>
      </c>
      <c r="AF225" s="365" t="s">
        <v>795</v>
      </c>
      <c r="AG225" s="366">
        <v>0</v>
      </c>
      <c r="AH225" s="368">
        <v>46266</v>
      </c>
      <c r="AI225" s="368">
        <v>46269</v>
      </c>
      <c r="AJ225" s="369" t="s">
        <v>165</v>
      </c>
      <c r="AK225" s="373" t="s">
        <v>795</v>
      </c>
      <c r="AL225" s="370">
        <v>0</v>
      </c>
    </row>
    <row r="226" spans="1:38">
      <c r="A226" s="292" t="s">
        <v>670</v>
      </c>
      <c r="B226" s="300" t="s">
        <v>905</v>
      </c>
      <c r="C226" s="299">
        <v>1</v>
      </c>
      <c r="D226" s="149">
        <v>46195</v>
      </c>
      <c r="E226" s="149">
        <v>46200</v>
      </c>
      <c r="F226" s="341" t="s">
        <v>40</v>
      </c>
      <c r="G226" s="308" t="s">
        <v>792</v>
      </c>
      <c r="H226" s="372">
        <v>0</v>
      </c>
      <c r="I226" s="169">
        <v>46210</v>
      </c>
      <c r="J226" s="342">
        <v>46218</v>
      </c>
      <c r="K226" s="344" t="s">
        <v>40</v>
      </c>
      <c r="L226" s="344" t="s">
        <v>793</v>
      </c>
      <c r="M226" s="346">
        <v>0</v>
      </c>
      <c r="N226" s="347">
        <v>46219</v>
      </c>
      <c r="O226" s="347">
        <v>46231</v>
      </c>
      <c r="P226" s="349" t="s">
        <v>40</v>
      </c>
      <c r="Q226" s="349" t="s">
        <v>794</v>
      </c>
      <c r="R226" s="350">
        <v>0</v>
      </c>
      <c r="S226" s="352">
        <v>46239</v>
      </c>
      <c r="T226" s="352">
        <v>46246</v>
      </c>
      <c r="U226" s="354" t="s">
        <v>40</v>
      </c>
      <c r="V226" s="354" t="s">
        <v>795</v>
      </c>
      <c r="W226" s="355">
        <v>0</v>
      </c>
      <c r="X226" s="357">
        <v>46247</v>
      </c>
      <c r="Y226" s="357">
        <v>46249</v>
      </c>
      <c r="Z226" s="359" t="s">
        <v>40</v>
      </c>
      <c r="AA226" s="359" t="s">
        <v>796</v>
      </c>
      <c r="AB226" s="360">
        <v>0</v>
      </c>
      <c r="AC226" s="362">
        <v>46258</v>
      </c>
      <c r="AD226" s="326">
        <v>46265</v>
      </c>
      <c r="AE226" s="327" t="s">
        <v>40</v>
      </c>
      <c r="AF226" s="365" t="s">
        <v>795</v>
      </c>
      <c r="AG226" s="366">
        <v>0</v>
      </c>
      <c r="AH226" s="368">
        <v>46266</v>
      </c>
      <c r="AI226" s="368">
        <v>46269</v>
      </c>
      <c r="AJ226" s="369" t="s">
        <v>165</v>
      </c>
      <c r="AK226" s="373" t="s">
        <v>795</v>
      </c>
      <c r="AL226" s="370">
        <v>0</v>
      </c>
    </row>
    <row r="227" spans="1:38">
      <c r="A227" s="292" t="s">
        <v>670</v>
      </c>
      <c r="B227" s="300" t="s">
        <v>906</v>
      </c>
      <c r="C227" s="299">
        <v>1</v>
      </c>
      <c r="D227" s="149">
        <v>46195</v>
      </c>
      <c r="E227" s="149">
        <v>46200</v>
      </c>
      <c r="F227" s="341" t="s">
        <v>40</v>
      </c>
      <c r="G227" s="308" t="s">
        <v>792</v>
      </c>
      <c r="H227" s="372">
        <v>0</v>
      </c>
      <c r="I227" s="169">
        <v>46210</v>
      </c>
      <c r="J227" s="342">
        <v>46218</v>
      </c>
      <c r="K227" s="344" t="s">
        <v>40</v>
      </c>
      <c r="L227" s="344" t="s">
        <v>793</v>
      </c>
      <c r="M227" s="346">
        <v>0</v>
      </c>
      <c r="N227" s="347">
        <v>46219</v>
      </c>
      <c r="O227" s="347">
        <v>46231</v>
      </c>
      <c r="P227" s="349" t="s">
        <v>40</v>
      </c>
      <c r="Q227" s="349" t="s">
        <v>794</v>
      </c>
      <c r="R227" s="350">
        <v>0</v>
      </c>
      <c r="S227" s="352">
        <v>46239</v>
      </c>
      <c r="T227" s="352">
        <v>46246</v>
      </c>
      <c r="U227" s="354" t="s">
        <v>40</v>
      </c>
      <c r="V227" s="354" t="s">
        <v>795</v>
      </c>
      <c r="W227" s="355">
        <v>0</v>
      </c>
      <c r="X227" s="357">
        <v>46247</v>
      </c>
      <c r="Y227" s="357">
        <v>46249</v>
      </c>
      <c r="Z227" s="359" t="s">
        <v>40</v>
      </c>
      <c r="AA227" s="359" t="s">
        <v>796</v>
      </c>
      <c r="AB227" s="360">
        <v>0</v>
      </c>
      <c r="AC227" s="362">
        <v>46258</v>
      </c>
      <c r="AD227" s="326">
        <v>46265</v>
      </c>
      <c r="AE227" s="327" t="s">
        <v>40</v>
      </c>
      <c r="AF227" s="365" t="s">
        <v>795</v>
      </c>
      <c r="AG227" s="366">
        <v>0</v>
      </c>
      <c r="AH227" s="368">
        <v>46266</v>
      </c>
      <c r="AI227" s="368">
        <v>46269</v>
      </c>
      <c r="AJ227" s="369" t="s">
        <v>165</v>
      </c>
      <c r="AK227" s="373" t="s">
        <v>795</v>
      </c>
      <c r="AL227" s="370">
        <v>0</v>
      </c>
    </row>
    <row r="228" spans="1:38">
      <c r="A228" s="292" t="s">
        <v>670</v>
      </c>
      <c r="B228" s="300" t="s">
        <v>907</v>
      </c>
      <c r="C228" s="299">
        <v>1</v>
      </c>
      <c r="D228" s="149">
        <v>46195</v>
      </c>
      <c r="E228" s="149">
        <v>46200</v>
      </c>
      <c r="F228" s="341" t="s">
        <v>40</v>
      </c>
      <c r="G228" s="308" t="s">
        <v>792</v>
      </c>
      <c r="H228" s="372">
        <v>0</v>
      </c>
      <c r="I228" s="169">
        <v>46210</v>
      </c>
      <c r="J228" s="342">
        <v>46218</v>
      </c>
      <c r="K228" s="344" t="s">
        <v>40</v>
      </c>
      <c r="L228" s="344" t="s">
        <v>793</v>
      </c>
      <c r="M228" s="346">
        <v>0</v>
      </c>
      <c r="N228" s="347">
        <v>46219</v>
      </c>
      <c r="O228" s="347">
        <v>46231</v>
      </c>
      <c r="P228" s="349" t="s">
        <v>40</v>
      </c>
      <c r="Q228" s="349" t="s">
        <v>794</v>
      </c>
      <c r="R228" s="350">
        <v>0</v>
      </c>
      <c r="S228" s="352">
        <v>46239</v>
      </c>
      <c r="T228" s="352">
        <v>46246</v>
      </c>
      <c r="U228" s="354" t="s">
        <v>40</v>
      </c>
      <c r="V228" s="354" t="s">
        <v>795</v>
      </c>
      <c r="W228" s="355">
        <v>0</v>
      </c>
      <c r="X228" s="357">
        <v>46247</v>
      </c>
      <c r="Y228" s="357">
        <v>46249</v>
      </c>
      <c r="Z228" s="359" t="s">
        <v>40</v>
      </c>
      <c r="AA228" s="359" t="s">
        <v>796</v>
      </c>
      <c r="AB228" s="360">
        <v>0</v>
      </c>
      <c r="AC228" s="362">
        <v>46258</v>
      </c>
      <c r="AD228" s="326">
        <v>46265</v>
      </c>
      <c r="AE228" s="327" t="s">
        <v>40</v>
      </c>
      <c r="AF228" s="365" t="s">
        <v>795</v>
      </c>
      <c r="AG228" s="366">
        <v>0</v>
      </c>
      <c r="AH228" s="368">
        <v>46266</v>
      </c>
      <c r="AI228" s="368">
        <v>46269</v>
      </c>
      <c r="AJ228" s="369" t="s">
        <v>165</v>
      </c>
      <c r="AK228" s="373" t="s">
        <v>795</v>
      </c>
      <c r="AL228" s="370">
        <v>0</v>
      </c>
    </row>
    <row r="229" spans="1:38">
      <c r="A229" s="292" t="s">
        <v>670</v>
      </c>
      <c r="B229" s="300" t="s">
        <v>908</v>
      </c>
      <c r="C229" s="299">
        <v>1</v>
      </c>
      <c r="D229" s="149">
        <v>46195</v>
      </c>
      <c r="E229" s="149">
        <v>46200</v>
      </c>
      <c r="F229" s="341" t="s">
        <v>40</v>
      </c>
      <c r="G229" s="308" t="s">
        <v>792</v>
      </c>
      <c r="H229" s="372">
        <v>0</v>
      </c>
      <c r="I229" s="169">
        <v>46210</v>
      </c>
      <c r="J229" s="342">
        <v>46218</v>
      </c>
      <c r="K229" s="344" t="s">
        <v>40</v>
      </c>
      <c r="L229" s="344" t="s">
        <v>793</v>
      </c>
      <c r="M229" s="346">
        <v>0</v>
      </c>
      <c r="N229" s="347">
        <v>46219</v>
      </c>
      <c r="O229" s="347">
        <v>46231</v>
      </c>
      <c r="P229" s="349" t="s">
        <v>40</v>
      </c>
      <c r="Q229" s="349" t="s">
        <v>794</v>
      </c>
      <c r="R229" s="350">
        <v>0</v>
      </c>
      <c r="S229" s="352">
        <v>46239</v>
      </c>
      <c r="T229" s="352">
        <v>46246</v>
      </c>
      <c r="U229" s="354" t="s">
        <v>40</v>
      </c>
      <c r="V229" s="354" t="s">
        <v>795</v>
      </c>
      <c r="W229" s="355">
        <v>0</v>
      </c>
      <c r="X229" s="357">
        <v>46247</v>
      </c>
      <c r="Y229" s="357">
        <v>46249</v>
      </c>
      <c r="Z229" s="359" t="s">
        <v>40</v>
      </c>
      <c r="AA229" s="359" t="s">
        <v>796</v>
      </c>
      <c r="AB229" s="360">
        <v>0</v>
      </c>
      <c r="AC229" s="362">
        <v>46258</v>
      </c>
      <c r="AD229" s="326">
        <v>46265</v>
      </c>
      <c r="AE229" s="327" t="s">
        <v>40</v>
      </c>
      <c r="AF229" s="365" t="s">
        <v>795</v>
      </c>
      <c r="AG229" s="366">
        <v>0</v>
      </c>
      <c r="AH229" s="368">
        <v>46266</v>
      </c>
      <c r="AI229" s="368">
        <v>46269</v>
      </c>
      <c r="AJ229" s="369" t="s">
        <v>165</v>
      </c>
      <c r="AK229" s="373" t="s">
        <v>795</v>
      </c>
      <c r="AL229" s="370">
        <v>0</v>
      </c>
    </row>
    <row r="230" spans="1:38">
      <c r="A230" s="292" t="s">
        <v>670</v>
      </c>
      <c r="B230" s="300" t="s">
        <v>909</v>
      </c>
      <c r="C230" s="299">
        <v>1</v>
      </c>
      <c r="D230" s="149">
        <v>46195</v>
      </c>
      <c r="E230" s="149">
        <v>46200</v>
      </c>
      <c r="F230" s="341" t="s">
        <v>40</v>
      </c>
      <c r="G230" s="308" t="s">
        <v>792</v>
      </c>
      <c r="H230" s="372">
        <v>0</v>
      </c>
      <c r="I230" s="169">
        <v>46210</v>
      </c>
      <c r="J230" s="342">
        <v>46218</v>
      </c>
      <c r="K230" s="344" t="s">
        <v>40</v>
      </c>
      <c r="L230" s="344" t="s">
        <v>793</v>
      </c>
      <c r="M230" s="346">
        <v>0</v>
      </c>
      <c r="N230" s="347">
        <v>46219</v>
      </c>
      <c r="O230" s="347">
        <v>46231</v>
      </c>
      <c r="P230" s="349" t="s">
        <v>40</v>
      </c>
      <c r="Q230" s="349" t="s">
        <v>794</v>
      </c>
      <c r="R230" s="350">
        <v>0</v>
      </c>
      <c r="S230" s="352">
        <v>46239</v>
      </c>
      <c r="T230" s="352">
        <v>46246</v>
      </c>
      <c r="U230" s="354" t="s">
        <v>40</v>
      </c>
      <c r="V230" s="354" t="s">
        <v>795</v>
      </c>
      <c r="W230" s="355">
        <v>0</v>
      </c>
      <c r="X230" s="357">
        <v>46247</v>
      </c>
      <c r="Y230" s="357">
        <v>46249</v>
      </c>
      <c r="Z230" s="359" t="s">
        <v>40</v>
      </c>
      <c r="AA230" s="359" t="s">
        <v>796</v>
      </c>
      <c r="AB230" s="360">
        <v>0</v>
      </c>
      <c r="AC230" s="362">
        <v>46258</v>
      </c>
      <c r="AD230" s="326">
        <v>46265</v>
      </c>
      <c r="AE230" s="327" t="s">
        <v>40</v>
      </c>
      <c r="AF230" s="365" t="s">
        <v>795</v>
      </c>
      <c r="AG230" s="366">
        <v>0</v>
      </c>
      <c r="AH230" s="368">
        <v>46266</v>
      </c>
      <c r="AI230" s="368">
        <v>46269</v>
      </c>
      <c r="AJ230" s="369" t="s">
        <v>165</v>
      </c>
      <c r="AK230" s="373" t="s">
        <v>795</v>
      </c>
      <c r="AL230" s="370">
        <v>0</v>
      </c>
    </row>
    <row r="231" spans="1:38">
      <c r="A231" s="292" t="s">
        <v>670</v>
      </c>
      <c r="B231" s="300" t="s">
        <v>910</v>
      </c>
      <c r="C231" s="299">
        <v>1</v>
      </c>
      <c r="D231" s="149">
        <v>46195</v>
      </c>
      <c r="E231" s="149">
        <v>46200</v>
      </c>
      <c r="F231" s="341" t="s">
        <v>40</v>
      </c>
      <c r="G231" s="308" t="s">
        <v>792</v>
      </c>
      <c r="H231" s="372">
        <v>0</v>
      </c>
      <c r="I231" s="169">
        <v>46210</v>
      </c>
      <c r="J231" s="342">
        <v>46218</v>
      </c>
      <c r="K231" s="344" t="s">
        <v>40</v>
      </c>
      <c r="L231" s="344" t="s">
        <v>793</v>
      </c>
      <c r="M231" s="346">
        <v>0</v>
      </c>
      <c r="N231" s="347">
        <v>46219</v>
      </c>
      <c r="O231" s="347">
        <v>46231</v>
      </c>
      <c r="P231" s="349" t="s">
        <v>40</v>
      </c>
      <c r="Q231" s="349" t="s">
        <v>794</v>
      </c>
      <c r="R231" s="350">
        <v>0</v>
      </c>
      <c r="S231" s="352">
        <v>46239</v>
      </c>
      <c r="T231" s="352">
        <v>46246</v>
      </c>
      <c r="U231" s="354" t="s">
        <v>40</v>
      </c>
      <c r="V231" s="354" t="s">
        <v>795</v>
      </c>
      <c r="W231" s="355">
        <v>0</v>
      </c>
      <c r="X231" s="357">
        <v>46247</v>
      </c>
      <c r="Y231" s="357">
        <v>46249</v>
      </c>
      <c r="Z231" s="359" t="s">
        <v>40</v>
      </c>
      <c r="AA231" s="359" t="s">
        <v>796</v>
      </c>
      <c r="AB231" s="360">
        <v>0</v>
      </c>
      <c r="AC231" s="362">
        <v>46258</v>
      </c>
      <c r="AD231" s="326">
        <v>46265</v>
      </c>
      <c r="AE231" s="327" t="s">
        <v>40</v>
      </c>
      <c r="AF231" s="365" t="s">
        <v>795</v>
      </c>
      <c r="AG231" s="366">
        <v>0</v>
      </c>
      <c r="AH231" s="368">
        <v>46266</v>
      </c>
      <c r="AI231" s="368">
        <v>46269</v>
      </c>
      <c r="AJ231" s="369" t="s">
        <v>165</v>
      </c>
      <c r="AK231" s="373" t="s">
        <v>795</v>
      </c>
      <c r="AL231" s="370">
        <v>0</v>
      </c>
    </row>
    <row r="232" spans="1:38">
      <c r="A232" s="292" t="s">
        <v>670</v>
      </c>
      <c r="B232" s="300" t="s">
        <v>911</v>
      </c>
      <c r="C232" s="299">
        <v>1</v>
      </c>
      <c r="D232" s="149">
        <v>46195</v>
      </c>
      <c r="E232" s="149">
        <v>46200</v>
      </c>
      <c r="F232" s="341" t="s">
        <v>40</v>
      </c>
      <c r="G232" s="308" t="s">
        <v>792</v>
      </c>
      <c r="H232" s="372">
        <v>0</v>
      </c>
      <c r="I232" s="169">
        <v>46210</v>
      </c>
      <c r="J232" s="342">
        <v>46218</v>
      </c>
      <c r="K232" s="344" t="s">
        <v>40</v>
      </c>
      <c r="L232" s="344" t="s">
        <v>793</v>
      </c>
      <c r="M232" s="346">
        <v>0</v>
      </c>
      <c r="N232" s="347">
        <v>46219</v>
      </c>
      <c r="O232" s="347">
        <v>46231</v>
      </c>
      <c r="P232" s="349" t="s">
        <v>40</v>
      </c>
      <c r="Q232" s="349" t="s">
        <v>794</v>
      </c>
      <c r="R232" s="350">
        <v>0</v>
      </c>
      <c r="S232" s="352">
        <v>46239</v>
      </c>
      <c r="T232" s="352">
        <v>46246</v>
      </c>
      <c r="U232" s="354" t="s">
        <v>40</v>
      </c>
      <c r="V232" s="354" t="s">
        <v>795</v>
      </c>
      <c r="W232" s="355">
        <v>0</v>
      </c>
      <c r="X232" s="357">
        <v>46247</v>
      </c>
      <c r="Y232" s="357">
        <v>46249</v>
      </c>
      <c r="Z232" s="359" t="s">
        <v>40</v>
      </c>
      <c r="AA232" s="359" t="s">
        <v>796</v>
      </c>
      <c r="AB232" s="360">
        <v>0</v>
      </c>
      <c r="AC232" s="362">
        <v>46258</v>
      </c>
      <c r="AD232" s="326">
        <v>46265</v>
      </c>
      <c r="AE232" s="327" t="s">
        <v>40</v>
      </c>
      <c r="AF232" s="365" t="s">
        <v>795</v>
      </c>
      <c r="AG232" s="366">
        <v>0</v>
      </c>
      <c r="AH232" s="368">
        <v>46266</v>
      </c>
      <c r="AI232" s="368">
        <v>46269</v>
      </c>
      <c r="AJ232" s="369" t="s">
        <v>165</v>
      </c>
      <c r="AK232" s="373" t="s">
        <v>795</v>
      </c>
      <c r="AL232" s="370">
        <v>0</v>
      </c>
    </row>
    <row r="233" spans="1:38">
      <c r="A233" s="292" t="s">
        <v>670</v>
      </c>
      <c r="B233" s="300" t="s">
        <v>912</v>
      </c>
      <c r="C233" s="299">
        <v>1</v>
      </c>
      <c r="D233" s="149">
        <v>46195</v>
      </c>
      <c r="E233" s="149">
        <v>46200</v>
      </c>
      <c r="F233" s="341" t="s">
        <v>40</v>
      </c>
      <c r="G233" s="308" t="s">
        <v>792</v>
      </c>
      <c r="H233" s="372">
        <v>0</v>
      </c>
      <c r="I233" s="169">
        <v>46210</v>
      </c>
      <c r="J233" s="342">
        <v>46218</v>
      </c>
      <c r="K233" s="344" t="s">
        <v>40</v>
      </c>
      <c r="L233" s="344" t="s">
        <v>793</v>
      </c>
      <c r="M233" s="346">
        <v>0</v>
      </c>
      <c r="N233" s="347">
        <v>46219</v>
      </c>
      <c r="O233" s="347">
        <v>46231</v>
      </c>
      <c r="P233" s="349" t="s">
        <v>40</v>
      </c>
      <c r="Q233" s="349" t="s">
        <v>794</v>
      </c>
      <c r="R233" s="350">
        <v>0</v>
      </c>
      <c r="S233" s="352">
        <v>46239</v>
      </c>
      <c r="T233" s="352">
        <v>46246</v>
      </c>
      <c r="U233" s="354" t="s">
        <v>40</v>
      </c>
      <c r="V233" s="354" t="s">
        <v>795</v>
      </c>
      <c r="W233" s="355">
        <v>0</v>
      </c>
      <c r="X233" s="357">
        <v>46247</v>
      </c>
      <c r="Y233" s="357">
        <v>46249</v>
      </c>
      <c r="Z233" s="359" t="s">
        <v>40</v>
      </c>
      <c r="AA233" s="359" t="s">
        <v>796</v>
      </c>
      <c r="AB233" s="360">
        <v>0</v>
      </c>
      <c r="AC233" s="362">
        <v>46258</v>
      </c>
      <c r="AD233" s="326">
        <v>46265</v>
      </c>
      <c r="AE233" s="327" t="s">
        <v>40</v>
      </c>
      <c r="AF233" s="365" t="s">
        <v>795</v>
      </c>
      <c r="AG233" s="366">
        <v>0</v>
      </c>
      <c r="AH233" s="368">
        <v>46266</v>
      </c>
      <c r="AI233" s="368">
        <v>46269</v>
      </c>
      <c r="AJ233" s="369" t="s">
        <v>165</v>
      </c>
      <c r="AK233" s="373" t="s">
        <v>795</v>
      </c>
      <c r="AL233" s="370">
        <v>0</v>
      </c>
    </row>
    <row r="234" spans="1:38">
      <c r="A234" s="292" t="s">
        <v>670</v>
      </c>
      <c r="B234" s="300" t="s">
        <v>913</v>
      </c>
      <c r="C234" s="299">
        <v>1</v>
      </c>
      <c r="D234" s="149">
        <v>46195</v>
      </c>
      <c r="E234" s="149">
        <v>46200</v>
      </c>
      <c r="F234" s="341" t="s">
        <v>40</v>
      </c>
      <c r="G234" s="308" t="s">
        <v>792</v>
      </c>
      <c r="H234" s="372">
        <v>0</v>
      </c>
      <c r="I234" s="169">
        <v>46210</v>
      </c>
      <c r="J234" s="342">
        <v>46218</v>
      </c>
      <c r="K234" s="344" t="s">
        <v>40</v>
      </c>
      <c r="L234" s="344" t="s">
        <v>793</v>
      </c>
      <c r="M234" s="346">
        <v>0</v>
      </c>
      <c r="N234" s="347">
        <v>46219</v>
      </c>
      <c r="O234" s="347">
        <v>46231</v>
      </c>
      <c r="P234" s="349" t="s">
        <v>40</v>
      </c>
      <c r="Q234" s="349" t="s">
        <v>794</v>
      </c>
      <c r="R234" s="350">
        <v>0</v>
      </c>
      <c r="S234" s="352">
        <v>46239</v>
      </c>
      <c r="T234" s="352">
        <v>46246</v>
      </c>
      <c r="U234" s="354" t="s">
        <v>40</v>
      </c>
      <c r="V234" s="354" t="s">
        <v>795</v>
      </c>
      <c r="W234" s="355">
        <v>0</v>
      </c>
      <c r="X234" s="357">
        <v>46247</v>
      </c>
      <c r="Y234" s="357">
        <v>46249</v>
      </c>
      <c r="Z234" s="359" t="s">
        <v>40</v>
      </c>
      <c r="AA234" s="359" t="s">
        <v>796</v>
      </c>
      <c r="AB234" s="360">
        <v>0</v>
      </c>
      <c r="AC234" s="362">
        <v>46258</v>
      </c>
      <c r="AD234" s="326">
        <v>46265</v>
      </c>
      <c r="AE234" s="327" t="s">
        <v>40</v>
      </c>
      <c r="AF234" s="365" t="s">
        <v>795</v>
      </c>
      <c r="AG234" s="366">
        <v>0</v>
      </c>
      <c r="AH234" s="368">
        <v>46266</v>
      </c>
      <c r="AI234" s="368">
        <v>46269</v>
      </c>
      <c r="AJ234" s="369" t="s">
        <v>165</v>
      </c>
      <c r="AK234" s="373" t="s">
        <v>795</v>
      </c>
      <c r="AL234" s="370">
        <v>0</v>
      </c>
    </row>
    <row r="235" spans="1:38">
      <c r="A235" s="292" t="s">
        <v>670</v>
      </c>
      <c r="B235" s="300" t="s">
        <v>914</v>
      </c>
      <c r="C235" s="299">
        <v>1</v>
      </c>
      <c r="D235" s="149">
        <v>46195</v>
      </c>
      <c r="E235" s="149">
        <v>46200</v>
      </c>
      <c r="F235" s="341" t="s">
        <v>40</v>
      </c>
      <c r="G235" s="308" t="s">
        <v>792</v>
      </c>
      <c r="H235" s="372">
        <v>0</v>
      </c>
      <c r="I235" s="169">
        <v>46210</v>
      </c>
      <c r="J235" s="342">
        <v>46218</v>
      </c>
      <c r="K235" s="344" t="s">
        <v>40</v>
      </c>
      <c r="L235" s="344" t="s">
        <v>793</v>
      </c>
      <c r="M235" s="346">
        <v>0</v>
      </c>
      <c r="N235" s="347">
        <v>46219</v>
      </c>
      <c r="O235" s="347">
        <v>46231</v>
      </c>
      <c r="P235" s="349" t="s">
        <v>40</v>
      </c>
      <c r="Q235" s="349" t="s">
        <v>794</v>
      </c>
      <c r="R235" s="350">
        <v>0</v>
      </c>
      <c r="S235" s="352">
        <v>46239</v>
      </c>
      <c r="T235" s="352">
        <v>46246</v>
      </c>
      <c r="U235" s="354" t="s">
        <v>40</v>
      </c>
      <c r="V235" s="354" t="s">
        <v>795</v>
      </c>
      <c r="W235" s="355">
        <v>0</v>
      </c>
      <c r="X235" s="357">
        <v>46247</v>
      </c>
      <c r="Y235" s="357">
        <v>46249</v>
      </c>
      <c r="Z235" s="359" t="s">
        <v>40</v>
      </c>
      <c r="AA235" s="359" t="s">
        <v>796</v>
      </c>
      <c r="AB235" s="360">
        <v>0</v>
      </c>
      <c r="AC235" s="362">
        <v>46258</v>
      </c>
      <c r="AD235" s="326">
        <v>46265</v>
      </c>
      <c r="AE235" s="327" t="s">
        <v>40</v>
      </c>
      <c r="AF235" s="365" t="s">
        <v>795</v>
      </c>
      <c r="AG235" s="366">
        <v>0</v>
      </c>
      <c r="AH235" s="368">
        <v>46266</v>
      </c>
      <c r="AI235" s="368">
        <v>46269</v>
      </c>
      <c r="AJ235" s="369" t="s">
        <v>165</v>
      </c>
      <c r="AK235" s="373" t="s">
        <v>795</v>
      </c>
      <c r="AL235" s="370">
        <v>0</v>
      </c>
    </row>
    <row r="236" spans="1:38">
      <c r="A236" s="292" t="s">
        <v>670</v>
      </c>
      <c r="B236" s="300" t="s">
        <v>915</v>
      </c>
      <c r="C236" s="299">
        <v>1</v>
      </c>
      <c r="D236" s="149">
        <v>46195</v>
      </c>
      <c r="E236" s="149">
        <v>46200</v>
      </c>
      <c r="F236" s="341" t="s">
        <v>40</v>
      </c>
      <c r="G236" s="308" t="s">
        <v>792</v>
      </c>
      <c r="H236" s="372">
        <v>0</v>
      </c>
      <c r="I236" s="169">
        <v>46210</v>
      </c>
      <c r="J236" s="342">
        <v>46218</v>
      </c>
      <c r="K236" s="344" t="s">
        <v>40</v>
      </c>
      <c r="L236" s="344" t="s">
        <v>793</v>
      </c>
      <c r="M236" s="346">
        <v>0</v>
      </c>
      <c r="N236" s="347">
        <v>46219</v>
      </c>
      <c r="O236" s="347">
        <v>46231</v>
      </c>
      <c r="P236" s="349" t="s">
        <v>40</v>
      </c>
      <c r="Q236" s="349" t="s">
        <v>794</v>
      </c>
      <c r="R236" s="350">
        <v>0</v>
      </c>
      <c r="S236" s="352">
        <v>46239</v>
      </c>
      <c r="T236" s="352">
        <v>46246</v>
      </c>
      <c r="U236" s="354" t="s">
        <v>40</v>
      </c>
      <c r="V236" s="354" t="s">
        <v>795</v>
      </c>
      <c r="W236" s="355">
        <v>0</v>
      </c>
      <c r="X236" s="357">
        <v>46247</v>
      </c>
      <c r="Y236" s="357">
        <v>46249</v>
      </c>
      <c r="Z236" s="359" t="s">
        <v>40</v>
      </c>
      <c r="AA236" s="359" t="s">
        <v>796</v>
      </c>
      <c r="AB236" s="360">
        <v>0</v>
      </c>
      <c r="AC236" s="362">
        <v>46258</v>
      </c>
      <c r="AD236" s="326">
        <v>46265</v>
      </c>
      <c r="AE236" s="327" t="s">
        <v>40</v>
      </c>
      <c r="AF236" s="365" t="s">
        <v>795</v>
      </c>
      <c r="AG236" s="366">
        <v>0</v>
      </c>
      <c r="AH236" s="368">
        <v>46266</v>
      </c>
      <c r="AI236" s="368">
        <v>46269</v>
      </c>
      <c r="AJ236" s="369" t="s">
        <v>165</v>
      </c>
      <c r="AK236" s="373" t="s">
        <v>795</v>
      </c>
      <c r="AL236" s="370">
        <v>0</v>
      </c>
    </row>
    <row r="237" spans="1:38">
      <c r="A237" s="292" t="s">
        <v>670</v>
      </c>
      <c r="B237" s="300" t="s">
        <v>916</v>
      </c>
      <c r="C237" s="299">
        <v>1</v>
      </c>
      <c r="D237" s="149">
        <v>46195</v>
      </c>
      <c r="E237" s="149">
        <v>46200</v>
      </c>
      <c r="F237" s="341" t="s">
        <v>40</v>
      </c>
      <c r="G237" s="308" t="s">
        <v>792</v>
      </c>
      <c r="H237" s="372">
        <v>0</v>
      </c>
      <c r="I237" s="169">
        <v>46210</v>
      </c>
      <c r="J237" s="342">
        <v>46218</v>
      </c>
      <c r="K237" s="344" t="s">
        <v>40</v>
      </c>
      <c r="L237" s="344" t="s">
        <v>793</v>
      </c>
      <c r="M237" s="346">
        <v>0</v>
      </c>
      <c r="N237" s="347">
        <v>46219</v>
      </c>
      <c r="O237" s="347">
        <v>46231</v>
      </c>
      <c r="P237" s="349" t="s">
        <v>40</v>
      </c>
      <c r="Q237" s="349" t="s">
        <v>794</v>
      </c>
      <c r="R237" s="350">
        <v>0</v>
      </c>
      <c r="S237" s="352">
        <v>46239</v>
      </c>
      <c r="T237" s="352">
        <v>46246</v>
      </c>
      <c r="U237" s="354" t="s">
        <v>40</v>
      </c>
      <c r="V237" s="354" t="s">
        <v>795</v>
      </c>
      <c r="W237" s="355">
        <v>0</v>
      </c>
      <c r="X237" s="357">
        <v>46247</v>
      </c>
      <c r="Y237" s="357">
        <v>46249</v>
      </c>
      <c r="Z237" s="359" t="s">
        <v>40</v>
      </c>
      <c r="AA237" s="359" t="s">
        <v>796</v>
      </c>
      <c r="AB237" s="360">
        <v>0</v>
      </c>
      <c r="AC237" s="362">
        <v>46258</v>
      </c>
      <c r="AD237" s="326">
        <v>46265</v>
      </c>
      <c r="AE237" s="327" t="s">
        <v>40</v>
      </c>
      <c r="AF237" s="365" t="s">
        <v>795</v>
      </c>
      <c r="AG237" s="366">
        <v>0</v>
      </c>
      <c r="AH237" s="368">
        <v>46266</v>
      </c>
      <c r="AI237" s="368">
        <v>46269</v>
      </c>
      <c r="AJ237" s="369" t="s">
        <v>165</v>
      </c>
      <c r="AK237" s="373" t="s">
        <v>795</v>
      </c>
      <c r="AL237" s="370">
        <v>0</v>
      </c>
    </row>
    <row r="238" spans="1:38">
      <c r="A238" s="292" t="s">
        <v>670</v>
      </c>
      <c r="B238" s="300" t="s">
        <v>917</v>
      </c>
      <c r="C238" s="299">
        <v>1</v>
      </c>
      <c r="D238" s="149">
        <v>46195</v>
      </c>
      <c r="E238" s="149">
        <v>46200</v>
      </c>
      <c r="F238" s="341" t="s">
        <v>40</v>
      </c>
      <c r="G238" s="308" t="s">
        <v>792</v>
      </c>
      <c r="H238" s="372">
        <v>0</v>
      </c>
      <c r="I238" s="169">
        <v>46210</v>
      </c>
      <c r="J238" s="342">
        <v>46218</v>
      </c>
      <c r="K238" s="344" t="s">
        <v>40</v>
      </c>
      <c r="L238" s="344" t="s">
        <v>793</v>
      </c>
      <c r="M238" s="346">
        <v>0</v>
      </c>
      <c r="N238" s="347">
        <v>46219</v>
      </c>
      <c r="O238" s="347">
        <v>46231</v>
      </c>
      <c r="P238" s="349" t="s">
        <v>40</v>
      </c>
      <c r="Q238" s="349" t="s">
        <v>794</v>
      </c>
      <c r="R238" s="350">
        <v>0</v>
      </c>
      <c r="S238" s="352">
        <v>46239</v>
      </c>
      <c r="T238" s="352">
        <v>46246</v>
      </c>
      <c r="U238" s="354" t="s">
        <v>40</v>
      </c>
      <c r="V238" s="354" t="s">
        <v>795</v>
      </c>
      <c r="W238" s="355">
        <v>0</v>
      </c>
      <c r="X238" s="357">
        <v>46247</v>
      </c>
      <c r="Y238" s="357">
        <v>46249</v>
      </c>
      <c r="Z238" s="359" t="s">
        <v>40</v>
      </c>
      <c r="AA238" s="359" t="s">
        <v>796</v>
      </c>
      <c r="AB238" s="360">
        <v>0</v>
      </c>
      <c r="AC238" s="362">
        <v>46258</v>
      </c>
      <c r="AD238" s="326">
        <v>46265</v>
      </c>
      <c r="AE238" s="327" t="s">
        <v>40</v>
      </c>
      <c r="AF238" s="365" t="s">
        <v>795</v>
      </c>
      <c r="AG238" s="366">
        <v>0</v>
      </c>
      <c r="AH238" s="368">
        <v>46266</v>
      </c>
      <c r="AI238" s="368">
        <v>46269</v>
      </c>
      <c r="AJ238" s="369" t="s">
        <v>165</v>
      </c>
      <c r="AK238" s="373" t="s">
        <v>795</v>
      </c>
      <c r="AL238" s="370">
        <v>0</v>
      </c>
    </row>
    <row r="239" spans="1:38">
      <c r="A239" s="292" t="s">
        <v>670</v>
      </c>
      <c r="B239" s="300" t="s">
        <v>918</v>
      </c>
      <c r="C239" s="299">
        <v>1</v>
      </c>
      <c r="D239" s="149">
        <v>46195</v>
      </c>
      <c r="E239" s="149">
        <v>46200</v>
      </c>
      <c r="F239" s="341" t="s">
        <v>40</v>
      </c>
      <c r="G239" s="308" t="s">
        <v>792</v>
      </c>
      <c r="H239" s="372">
        <v>0</v>
      </c>
      <c r="I239" s="169">
        <v>46210</v>
      </c>
      <c r="J239" s="342">
        <v>46218</v>
      </c>
      <c r="K239" s="344" t="s">
        <v>40</v>
      </c>
      <c r="L239" s="344" t="s">
        <v>793</v>
      </c>
      <c r="M239" s="346">
        <v>0</v>
      </c>
      <c r="N239" s="347">
        <v>46219</v>
      </c>
      <c r="O239" s="347">
        <v>46231</v>
      </c>
      <c r="P239" s="349" t="s">
        <v>40</v>
      </c>
      <c r="Q239" s="349" t="s">
        <v>794</v>
      </c>
      <c r="R239" s="350">
        <v>0</v>
      </c>
      <c r="S239" s="352">
        <v>46239</v>
      </c>
      <c r="T239" s="352">
        <v>46246</v>
      </c>
      <c r="U239" s="354" t="s">
        <v>40</v>
      </c>
      <c r="V239" s="354" t="s">
        <v>795</v>
      </c>
      <c r="W239" s="355">
        <v>0</v>
      </c>
      <c r="X239" s="357">
        <v>46247</v>
      </c>
      <c r="Y239" s="357">
        <v>46249</v>
      </c>
      <c r="Z239" s="359" t="s">
        <v>40</v>
      </c>
      <c r="AA239" s="359" t="s">
        <v>796</v>
      </c>
      <c r="AB239" s="360">
        <v>0</v>
      </c>
      <c r="AC239" s="362">
        <v>46258</v>
      </c>
      <c r="AD239" s="326">
        <v>46265</v>
      </c>
      <c r="AE239" s="327" t="s">
        <v>40</v>
      </c>
      <c r="AF239" s="365" t="s">
        <v>795</v>
      </c>
      <c r="AG239" s="366">
        <v>0</v>
      </c>
      <c r="AH239" s="368">
        <v>46266</v>
      </c>
      <c r="AI239" s="368">
        <v>46269</v>
      </c>
      <c r="AJ239" s="369" t="s">
        <v>165</v>
      </c>
      <c r="AK239" s="373" t="s">
        <v>795</v>
      </c>
      <c r="AL239" s="370">
        <v>0</v>
      </c>
    </row>
    <row r="240" spans="1:38">
      <c r="A240" s="292" t="s">
        <v>670</v>
      </c>
      <c r="B240" s="300" t="s">
        <v>919</v>
      </c>
      <c r="C240" s="299">
        <v>1</v>
      </c>
      <c r="D240" s="149">
        <v>46195</v>
      </c>
      <c r="E240" s="149">
        <v>46200</v>
      </c>
      <c r="F240" s="341" t="s">
        <v>40</v>
      </c>
      <c r="G240" s="308" t="s">
        <v>792</v>
      </c>
      <c r="H240" s="372">
        <v>0</v>
      </c>
      <c r="I240" s="169">
        <v>46210</v>
      </c>
      <c r="J240" s="342">
        <v>46218</v>
      </c>
      <c r="K240" s="344" t="s">
        <v>40</v>
      </c>
      <c r="L240" s="344" t="s">
        <v>793</v>
      </c>
      <c r="M240" s="346">
        <v>0</v>
      </c>
      <c r="N240" s="347">
        <v>46219</v>
      </c>
      <c r="O240" s="347">
        <v>46231</v>
      </c>
      <c r="P240" s="349" t="s">
        <v>40</v>
      </c>
      <c r="Q240" s="349" t="s">
        <v>794</v>
      </c>
      <c r="R240" s="350">
        <v>0</v>
      </c>
      <c r="S240" s="352">
        <v>46239</v>
      </c>
      <c r="T240" s="352">
        <v>46246</v>
      </c>
      <c r="U240" s="354" t="s">
        <v>40</v>
      </c>
      <c r="V240" s="354" t="s">
        <v>795</v>
      </c>
      <c r="W240" s="355">
        <v>0</v>
      </c>
      <c r="X240" s="357">
        <v>46247</v>
      </c>
      <c r="Y240" s="357">
        <v>46249</v>
      </c>
      <c r="Z240" s="359" t="s">
        <v>40</v>
      </c>
      <c r="AA240" s="359" t="s">
        <v>796</v>
      </c>
      <c r="AB240" s="360">
        <v>0</v>
      </c>
      <c r="AC240" s="362">
        <v>46258</v>
      </c>
      <c r="AD240" s="326">
        <v>46265</v>
      </c>
      <c r="AE240" s="327" t="s">
        <v>40</v>
      </c>
      <c r="AF240" s="365" t="s">
        <v>795</v>
      </c>
      <c r="AG240" s="366">
        <v>0</v>
      </c>
      <c r="AH240" s="368">
        <v>46266</v>
      </c>
      <c r="AI240" s="368">
        <v>46269</v>
      </c>
      <c r="AJ240" s="369" t="s">
        <v>165</v>
      </c>
      <c r="AK240" s="373" t="s">
        <v>795</v>
      </c>
      <c r="AL240" s="370">
        <v>0</v>
      </c>
    </row>
    <row r="241" spans="1:38">
      <c r="A241" s="292" t="s">
        <v>670</v>
      </c>
      <c r="B241" s="300" t="s">
        <v>920</v>
      </c>
      <c r="C241" s="299">
        <v>1</v>
      </c>
      <c r="D241" s="149">
        <v>46195</v>
      </c>
      <c r="E241" s="149">
        <v>46200</v>
      </c>
      <c r="F241" s="341" t="s">
        <v>40</v>
      </c>
      <c r="G241" s="308" t="s">
        <v>792</v>
      </c>
      <c r="H241" s="372">
        <v>0</v>
      </c>
      <c r="I241" s="169">
        <v>46210</v>
      </c>
      <c r="J241" s="342">
        <v>46218</v>
      </c>
      <c r="K241" s="344" t="s">
        <v>40</v>
      </c>
      <c r="L241" s="344" t="s">
        <v>793</v>
      </c>
      <c r="M241" s="346">
        <v>0</v>
      </c>
      <c r="N241" s="347">
        <v>46219</v>
      </c>
      <c r="O241" s="347">
        <v>46231</v>
      </c>
      <c r="P241" s="349" t="s">
        <v>40</v>
      </c>
      <c r="Q241" s="349" t="s">
        <v>794</v>
      </c>
      <c r="R241" s="350">
        <v>0</v>
      </c>
      <c r="S241" s="352">
        <v>46239</v>
      </c>
      <c r="T241" s="352">
        <v>46246</v>
      </c>
      <c r="U241" s="354" t="s">
        <v>40</v>
      </c>
      <c r="V241" s="354" t="s">
        <v>795</v>
      </c>
      <c r="W241" s="355">
        <v>0</v>
      </c>
      <c r="X241" s="357">
        <v>46247</v>
      </c>
      <c r="Y241" s="357">
        <v>46249</v>
      </c>
      <c r="Z241" s="359" t="s">
        <v>40</v>
      </c>
      <c r="AA241" s="359" t="s">
        <v>796</v>
      </c>
      <c r="AB241" s="360">
        <v>0</v>
      </c>
      <c r="AC241" s="362">
        <v>46258</v>
      </c>
      <c r="AD241" s="326">
        <v>46265</v>
      </c>
      <c r="AE241" s="327" t="s">
        <v>40</v>
      </c>
      <c r="AF241" s="365" t="s">
        <v>795</v>
      </c>
      <c r="AG241" s="366">
        <v>0</v>
      </c>
      <c r="AH241" s="368">
        <v>46266</v>
      </c>
      <c r="AI241" s="368">
        <v>46269</v>
      </c>
      <c r="AJ241" s="369" t="s">
        <v>165</v>
      </c>
      <c r="AK241" s="373" t="s">
        <v>795</v>
      </c>
      <c r="AL241" s="370">
        <v>0</v>
      </c>
    </row>
    <row r="242" spans="1:38">
      <c r="A242" s="292" t="s">
        <v>670</v>
      </c>
      <c r="B242" s="300" t="s">
        <v>921</v>
      </c>
      <c r="C242" s="299">
        <v>1</v>
      </c>
      <c r="D242" s="149">
        <v>46195</v>
      </c>
      <c r="E242" s="149">
        <v>46200</v>
      </c>
      <c r="F242" s="341" t="s">
        <v>40</v>
      </c>
      <c r="G242" s="308" t="s">
        <v>792</v>
      </c>
      <c r="H242" s="372">
        <v>0</v>
      </c>
      <c r="I242" s="169">
        <v>46210</v>
      </c>
      <c r="J242" s="342">
        <v>46218</v>
      </c>
      <c r="K242" s="344" t="s">
        <v>40</v>
      </c>
      <c r="L242" s="344" t="s">
        <v>793</v>
      </c>
      <c r="M242" s="346">
        <v>0</v>
      </c>
      <c r="N242" s="347">
        <v>46219</v>
      </c>
      <c r="O242" s="347">
        <v>46231</v>
      </c>
      <c r="P242" s="349" t="s">
        <v>40</v>
      </c>
      <c r="Q242" s="349" t="s">
        <v>794</v>
      </c>
      <c r="R242" s="350">
        <v>0</v>
      </c>
      <c r="S242" s="352">
        <v>46239</v>
      </c>
      <c r="T242" s="352">
        <v>46246</v>
      </c>
      <c r="U242" s="354" t="s">
        <v>40</v>
      </c>
      <c r="V242" s="354" t="s">
        <v>795</v>
      </c>
      <c r="W242" s="355">
        <v>0</v>
      </c>
      <c r="X242" s="357">
        <v>46247</v>
      </c>
      <c r="Y242" s="357">
        <v>46249</v>
      </c>
      <c r="Z242" s="359" t="s">
        <v>40</v>
      </c>
      <c r="AA242" s="359" t="s">
        <v>796</v>
      </c>
      <c r="AB242" s="360">
        <v>0</v>
      </c>
      <c r="AC242" s="362">
        <v>46258</v>
      </c>
      <c r="AD242" s="326">
        <v>46265</v>
      </c>
      <c r="AE242" s="327" t="s">
        <v>40</v>
      </c>
      <c r="AF242" s="365" t="s">
        <v>795</v>
      </c>
      <c r="AG242" s="366">
        <v>0</v>
      </c>
      <c r="AH242" s="368">
        <v>46266</v>
      </c>
      <c r="AI242" s="368">
        <v>46269</v>
      </c>
      <c r="AJ242" s="369" t="s">
        <v>165</v>
      </c>
      <c r="AK242" s="373" t="s">
        <v>795</v>
      </c>
      <c r="AL242" s="370">
        <v>0</v>
      </c>
    </row>
    <row r="243" spans="1:38">
      <c r="A243" s="292" t="s">
        <v>670</v>
      </c>
      <c r="B243" s="300" t="s">
        <v>922</v>
      </c>
      <c r="C243" s="299">
        <v>1</v>
      </c>
      <c r="D243" s="149">
        <v>46195</v>
      </c>
      <c r="E243" s="149">
        <v>46200</v>
      </c>
      <c r="F243" s="341" t="s">
        <v>40</v>
      </c>
      <c r="G243" s="308" t="s">
        <v>792</v>
      </c>
      <c r="H243" s="372">
        <v>0</v>
      </c>
      <c r="I243" s="169">
        <v>46210</v>
      </c>
      <c r="J243" s="342">
        <v>46218</v>
      </c>
      <c r="K243" s="344" t="s">
        <v>40</v>
      </c>
      <c r="L243" s="344" t="s">
        <v>793</v>
      </c>
      <c r="M243" s="346">
        <v>0</v>
      </c>
      <c r="N243" s="347">
        <v>46219</v>
      </c>
      <c r="O243" s="347">
        <v>46231</v>
      </c>
      <c r="P243" s="349" t="s">
        <v>40</v>
      </c>
      <c r="Q243" s="349" t="s">
        <v>794</v>
      </c>
      <c r="R243" s="350">
        <v>0</v>
      </c>
      <c r="S243" s="352">
        <v>46239</v>
      </c>
      <c r="T243" s="352">
        <v>46246</v>
      </c>
      <c r="U243" s="354" t="s">
        <v>40</v>
      </c>
      <c r="V243" s="354" t="s">
        <v>795</v>
      </c>
      <c r="W243" s="355">
        <v>0</v>
      </c>
      <c r="X243" s="357">
        <v>46247</v>
      </c>
      <c r="Y243" s="357">
        <v>46249</v>
      </c>
      <c r="Z243" s="359" t="s">
        <v>40</v>
      </c>
      <c r="AA243" s="359" t="s">
        <v>796</v>
      </c>
      <c r="AB243" s="360">
        <v>0</v>
      </c>
      <c r="AC243" s="362">
        <v>46258</v>
      </c>
      <c r="AD243" s="326">
        <v>46265</v>
      </c>
      <c r="AE243" s="327" t="s">
        <v>40</v>
      </c>
      <c r="AF243" s="365" t="s">
        <v>795</v>
      </c>
      <c r="AG243" s="366">
        <v>0</v>
      </c>
      <c r="AH243" s="368">
        <v>46266</v>
      </c>
      <c r="AI243" s="368">
        <v>46269</v>
      </c>
      <c r="AJ243" s="369" t="s">
        <v>165</v>
      </c>
      <c r="AK243" s="373" t="s">
        <v>795</v>
      </c>
      <c r="AL243" s="370">
        <v>0</v>
      </c>
    </row>
    <row r="244" spans="1:38">
      <c r="A244" s="292" t="s">
        <v>670</v>
      </c>
      <c r="B244" s="300" t="s">
        <v>923</v>
      </c>
      <c r="C244" s="299">
        <v>1</v>
      </c>
      <c r="D244" s="149">
        <v>46195</v>
      </c>
      <c r="E244" s="149">
        <v>46200</v>
      </c>
      <c r="F244" s="341" t="s">
        <v>40</v>
      </c>
      <c r="G244" s="308" t="s">
        <v>792</v>
      </c>
      <c r="H244" s="372">
        <v>0</v>
      </c>
      <c r="I244" s="169">
        <v>46210</v>
      </c>
      <c r="J244" s="342">
        <v>46218</v>
      </c>
      <c r="K244" s="344" t="s">
        <v>40</v>
      </c>
      <c r="L244" s="344" t="s">
        <v>793</v>
      </c>
      <c r="M244" s="346">
        <v>0</v>
      </c>
      <c r="N244" s="347">
        <v>46219</v>
      </c>
      <c r="O244" s="347">
        <v>46231</v>
      </c>
      <c r="P244" s="349" t="s">
        <v>40</v>
      </c>
      <c r="Q244" s="349" t="s">
        <v>794</v>
      </c>
      <c r="R244" s="350">
        <v>0</v>
      </c>
      <c r="S244" s="352">
        <v>46239</v>
      </c>
      <c r="T244" s="352">
        <v>46246</v>
      </c>
      <c r="U244" s="354" t="s">
        <v>40</v>
      </c>
      <c r="V244" s="354" t="s">
        <v>795</v>
      </c>
      <c r="W244" s="355">
        <v>0</v>
      </c>
      <c r="X244" s="357">
        <v>46247</v>
      </c>
      <c r="Y244" s="357">
        <v>46249</v>
      </c>
      <c r="Z244" s="359" t="s">
        <v>40</v>
      </c>
      <c r="AA244" s="359" t="s">
        <v>796</v>
      </c>
      <c r="AB244" s="360">
        <v>0</v>
      </c>
      <c r="AC244" s="362">
        <v>46258</v>
      </c>
      <c r="AD244" s="326">
        <v>46265</v>
      </c>
      <c r="AE244" s="327" t="s">
        <v>40</v>
      </c>
      <c r="AF244" s="365" t="s">
        <v>795</v>
      </c>
      <c r="AG244" s="366">
        <v>0</v>
      </c>
      <c r="AH244" s="368">
        <v>46266</v>
      </c>
      <c r="AI244" s="368">
        <v>46269</v>
      </c>
      <c r="AJ244" s="369" t="s">
        <v>165</v>
      </c>
      <c r="AK244" s="373" t="s">
        <v>795</v>
      </c>
      <c r="AL244" s="370">
        <v>0</v>
      </c>
    </row>
    <row r="245" spans="1:38">
      <c r="A245" s="292" t="s">
        <v>670</v>
      </c>
      <c r="B245" s="300" t="s">
        <v>924</v>
      </c>
      <c r="C245" s="299">
        <v>1</v>
      </c>
      <c r="D245" s="149">
        <v>46195</v>
      </c>
      <c r="E245" s="149">
        <v>46200</v>
      </c>
      <c r="F245" s="341" t="s">
        <v>40</v>
      </c>
      <c r="G245" s="308" t="s">
        <v>792</v>
      </c>
      <c r="H245" s="372">
        <v>0</v>
      </c>
      <c r="I245" s="169">
        <v>46210</v>
      </c>
      <c r="J245" s="342">
        <v>46218</v>
      </c>
      <c r="K245" s="344" t="s">
        <v>40</v>
      </c>
      <c r="L245" s="344" t="s">
        <v>793</v>
      </c>
      <c r="M245" s="346">
        <v>0</v>
      </c>
      <c r="N245" s="347">
        <v>46219</v>
      </c>
      <c r="O245" s="347">
        <v>46231</v>
      </c>
      <c r="P245" s="349" t="s">
        <v>40</v>
      </c>
      <c r="Q245" s="349" t="s">
        <v>794</v>
      </c>
      <c r="R245" s="350">
        <v>0</v>
      </c>
      <c r="S245" s="352">
        <v>46239</v>
      </c>
      <c r="T245" s="352">
        <v>46246</v>
      </c>
      <c r="U245" s="354" t="s">
        <v>40</v>
      </c>
      <c r="V245" s="354" t="s">
        <v>795</v>
      </c>
      <c r="W245" s="355">
        <v>0</v>
      </c>
      <c r="X245" s="357">
        <v>46247</v>
      </c>
      <c r="Y245" s="357">
        <v>46249</v>
      </c>
      <c r="Z245" s="359" t="s">
        <v>40</v>
      </c>
      <c r="AA245" s="359" t="s">
        <v>796</v>
      </c>
      <c r="AB245" s="360">
        <v>0</v>
      </c>
      <c r="AC245" s="362">
        <v>46258</v>
      </c>
      <c r="AD245" s="326">
        <v>46265</v>
      </c>
      <c r="AE245" s="327" t="s">
        <v>40</v>
      </c>
      <c r="AF245" s="365" t="s">
        <v>795</v>
      </c>
      <c r="AG245" s="366">
        <v>0</v>
      </c>
      <c r="AH245" s="368">
        <v>46266</v>
      </c>
      <c r="AI245" s="368">
        <v>46269</v>
      </c>
      <c r="AJ245" s="369" t="s">
        <v>165</v>
      </c>
      <c r="AK245" s="373" t="s">
        <v>795</v>
      </c>
      <c r="AL245" s="370">
        <v>0</v>
      </c>
    </row>
    <row r="246" spans="1:38">
      <c r="A246" s="292" t="s">
        <v>670</v>
      </c>
      <c r="B246" s="300" t="s">
        <v>925</v>
      </c>
      <c r="C246" s="299">
        <v>1</v>
      </c>
      <c r="D246" s="149">
        <v>46195</v>
      </c>
      <c r="E246" s="149">
        <v>46200</v>
      </c>
      <c r="F246" s="341" t="s">
        <v>40</v>
      </c>
      <c r="G246" s="308" t="s">
        <v>792</v>
      </c>
      <c r="H246" s="372">
        <v>0</v>
      </c>
      <c r="I246" s="169">
        <v>46210</v>
      </c>
      <c r="J246" s="342">
        <v>46218</v>
      </c>
      <c r="K246" s="344" t="s">
        <v>40</v>
      </c>
      <c r="L246" s="344" t="s">
        <v>793</v>
      </c>
      <c r="M246" s="346">
        <v>0</v>
      </c>
      <c r="N246" s="347">
        <v>46219</v>
      </c>
      <c r="O246" s="347">
        <v>46231</v>
      </c>
      <c r="P246" s="349" t="s">
        <v>40</v>
      </c>
      <c r="Q246" s="349" t="s">
        <v>794</v>
      </c>
      <c r="R246" s="350">
        <v>0</v>
      </c>
      <c r="S246" s="352">
        <v>46239</v>
      </c>
      <c r="T246" s="352">
        <v>46246</v>
      </c>
      <c r="U246" s="354" t="s">
        <v>40</v>
      </c>
      <c r="V246" s="354" t="s">
        <v>795</v>
      </c>
      <c r="W246" s="355">
        <v>0</v>
      </c>
      <c r="X246" s="357">
        <v>46247</v>
      </c>
      <c r="Y246" s="357">
        <v>46249</v>
      </c>
      <c r="Z246" s="359" t="s">
        <v>40</v>
      </c>
      <c r="AA246" s="359" t="s">
        <v>796</v>
      </c>
      <c r="AB246" s="360">
        <v>0</v>
      </c>
      <c r="AC246" s="362">
        <v>46258</v>
      </c>
      <c r="AD246" s="326">
        <v>46265</v>
      </c>
      <c r="AE246" s="327" t="s">
        <v>40</v>
      </c>
      <c r="AF246" s="365" t="s">
        <v>795</v>
      </c>
      <c r="AG246" s="366">
        <v>0</v>
      </c>
      <c r="AH246" s="368">
        <v>46266</v>
      </c>
      <c r="AI246" s="368">
        <v>46269</v>
      </c>
      <c r="AJ246" s="369" t="s">
        <v>165</v>
      </c>
      <c r="AK246" s="373" t="s">
        <v>795</v>
      </c>
      <c r="AL246" s="370">
        <v>0</v>
      </c>
    </row>
    <row r="247" spans="1:38">
      <c r="A247" s="292" t="s">
        <v>670</v>
      </c>
      <c r="B247" s="300" t="s">
        <v>926</v>
      </c>
      <c r="C247" s="299">
        <v>1</v>
      </c>
      <c r="D247" s="149">
        <v>46195</v>
      </c>
      <c r="E247" s="149">
        <v>46200</v>
      </c>
      <c r="F247" s="341" t="s">
        <v>40</v>
      </c>
      <c r="G247" s="308" t="s">
        <v>792</v>
      </c>
      <c r="H247" s="372">
        <v>0</v>
      </c>
      <c r="I247" s="169">
        <v>46210</v>
      </c>
      <c r="J247" s="342">
        <v>46218</v>
      </c>
      <c r="K247" s="344" t="s">
        <v>40</v>
      </c>
      <c r="L247" s="344" t="s">
        <v>793</v>
      </c>
      <c r="M247" s="346">
        <v>0</v>
      </c>
      <c r="N247" s="347">
        <v>46219</v>
      </c>
      <c r="O247" s="347">
        <v>46231</v>
      </c>
      <c r="P247" s="349" t="s">
        <v>40</v>
      </c>
      <c r="Q247" s="349" t="s">
        <v>794</v>
      </c>
      <c r="R247" s="350">
        <v>0</v>
      </c>
      <c r="S247" s="352">
        <v>46239</v>
      </c>
      <c r="T247" s="352">
        <v>46246</v>
      </c>
      <c r="U247" s="354" t="s">
        <v>40</v>
      </c>
      <c r="V247" s="354" t="s">
        <v>795</v>
      </c>
      <c r="W247" s="355">
        <v>0</v>
      </c>
      <c r="X247" s="357">
        <v>46247</v>
      </c>
      <c r="Y247" s="357">
        <v>46249</v>
      </c>
      <c r="Z247" s="359" t="s">
        <v>40</v>
      </c>
      <c r="AA247" s="359" t="s">
        <v>796</v>
      </c>
      <c r="AB247" s="360">
        <v>0</v>
      </c>
      <c r="AC247" s="362">
        <v>46258</v>
      </c>
      <c r="AD247" s="326">
        <v>46265</v>
      </c>
      <c r="AE247" s="327" t="s">
        <v>40</v>
      </c>
      <c r="AF247" s="365" t="s">
        <v>795</v>
      </c>
      <c r="AG247" s="366">
        <v>0</v>
      </c>
      <c r="AH247" s="368">
        <v>46266</v>
      </c>
      <c r="AI247" s="368">
        <v>46269</v>
      </c>
      <c r="AJ247" s="369" t="s">
        <v>165</v>
      </c>
      <c r="AK247" s="373" t="s">
        <v>795</v>
      </c>
      <c r="AL247" s="370">
        <v>0</v>
      </c>
    </row>
    <row r="248" spans="1:38">
      <c r="A248" s="292" t="s">
        <v>670</v>
      </c>
      <c r="B248" s="300" t="s">
        <v>927</v>
      </c>
      <c r="C248" s="299">
        <v>1</v>
      </c>
      <c r="D248" s="149">
        <v>46195</v>
      </c>
      <c r="E248" s="149">
        <v>46200</v>
      </c>
      <c r="F248" s="341" t="s">
        <v>40</v>
      </c>
      <c r="G248" s="308" t="s">
        <v>792</v>
      </c>
      <c r="H248" s="372">
        <v>0</v>
      </c>
      <c r="I248" s="169">
        <v>46210</v>
      </c>
      <c r="J248" s="342">
        <v>46218</v>
      </c>
      <c r="K248" s="344" t="s">
        <v>40</v>
      </c>
      <c r="L248" s="344" t="s">
        <v>793</v>
      </c>
      <c r="M248" s="346">
        <v>0</v>
      </c>
      <c r="N248" s="347">
        <v>46219</v>
      </c>
      <c r="O248" s="347">
        <v>46231</v>
      </c>
      <c r="P248" s="349" t="s">
        <v>40</v>
      </c>
      <c r="Q248" s="349" t="s">
        <v>794</v>
      </c>
      <c r="R248" s="350">
        <v>0</v>
      </c>
      <c r="S248" s="352">
        <v>46239</v>
      </c>
      <c r="T248" s="352">
        <v>46246</v>
      </c>
      <c r="U248" s="354" t="s">
        <v>40</v>
      </c>
      <c r="V248" s="354" t="s">
        <v>795</v>
      </c>
      <c r="W248" s="355">
        <v>0</v>
      </c>
      <c r="X248" s="357">
        <v>46247</v>
      </c>
      <c r="Y248" s="357">
        <v>46249</v>
      </c>
      <c r="Z248" s="359" t="s">
        <v>40</v>
      </c>
      <c r="AA248" s="359" t="s">
        <v>796</v>
      </c>
      <c r="AB248" s="360">
        <v>0</v>
      </c>
      <c r="AC248" s="362">
        <v>46258</v>
      </c>
      <c r="AD248" s="326">
        <v>46265</v>
      </c>
      <c r="AE248" s="327" t="s">
        <v>40</v>
      </c>
      <c r="AF248" s="365" t="s">
        <v>795</v>
      </c>
      <c r="AG248" s="366">
        <v>0</v>
      </c>
      <c r="AH248" s="368">
        <v>46266</v>
      </c>
      <c r="AI248" s="368">
        <v>46269</v>
      </c>
      <c r="AJ248" s="369" t="s">
        <v>165</v>
      </c>
      <c r="AK248" s="373" t="s">
        <v>795</v>
      </c>
      <c r="AL248" s="370">
        <v>0</v>
      </c>
    </row>
    <row r="249" spans="1:38">
      <c r="A249" s="292" t="s">
        <v>670</v>
      </c>
      <c r="B249" s="300" t="s">
        <v>928</v>
      </c>
      <c r="C249" s="299">
        <v>1</v>
      </c>
      <c r="D249" s="149">
        <v>46195</v>
      </c>
      <c r="E249" s="149">
        <v>46200</v>
      </c>
      <c r="F249" s="341" t="s">
        <v>40</v>
      </c>
      <c r="G249" s="308" t="s">
        <v>792</v>
      </c>
      <c r="H249" s="372">
        <v>0</v>
      </c>
      <c r="I249" s="169">
        <v>46210</v>
      </c>
      <c r="J249" s="342">
        <v>46218</v>
      </c>
      <c r="K249" s="344" t="s">
        <v>40</v>
      </c>
      <c r="L249" s="344" t="s">
        <v>793</v>
      </c>
      <c r="M249" s="346">
        <v>0</v>
      </c>
      <c r="N249" s="347">
        <v>46219</v>
      </c>
      <c r="O249" s="347">
        <v>46231</v>
      </c>
      <c r="P249" s="349" t="s">
        <v>40</v>
      </c>
      <c r="Q249" s="349" t="s">
        <v>794</v>
      </c>
      <c r="R249" s="350">
        <v>0</v>
      </c>
      <c r="S249" s="352">
        <v>46239</v>
      </c>
      <c r="T249" s="352">
        <v>46246</v>
      </c>
      <c r="U249" s="354" t="s">
        <v>40</v>
      </c>
      <c r="V249" s="354" t="s">
        <v>795</v>
      </c>
      <c r="W249" s="355">
        <v>0</v>
      </c>
      <c r="X249" s="357">
        <v>46247</v>
      </c>
      <c r="Y249" s="357">
        <v>46249</v>
      </c>
      <c r="Z249" s="359" t="s">
        <v>40</v>
      </c>
      <c r="AA249" s="359" t="s">
        <v>796</v>
      </c>
      <c r="AB249" s="360">
        <v>0</v>
      </c>
      <c r="AC249" s="362">
        <v>46258</v>
      </c>
      <c r="AD249" s="326">
        <v>46265</v>
      </c>
      <c r="AE249" s="327" t="s">
        <v>40</v>
      </c>
      <c r="AF249" s="365" t="s">
        <v>795</v>
      </c>
      <c r="AG249" s="366">
        <v>0</v>
      </c>
      <c r="AH249" s="368">
        <v>46266</v>
      </c>
      <c r="AI249" s="368">
        <v>46269</v>
      </c>
      <c r="AJ249" s="369" t="s">
        <v>165</v>
      </c>
      <c r="AK249" s="373" t="s">
        <v>795</v>
      </c>
      <c r="AL249" s="370">
        <v>0</v>
      </c>
    </row>
    <row r="250" spans="1:38">
      <c r="A250" s="292" t="s">
        <v>670</v>
      </c>
      <c r="B250" s="300" t="s">
        <v>929</v>
      </c>
      <c r="C250" s="299">
        <v>1</v>
      </c>
      <c r="D250" s="149">
        <v>46195</v>
      </c>
      <c r="E250" s="149">
        <v>46200</v>
      </c>
      <c r="F250" s="341" t="s">
        <v>40</v>
      </c>
      <c r="G250" s="308" t="s">
        <v>792</v>
      </c>
      <c r="H250" s="372">
        <v>0</v>
      </c>
      <c r="I250" s="169">
        <v>46210</v>
      </c>
      <c r="J250" s="342">
        <v>46218</v>
      </c>
      <c r="K250" s="344" t="s">
        <v>40</v>
      </c>
      <c r="L250" s="344" t="s">
        <v>793</v>
      </c>
      <c r="M250" s="346">
        <v>0</v>
      </c>
      <c r="N250" s="347">
        <v>46219</v>
      </c>
      <c r="O250" s="347">
        <v>46231</v>
      </c>
      <c r="P250" s="349" t="s">
        <v>40</v>
      </c>
      <c r="Q250" s="349" t="s">
        <v>794</v>
      </c>
      <c r="R250" s="350">
        <v>0</v>
      </c>
      <c r="S250" s="352">
        <v>46239</v>
      </c>
      <c r="T250" s="352">
        <v>46246</v>
      </c>
      <c r="U250" s="354" t="s">
        <v>40</v>
      </c>
      <c r="V250" s="354" t="s">
        <v>795</v>
      </c>
      <c r="W250" s="355">
        <v>0</v>
      </c>
      <c r="X250" s="357">
        <v>46247</v>
      </c>
      <c r="Y250" s="357">
        <v>46249</v>
      </c>
      <c r="Z250" s="359" t="s">
        <v>40</v>
      </c>
      <c r="AA250" s="359" t="s">
        <v>796</v>
      </c>
      <c r="AB250" s="360">
        <v>0</v>
      </c>
      <c r="AC250" s="362">
        <v>46258</v>
      </c>
      <c r="AD250" s="326">
        <v>46265</v>
      </c>
      <c r="AE250" s="327" t="s">
        <v>40</v>
      </c>
      <c r="AF250" s="365" t="s">
        <v>795</v>
      </c>
      <c r="AG250" s="366">
        <v>0</v>
      </c>
      <c r="AH250" s="368">
        <v>46266</v>
      </c>
      <c r="AI250" s="368">
        <v>46269</v>
      </c>
      <c r="AJ250" s="369" t="s">
        <v>165</v>
      </c>
      <c r="AK250" s="373" t="s">
        <v>795</v>
      </c>
      <c r="AL250" s="370">
        <v>0</v>
      </c>
    </row>
    <row r="251" spans="1:38">
      <c r="A251" s="292" t="s">
        <v>670</v>
      </c>
      <c r="B251" s="300" t="s">
        <v>930</v>
      </c>
      <c r="C251" s="299">
        <v>1</v>
      </c>
      <c r="D251" s="149">
        <v>46195</v>
      </c>
      <c r="E251" s="149">
        <v>46200</v>
      </c>
      <c r="F251" s="341" t="s">
        <v>40</v>
      </c>
      <c r="G251" s="308" t="s">
        <v>792</v>
      </c>
      <c r="H251" s="372">
        <v>0</v>
      </c>
      <c r="I251" s="169">
        <v>46210</v>
      </c>
      <c r="J251" s="342">
        <v>46218</v>
      </c>
      <c r="K251" s="344" t="s">
        <v>40</v>
      </c>
      <c r="L251" s="344" t="s">
        <v>793</v>
      </c>
      <c r="M251" s="346">
        <v>0</v>
      </c>
      <c r="N251" s="347">
        <v>46219</v>
      </c>
      <c r="O251" s="347">
        <v>46231</v>
      </c>
      <c r="P251" s="349" t="s">
        <v>40</v>
      </c>
      <c r="Q251" s="349" t="s">
        <v>794</v>
      </c>
      <c r="R251" s="350">
        <v>0</v>
      </c>
      <c r="S251" s="352">
        <v>46239</v>
      </c>
      <c r="T251" s="352">
        <v>46246</v>
      </c>
      <c r="U251" s="354" t="s">
        <v>40</v>
      </c>
      <c r="V251" s="354" t="s">
        <v>795</v>
      </c>
      <c r="W251" s="355">
        <v>0</v>
      </c>
      <c r="X251" s="357">
        <v>46247</v>
      </c>
      <c r="Y251" s="357">
        <v>46249</v>
      </c>
      <c r="Z251" s="359" t="s">
        <v>40</v>
      </c>
      <c r="AA251" s="359" t="s">
        <v>796</v>
      </c>
      <c r="AB251" s="360">
        <v>0</v>
      </c>
      <c r="AC251" s="362">
        <v>46258</v>
      </c>
      <c r="AD251" s="326">
        <v>46265</v>
      </c>
      <c r="AE251" s="327" t="s">
        <v>40</v>
      </c>
      <c r="AF251" s="365" t="s">
        <v>795</v>
      </c>
      <c r="AG251" s="366">
        <v>0</v>
      </c>
      <c r="AH251" s="368">
        <v>46266</v>
      </c>
      <c r="AI251" s="368">
        <v>46269</v>
      </c>
      <c r="AJ251" s="369" t="s">
        <v>165</v>
      </c>
      <c r="AK251" s="373" t="s">
        <v>795</v>
      </c>
      <c r="AL251" s="370">
        <v>0</v>
      </c>
    </row>
    <row r="252" spans="1:38">
      <c r="A252" s="292" t="s">
        <v>670</v>
      </c>
      <c r="B252" s="300" t="s">
        <v>931</v>
      </c>
      <c r="C252" s="299">
        <v>1</v>
      </c>
      <c r="D252" s="149">
        <v>46195</v>
      </c>
      <c r="E252" s="149">
        <v>46200</v>
      </c>
      <c r="F252" s="341" t="s">
        <v>40</v>
      </c>
      <c r="G252" s="308" t="s">
        <v>792</v>
      </c>
      <c r="H252" s="372">
        <v>0</v>
      </c>
      <c r="I252" s="169">
        <v>46210</v>
      </c>
      <c r="J252" s="342">
        <v>46218</v>
      </c>
      <c r="K252" s="344" t="s">
        <v>40</v>
      </c>
      <c r="L252" s="344" t="s">
        <v>793</v>
      </c>
      <c r="M252" s="346">
        <v>0</v>
      </c>
      <c r="N252" s="347">
        <v>46219</v>
      </c>
      <c r="O252" s="347">
        <v>46231</v>
      </c>
      <c r="P252" s="349" t="s">
        <v>40</v>
      </c>
      <c r="Q252" s="349" t="s">
        <v>794</v>
      </c>
      <c r="R252" s="350">
        <v>0</v>
      </c>
      <c r="S252" s="352">
        <v>46239</v>
      </c>
      <c r="T252" s="352">
        <v>46246</v>
      </c>
      <c r="U252" s="354" t="s">
        <v>40</v>
      </c>
      <c r="V252" s="354" t="s">
        <v>795</v>
      </c>
      <c r="W252" s="355">
        <v>0</v>
      </c>
      <c r="X252" s="357">
        <v>46247</v>
      </c>
      <c r="Y252" s="357">
        <v>46249</v>
      </c>
      <c r="Z252" s="359" t="s">
        <v>40</v>
      </c>
      <c r="AA252" s="359" t="s">
        <v>796</v>
      </c>
      <c r="AB252" s="360">
        <v>0</v>
      </c>
      <c r="AC252" s="362">
        <v>46258</v>
      </c>
      <c r="AD252" s="326">
        <v>46265</v>
      </c>
      <c r="AE252" s="327" t="s">
        <v>40</v>
      </c>
      <c r="AF252" s="365" t="s">
        <v>795</v>
      </c>
      <c r="AG252" s="366">
        <v>0</v>
      </c>
      <c r="AH252" s="368">
        <v>46266</v>
      </c>
      <c r="AI252" s="368">
        <v>46269</v>
      </c>
      <c r="AJ252" s="369" t="s">
        <v>165</v>
      </c>
      <c r="AK252" s="373" t="s">
        <v>795</v>
      </c>
      <c r="AL252" s="370">
        <v>0</v>
      </c>
    </row>
    <row r="253" spans="1:38">
      <c r="A253" s="292" t="s">
        <v>670</v>
      </c>
      <c r="B253" s="300" t="s">
        <v>932</v>
      </c>
      <c r="C253" s="299">
        <v>1</v>
      </c>
      <c r="D253" s="149">
        <v>46195</v>
      </c>
      <c r="E253" s="149">
        <v>46200</v>
      </c>
      <c r="F253" s="341" t="s">
        <v>40</v>
      </c>
      <c r="G253" s="308" t="s">
        <v>792</v>
      </c>
      <c r="H253" s="372">
        <v>0</v>
      </c>
      <c r="I253" s="169">
        <v>46210</v>
      </c>
      <c r="J253" s="342">
        <v>46218</v>
      </c>
      <c r="K253" s="344" t="s">
        <v>40</v>
      </c>
      <c r="L253" s="344" t="s">
        <v>793</v>
      </c>
      <c r="M253" s="346">
        <v>0</v>
      </c>
      <c r="N253" s="347">
        <v>46219</v>
      </c>
      <c r="O253" s="347">
        <v>46231</v>
      </c>
      <c r="P253" s="349" t="s">
        <v>40</v>
      </c>
      <c r="Q253" s="349" t="s">
        <v>794</v>
      </c>
      <c r="R253" s="350">
        <v>0</v>
      </c>
      <c r="S253" s="352">
        <v>46239</v>
      </c>
      <c r="T253" s="352">
        <v>46246</v>
      </c>
      <c r="U253" s="354" t="s">
        <v>40</v>
      </c>
      <c r="V253" s="354" t="s">
        <v>795</v>
      </c>
      <c r="W253" s="355">
        <v>0</v>
      </c>
      <c r="X253" s="357">
        <v>46247</v>
      </c>
      <c r="Y253" s="357">
        <v>46249</v>
      </c>
      <c r="Z253" s="359" t="s">
        <v>40</v>
      </c>
      <c r="AA253" s="359" t="s">
        <v>796</v>
      </c>
      <c r="AB253" s="360">
        <v>0</v>
      </c>
      <c r="AC253" s="362">
        <v>46258</v>
      </c>
      <c r="AD253" s="326">
        <v>46265</v>
      </c>
      <c r="AE253" s="327" t="s">
        <v>40</v>
      </c>
      <c r="AF253" s="365" t="s">
        <v>795</v>
      </c>
      <c r="AG253" s="366">
        <v>0</v>
      </c>
      <c r="AH253" s="368">
        <v>46266</v>
      </c>
      <c r="AI253" s="368">
        <v>46269</v>
      </c>
      <c r="AJ253" s="369" t="s">
        <v>165</v>
      </c>
      <c r="AK253" s="373" t="s">
        <v>795</v>
      </c>
      <c r="AL253" s="370">
        <v>0</v>
      </c>
    </row>
    <row r="254" spans="1:38">
      <c r="A254" s="292" t="s">
        <v>670</v>
      </c>
      <c r="B254" s="300" t="s">
        <v>933</v>
      </c>
      <c r="C254" s="299">
        <v>1</v>
      </c>
      <c r="D254" s="149">
        <v>46195</v>
      </c>
      <c r="E254" s="149">
        <v>46200</v>
      </c>
      <c r="F254" s="341" t="s">
        <v>40</v>
      </c>
      <c r="G254" s="308" t="s">
        <v>792</v>
      </c>
      <c r="H254" s="372">
        <v>0</v>
      </c>
      <c r="I254" s="169">
        <v>46210</v>
      </c>
      <c r="J254" s="342">
        <v>46218</v>
      </c>
      <c r="K254" s="344" t="s">
        <v>40</v>
      </c>
      <c r="L254" s="344" t="s">
        <v>793</v>
      </c>
      <c r="M254" s="346">
        <v>0</v>
      </c>
      <c r="N254" s="347">
        <v>46219</v>
      </c>
      <c r="O254" s="347">
        <v>46231</v>
      </c>
      <c r="P254" s="349" t="s">
        <v>40</v>
      </c>
      <c r="Q254" s="349" t="s">
        <v>794</v>
      </c>
      <c r="R254" s="350">
        <v>0</v>
      </c>
      <c r="S254" s="352">
        <v>46239</v>
      </c>
      <c r="T254" s="352">
        <v>46246</v>
      </c>
      <c r="U254" s="354" t="s">
        <v>40</v>
      </c>
      <c r="V254" s="354" t="s">
        <v>795</v>
      </c>
      <c r="W254" s="355">
        <v>0</v>
      </c>
      <c r="X254" s="357">
        <v>46247</v>
      </c>
      <c r="Y254" s="357">
        <v>46249</v>
      </c>
      <c r="Z254" s="359" t="s">
        <v>40</v>
      </c>
      <c r="AA254" s="359" t="s">
        <v>796</v>
      </c>
      <c r="AB254" s="360">
        <v>0</v>
      </c>
      <c r="AC254" s="362">
        <v>46258</v>
      </c>
      <c r="AD254" s="326">
        <v>46265</v>
      </c>
      <c r="AE254" s="327" t="s">
        <v>40</v>
      </c>
      <c r="AF254" s="365" t="s">
        <v>795</v>
      </c>
      <c r="AG254" s="366">
        <v>0</v>
      </c>
      <c r="AH254" s="368">
        <v>46266</v>
      </c>
      <c r="AI254" s="368">
        <v>46269</v>
      </c>
      <c r="AJ254" s="369" t="s">
        <v>165</v>
      </c>
      <c r="AK254" s="373" t="s">
        <v>795</v>
      </c>
      <c r="AL254" s="370">
        <v>0</v>
      </c>
    </row>
    <row r="255" spans="1:38">
      <c r="A255" s="292" t="s">
        <v>670</v>
      </c>
      <c r="B255" s="300" t="s">
        <v>934</v>
      </c>
      <c r="C255" s="299">
        <v>1</v>
      </c>
      <c r="D255" s="149">
        <v>46195</v>
      </c>
      <c r="E255" s="149">
        <v>46200</v>
      </c>
      <c r="F255" s="341" t="s">
        <v>40</v>
      </c>
      <c r="G255" s="308" t="s">
        <v>792</v>
      </c>
      <c r="H255" s="372">
        <v>0</v>
      </c>
      <c r="I255" s="169">
        <v>46210</v>
      </c>
      <c r="J255" s="342">
        <v>46218</v>
      </c>
      <c r="K255" s="344" t="s">
        <v>40</v>
      </c>
      <c r="L255" s="344" t="s">
        <v>793</v>
      </c>
      <c r="M255" s="346">
        <v>0</v>
      </c>
      <c r="N255" s="347">
        <v>46219</v>
      </c>
      <c r="O255" s="347">
        <v>46231</v>
      </c>
      <c r="P255" s="349" t="s">
        <v>40</v>
      </c>
      <c r="Q255" s="349" t="s">
        <v>794</v>
      </c>
      <c r="R255" s="350">
        <v>0</v>
      </c>
      <c r="S255" s="352">
        <v>46239</v>
      </c>
      <c r="T255" s="352">
        <v>46246</v>
      </c>
      <c r="U255" s="354" t="s">
        <v>40</v>
      </c>
      <c r="V255" s="354" t="s">
        <v>795</v>
      </c>
      <c r="W255" s="355">
        <v>0</v>
      </c>
      <c r="X255" s="357">
        <v>46247</v>
      </c>
      <c r="Y255" s="357">
        <v>46249</v>
      </c>
      <c r="Z255" s="359" t="s">
        <v>40</v>
      </c>
      <c r="AA255" s="359" t="s">
        <v>796</v>
      </c>
      <c r="AB255" s="360">
        <v>0</v>
      </c>
      <c r="AC255" s="362">
        <v>46258</v>
      </c>
      <c r="AD255" s="326">
        <v>46265</v>
      </c>
      <c r="AE255" s="327" t="s">
        <v>40</v>
      </c>
      <c r="AF255" s="365" t="s">
        <v>795</v>
      </c>
      <c r="AG255" s="366">
        <v>0</v>
      </c>
      <c r="AH255" s="368">
        <v>46266</v>
      </c>
      <c r="AI255" s="368">
        <v>46269</v>
      </c>
      <c r="AJ255" s="369" t="s">
        <v>165</v>
      </c>
      <c r="AK255" s="373" t="s">
        <v>795</v>
      </c>
      <c r="AL255" s="370">
        <v>0</v>
      </c>
    </row>
    <row r="256" spans="1:38">
      <c r="A256" s="292" t="s">
        <v>670</v>
      </c>
      <c r="B256" s="300" t="s">
        <v>935</v>
      </c>
      <c r="C256" s="299">
        <v>1</v>
      </c>
      <c r="D256" s="149">
        <v>46195</v>
      </c>
      <c r="E256" s="149">
        <v>46200</v>
      </c>
      <c r="F256" s="341" t="s">
        <v>40</v>
      </c>
      <c r="G256" s="308" t="s">
        <v>792</v>
      </c>
      <c r="H256" s="372">
        <v>0</v>
      </c>
      <c r="I256" s="169">
        <v>46210</v>
      </c>
      <c r="J256" s="342">
        <v>46218</v>
      </c>
      <c r="K256" s="344" t="s">
        <v>40</v>
      </c>
      <c r="L256" s="344" t="s">
        <v>793</v>
      </c>
      <c r="M256" s="346">
        <v>0</v>
      </c>
      <c r="N256" s="347">
        <v>46219</v>
      </c>
      <c r="O256" s="347">
        <v>46231</v>
      </c>
      <c r="P256" s="349" t="s">
        <v>40</v>
      </c>
      <c r="Q256" s="349" t="s">
        <v>794</v>
      </c>
      <c r="R256" s="350">
        <v>0</v>
      </c>
      <c r="S256" s="352">
        <v>46239</v>
      </c>
      <c r="T256" s="352">
        <v>46246</v>
      </c>
      <c r="U256" s="354" t="s">
        <v>40</v>
      </c>
      <c r="V256" s="354" t="s">
        <v>795</v>
      </c>
      <c r="W256" s="355">
        <v>0</v>
      </c>
      <c r="X256" s="357">
        <v>46247</v>
      </c>
      <c r="Y256" s="357">
        <v>46249</v>
      </c>
      <c r="Z256" s="359" t="s">
        <v>40</v>
      </c>
      <c r="AA256" s="359" t="s">
        <v>796</v>
      </c>
      <c r="AB256" s="360">
        <v>0</v>
      </c>
      <c r="AC256" s="362">
        <v>46258</v>
      </c>
      <c r="AD256" s="326">
        <v>46265</v>
      </c>
      <c r="AE256" s="327" t="s">
        <v>40</v>
      </c>
      <c r="AF256" s="365" t="s">
        <v>795</v>
      </c>
      <c r="AG256" s="366">
        <v>0</v>
      </c>
      <c r="AH256" s="368">
        <v>46266</v>
      </c>
      <c r="AI256" s="368">
        <v>46269</v>
      </c>
      <c r="AJ256" s="369" t="s">
        <v>165</v>
      </c>
      <c r="AK256" s="373" t="s">
        <v>795</v>
      </c>
      <c r="AL256" s="370">
        <v>0</v>
      </c>
    </row>
    <row r="257" spans="1:38">
      <c r="A257" s="292" t="s">
        <v>670</v>
      </c>
      <c r="B257" s="300" t="s">
        <v>936</v>
      </c>
      <c r="C257" s="299">
        <v>1</v>
      </c>
      <c r="D257" s="149">
        <v>46195</v>
      </c>
      <c r="E257" s="149">
        <v>46200</v>
      </c>
      <c r="F257" s="341" t="s">
        <v>40</v>
      </c>
      <c r="G257" s="308" t="s">
        <v>792</v>
      </c>
      <c r="H257" s="372">
        <v>0</v>
      </c>
      <c r="I257" s="169">
        <v>46210</v>
      </c>
      <c r="J257" s="342">
        <v>46218</v>
      </c>
      <c r="K257" s="344" t="s">
        <v>40</v>
      </c>
      <c r="L257" s="344" t="s">
        <v>793</v>
      </c>
      <c r="M257" s="346">
        <v>0</v>
      </c>
      <c r="N257" s="347">
        <v>46219</v>
      </c>
      <c r="O257" s="347">
        <v>46231</v>
      </c>
      <c r="P257" s="349" t="s">
        <v>40</v>
      </c>
      <c r="Q257" s="349" t="s">
        <v>794</v>
      </c>
      <c r="R257" s="350">
        <v>0</v>
      </c>
      <c r="S257" s="352">
        <v>46239</v>
      </c>
      <c r="T257" s="352">
        <v>46246</v>
      </c>
      <c r="U257" s="354" t="s">
        <v>40</v>
      </c>
      <c r="V257" s="354" t="s">
        <v>795</v>
      </c>
      <c r="W257" s="355">
        <v>0</v>
      </c>
      <c r="X257" s="357">
        <v>46247</v>
      </c>
      <c r="Y257" s="357">
        <v>46249</v>
      </c>
      <c r="Z257" s="359" t="s">
        <v>40</v>
      </c>
      <c r="AA257" s="359" t="s">
        <v>796</v>
      </c>
      <c r="AB257" s="360">
        <v>0</v>
      </c>
      <c r="AC257" s="362">
        <v>46258</v>
      </c>
      <c r="AD257" s="326">
        <v>46265</v>
      </c>
      <c r="AE257" s="327" t="s">
        <v>40</v>
      </c>
      <c r="AF257" s="365" t="s">
        <v>795</v>
      </c>
      <c r="AG257" s="366">
        <v>0</v>
      </c>
      <c r="AH257" s="368">
        <v>46266</v>
      </c>
      <c r="AI257" s="368">
        <v>46269</v>
      </c>
      <c r="AJ257" s="369" t="s">
        <v>165</v>
      </c>
      <c r="AK257" s="373" t="s">
        <v>795</v>
      </c>
      <c r="AL257" s="370">
        <v>0</v>
      </c>
    </row>
    <row r="258" spans="1:38">
      <c r="A258" s="292" t="s">
        <v>670</v>
      </c>
      <c r="B258" s="300" t="s">
        <v>937</v>
      </c>
      <c r="C258" s="299">
        <v>1</v>
      </c>
      <c r="D258" s="149">
        <v>46195</v>
      </c>
      <c r="E258" s="149">
        <v>46200</v>
      </c>
      <c r="F258" s="341" t="s">
        <v>40</v>
      </c>
      <c r="G258" s="308" t="s">
        <v>792</v>
      </c>
      <c r="H258" s="372">
        <v>0</v>
      </c>
      <c r="I258" s="169">
        <v>46210</v>
      </c>
      <c r="J258" s="342">
        <v>46218</v>
      </c>
      <c r="K258" s="344" t="s">
        <v>40</v>
      </c>
      <c r="L258" s="344" t="s">
        <v>793</v>
      </c>
      <c r="M258" s="346">
        <v>0</v>
      </c>
      <c r="N258" s="347">
        <v>46219</v>
      </c>
      <c r="O258" s="347">
        <v>46231</v>
      </c>
      <c r="P258" s="349" t="s">
        <v>40</v>
      </c>
      <c r="Q258" s="349" t="s">
        <v>794</v>
      </c>
      <c r="R258" s="350">
        <v>0</v>
      </c>
      <c r="S258" s="352">
        <v>46239</v>
      </c>
      <c r="T258" s="352">
        <v>46246</v>
      </c>
      <c r="U258" s="354" t="s">
        <v>40</v>
      </c>
      <c r="V258" s="354" t="s">
        <v>795</v>
      </c>
      <c r="W258" s="355">
        <v>0</v>
      </c>
      <c r="X258" s="357">
        <v>46247</v>
      </c>
      <c r="Y258" s="357">
        <v>46249</v>
      </c>
      <c r="Z258" s="359" t="s">
        <v>40</v>
      </c>
      <c r="AA258" s="359" t="s">
        <v>796</v>
      </c>
      <c r="AB258" s="360">
        <v>0</v>
      </c>
      <c r="AC258" s="362">
        <v>46258</v>
      </c>
      <c r="AD258" s="326">
        <v>46265</v>
      </c>
      <c r="AE258" s="327" t="s">
        <v>40</v>
      </c>
      <c r="AF258" s="365" t="s">
        <v>795</v>
      </c>
      <c r="AG258" s="366">
        <v>0</v>
      </c>
      <c r="AH258" s="368">
        <v>46266</v>
      </c>
      <c r="AI258" s="368">
        <v>46269</v>
      </c>
      <c r="AJ258" s="369" t="s">
        <v>165</v>
      </c>
      <c r="AK258" s="373" t="s">
        <v>795</v>
      </c>
      <c r="AL258" s="370">
        <v>0</v>
      </c>
    </row>
    <row r="259" spans="1:38">
      <c r="A259" s="292" t="s">
        <v>670</v>
      </c>
      <c r="B259" s="300" t="s">
        <v>938</v>
      </c>
      <c r="C259" s="299">
        <v>1</v>
      </c>
      <c r="D259" s="149">
        <v>46195</v>
      </c>
      <c r="E259" s="149">
        <v>46200</v>
      </c>
      <c r="F259" s="341" t="s">
        <v>40</v>
      </c>
      <c r="G259" s="308" t="s">
        <v>792</v>
      </c>
      <c r="H259" s="372">
        <v>0</v>
      </c>
      <c r="I259" s="169">
        <v>46210</v>
      </c>
      <c r="J259" s="342">
        <v>46218</v>
      </c>
      <c r="K259" s="344" t="s">
        <v>40</v>
      </c>
      <c r="L259" s="344" t="s">
        <v>793</v>
      </c>
      <c r="M259" s="346">
        <v>0</v>
      </c>
      <c r="N259" s="347">
        <v>46219</v>
      </c>
      <c r="O259" s="347">
        <v>46231</v>
      </c>
      <c r="P259" s="349" t="s">
        <v>40</v>
      </c>
      <c r="Q259" s="349" t="s">
        <v>794</v>
      </c>
      <c r="R259" s="350">
        <v>0</v>
      </c>
      <c r="S259" s="352">
        <v>46239</v>
      </c>
      <c r="T259" s="352">
        <v>46246</v>
      </c>
      <c r="U259" s="354" t="s">
        <v>40</v>
      </c>
      <c r="V259" s="354" t="s">
        <v>795</v>
      </c>
      <c r="W259" s="355">
        <v>0</v>
      </c>
      <c r="X259" s="357">
        <v>46247</v>
      </c>
      <c r="Y259" s="357">
        <v>46249</v>
      </c>
      <c r="Z259" s="359" t="s">
        <v>40</v>
      </c>
      <c r="AA259" s="359" t="s">
        <v>796</v>
      </c>
      <c r="AB259" s="360">
        <v>0</v>
      </c>
      <c r="AC259" s="362">
        <v>46258</v>
      </c>
      <c r="AD259" s="326">
        <v>46265</v>
      </c>
      <c r="AE259" s="327" t="s">
        <v>40</v>
      </c>
      <c r="AF259" s="365" t="s">
        <v>795</v>
      </c>
      <c r="AG259" s="366">
        <v>0</v>
      </c>
      <c r="AH259" s="368">
        <v>46266</v>
      </c>
      <c r="AI259" s="368">
        <v>46269</v>
      </c>
      <c r="AJ259" s="369" t="s">
        <v>165</v>
      </c>
      <c r="AK259" s="373" t="s">
        <v>795</v>
      </c>
      <c r="AL259" s="370">
        <v>0</v>
      </c>
    </row>
    <row r="260" spans="1:38">
      <c r="A260" s="292" t="s">
        <v>670</v>
      </c>
      <c r="B260" s="300" t="s">
        <v>939</v>
      </c>
      <c r="C260" s="299">
        <v>1</v>
      </c>
      <c r="D260" s="149">
        <v>46195</v>
      </c>
      <c r="E260" s="149">
        <v>46200</v>
      </c>
      <c r="F260" s="341" t="s">
        <v>40</v>
      </c>
      <c r="G260" s="308" t="s">
        <v>792</v>
      </c>
      <c r="H260" s="372">
        <v>0</v>
      </c>
      <c r="I260" s="169">
        <v>46210</v>
      </c>
      <c r="J260" s="342">
        <v>46218</v>
      </c>
      <c r="K260" s="344" t="s">
        <v>40</v>
      </c>
      <c r="L260" s="344" t="s">
        <v>793</v>
      </c>
      <c r="M260" s="346">
        <v>0</v>
      </c>
      <c r="N260" s="347">
        <v>46219</v>
      </c>
      <c r="O260" s="347">
        <v>46231</v>
      </c>
      <c r="P260" s="349" t="s">
        <v>40</v>
      </c>
      <c r="Q260" s="349" t="s">
        <v>794</v>
      </c>
      <c r="R260" s="350">
        <v>0</v>
      </c>
      <c r="S260" s="352">
        <v>46239</v>
      </c>
      <c r="T260" s="352">
        <v>46246</v>
      </c>
      <c r="U260" s="354" t="s">
        <v>40</v>
      </c>
      <c r="V260" s="354" t="s">
        <v>795</v>
      </c>
      <c r="W260" s="355">
        <v>0</v>
      </c>
      <c r="X260" s="357">
        <v>46247</v>
      </c>
      <c r="Y260" s="357">
        <v>46249</v>
      </c>
      <c r="Z260" s="359" t="s">
        <v>40</v>
      </c>
      <c r="AA260" s="359" t="s">
        <v>796</v>
      </c>
      <c r="AB260" s="360">
        <v>0</v>
      </c>
      <c r="AC260" s="362">
        <v>46258</v>
      </c>
      <c r="AD260" s="326">
        <v>46265</v>
      </c>
      <c r="AE260" s="327" t="s">
        <v>40</v>
      </c>
      <c r="AF260" s="365" t="s">
        <v>795</v>
      </c>
      <c r="AG260" s="366">
        <v>0</v>
      </c>
      <c r="AH260" s="368">
        <v>46266</v>
      </c>
      <c r="AI260" s="368">
        <v>46269</v>
      </c>
      <c r="AJ260" s="369" t="s">
        <v>165</v>
      </c>
      <c r="AK260" s="373" t="s">
        <v>795</v>
      </c>
      <c r="AL260" s="370">
        <v>0</v>
      </c>
    </row>
    <row r="261" spans="1:38">
      <c r="A261" s="292" t="s">
        <v>670</v>
      </c>
      <c r="B261" s="300" t="s">
        <v>940</v>
      </c>
      <c r="C261" s="299">
        <v>1</v>
      </c>
      <c r="D261" s="149">
        <v>46195</v>
      </c>
      <c r="E261" s="149">
        <v>46200</v>
      </c>
      <c r="F261" s="341" t="s">
        <v>40</v>
      </c>
      <c r="G261" s="308" t="s">
        <v>792</v>
      </c>
      <c r="H261" s="372">
        <v>0</v>
      </c>
      <c r="I261" s="169">
        <v>46210</v>
      </c>
      <c r="J261" s="342">
        <v>46218</v>
      </c>
      <c r="K261" s="344" t="s">
        <v>40</v>
      </c>
      <c r="L261" s="344" t="s">
        <v>793</v>
      </c>
      <c r="M261" s="346">
        <v>0</v>
      </c>
      <c r="N261" s="347">
        <v>46219</v>
      </c>
      <c r="O261" s="347">
        <v>46231</v>
      </c>
      <c r="P261" s="349" t="s">
        <v>40</v>
      </c>
      <c r="Q261" s="349" t="s">
        <v>794</v>
      </c>
      <c r="R261" s="350">
        <v>0</v>
      </c>
      <c r="S261" s="352">
        <v>46239</v>
      </c>
      <c r="T261" s="352">
        <v>46246</v>
      </c>
      <c r="U261" s="354" t="s">
        <v>40</v>
      </c>
      <c r="V261" s="354" t="s">
        <v>795</v>
      </c>
      <c r="W261" s="355">
        <v>0</v>
      </c>
      <c r="X261" s="357">
        <v>46247</v>
      </c>
      <c r="Y261" s="357">
        <v>46249</v>
      </c>
      <c r="Z261" s="359" t="s">
        <v>40</v>
      </c>
      <c r="AA261" s="359" t="s">
        <v>796</v>
      </c>
      <c r="AB261" s="360">
        <v>0</v>
      </c>
      <c r="AC261" s="362">
        <v>46258</v>
      </c>
      <c r="AD261" s="326">
        <v>46265</v>
      </c>
      <c r="AE261" s="327" t="s">
        <v>40</v>
      </c>
      <c r="AF261" s="365" t="s">
        <v>795</v>
      </c>
      <c r="AG261" s="366">
        <v>0</v>
      </c>
      <c r="AH261" s="368">
        <v>46266</v>
      </c>
      <c r="AI261" s="368">
        <v>46269</v>
      </c>
      <c r="AJ261" s="369" t="s">
        <v>165</v>
      </c>
      <c r="AK261" s="373" t="s">
        <v>795</v>
      </c>
      <c r="AL261" s="370">
        <v>0</v>
      </c>
    </row>
    <row r="262" spans="1:38">
      <c r="A262" s="292" t="s">
        <v>670</v>
      </c>
      <c r="B262" s="300" t="s">
        <v>941</v>
      </c>
      <c r="C262" s="299">
        <v>1</v>
      </c>
      <c r="D262" s="149">
        <v>46195</v>
      </c>
      <c r="E262" s="149">
        <v>46200</v>
      </c>
      <c r="F262" s="341" t="s">
        <v>40</v>
      </c>
      <c r="G262" s="308" t="s">
        <v>792</v>
      </c>
      <c r="H262" s="372">
        <v>0</v>
      </c>
      <c r="I262" s="169">
        <v>46210</v>
      </c>
      <c r="J262" s="342">
        <v>46218</v>
      </c>
      <c r="K262" s="344" t="s">
        <v>40</v>
      </c>
      <c r="L262" s="344" t="s">
        <v>793</v>
      </c>
      <c r="M262" s="346">
        <v>0</v>
      </c>
      <c r="N262" s="347">
        <v>46219</v>
      </c>
      <c r="O262" s="347">
        <v>46231</v>
      </c>
      <c r="P262" s="349" t="s">
        <v>40</v>
      </c>
      <c r="Q262" s="349" t="s">
        <v>794</v>
      </c>
      <c r="R262" s="350">
        <v>0</v>
      </c>
      <c r="S262" s="352">
        <v>46239</v>
      </c>
      <c r="T262" s="352">
        <v>46246</v>
      </c>
      <c r="U262" s="354" t="s">
        <v>40</v>
      </c>
      <c r="V262" s="354" t="s">
        <v>795</v>
      </c>
      <c r="W262" s="355">
        <v>0</v>
      </c>
      <c r="X262" s="357">
        <v>46247</v>
      </c>
      <c r="Y262" s="357">
        <v>46249</v>
      </c>
      <c r="Z262" s="359" t="s">
        <v>40</v>
      </c>
      <c r="AA262" s="359" t="s">
        <v>796</v>
      </c>
      <c r="AB262" s="360">
        <v>0</v>
      </c>
      <c r="AC262" s="362">
        <v>46258</v>
      </c>
      <c r="AD262" s="326">
        <v>46265</v>
      </c>
      <c r="AE262" s="327" t="s">
        <v>40</v>
      </c>
      <c r="AF262" s="365" t="s">
        <v>795</v>
      </c>
      <c r="AG262" s="366">
        <v>0</v>
      </c>
      <c r="AH262" s="368">
        <v>46266</v>
      </c>
      <c r="AI262" s="368">
        <v>46269</v>
      </c>
      <c r="AJ262" s="369" t="s">
        <v>165</v>
      </c>
      <c r="AK262" s="373" t="s">
        <v>795</v>
      </c>
      <c r="AL262" s="370">
        <v>0</v>
      </c>
    </row>
    <row r="263" spans="1:38">
      <c r="A263" s="292" t="s">
        <v>670</v>
      </c>
      <c r="B263" s="300" t="s">
        <v>942</v>
      </c>
      <c r="C263" s="299">
        <v>1</v>
      </c>
      <c r="D263" s="149">
        <v>46195</v>
      </c>
      <c r="E263" s="149">
        <v>46200</v>
      </c>
      <c r="F263" s="341" t="s">
        <v>40</v>
      </c>
      <c r="G263" s="308" t="s">
        <v>792</v>
      </c>
      <c r="H263" s="372">
        <v>0</v>
      </c>
      <c r="I263" s="169">
        <v>46219</v>
      </c>
      <c r="J263" s="342">
        <v>46231</v>
      </c>
      <c r="K263" s="344" t="s">
        <v>40</v>
      </c>
      <c r="L263" s="344" t="s">
        <v>793</v>
      </c>
      <c r="M263" s="346">
        <v>0</v>
      </c>
      <c r="N263" s="347">
        <v>46219</v>
      </c>
      <c r="O263" s="347">
        <v>46231</v>
      </c>
      <c r="P263" s="349" t="s">
        <v>40</v>
      </c>
      <c r="Q263" s="349" t="s">
        <v>794</v>
      </c>
      <c r="R263" s="350">
        <v>0</v>
      </c>
      <c r="S263" s="352">
        <v>46239</v>
      </c>
      <c r="T263" s="352">
        <v>46246</v>
      </c>
      <c r="U263" s="354" t="s">
        <v>40</v>
      </c>
      <c r="V263" s="354" t="s">
        <v>795</v>
      </c>
      <c r="W263" s="355">
        <v>0</v>
      </c>
      <c r="X263" s="357">
        <v>46247</v>
      </c>
      <c r="Y263" s="357">
        <v>46249</v>
      </c>
      <c r="Z263" s="359" t="s">
        <v>40</v>
      </c>
      <c r="AA263" s="359" t="s">
        <v>796</v>
      </c>
      <c r="AB263" s="360">
        <v>0</v>
      </c>
      <c r="AC263" s="362">
        <v>46258</v>
      </c>
      <c r="AD263" s="326">
        <v>46265</v>
      </c>
      <c r="AE263" s="327" t="s">
        <v>40</v>
      </c>
      <c r="AF263" s="365" t="s">
        <v>795</v>
      </c>
      <c r="AG263" s="366">
        <v>0</v>
      </c>
      <c r="AH263" s="368">
        <v>46266</v>
      </c>
      <c r="AI263" s="368">
        <v>46269</v>
      </c>
      <c r="AJ263" s="369" t="s">
        <v>165</v>
      </c>
      <c r="AK263" s="373" t="s">
        <v>795</v>
      </c>
      <c r="AL263" s="370">
        <v>0</v>
      </c>
    </row>
    <row r="264" spans="1:38">
      <c r="A264" s="292" t="s">
        <v>670</v>
      </c>
      <c r="B264" s="300" t="s">
        <v>943</v>
      </c>
      <c r="C264" s="299">
        <v>1</v>
      </c>
      <c r="D264" s="149">
        <v>46195</v>
      </c>
      <c r="E264" s="149">
        <v>46200</v>
      </c>
      <c r="F264" s="341" t="s">
        <v>40</v>
      </c>
      <c r="G264" s="308" t="s">
        <v>792</v>
      </c>
      <c r="H264" s="372">
        <v>0</v>
      </c>
      <c r="I264" s="169">
        <v>46219</v>
      </c>
      <c r="J264" s="342">
        <v>46231</v>
      </c>
      <c r="K264" s="344" t="s">
        <v>40</v>
      </c>
      <c r="L264" s="344" t="s">
        <v>793</v>
      </c>
      <c r="M264" s="346">
        <v>0</v>
      </c>
      <c r="N264" s="347">
        <v>46219</v>
      </c>
      <c r="O264" s="347">
        <v>46231</v>
      </c>
      <c r="P264" s="349" t="s">
        <v>40</v>
      </c>
      <c r="Q264" s="349" t="s">
        <v>794</v>
      </c>
      <c r="R264" s="350">
        <v>0</v>
      </c>
      <c r="S264" s="352">
        <v>46239</v>
      </c>
      <c r="T264" s="352">
        <v>46246</v>
      </c>
      <c r="U264" s="354" t="s">
        <v>40</v>
      </c>
      <c r="V264" s="354" t="s">
        <v>795</v>
      </c>
      <c r="W264" s="355">
        <v>0</v>
      </c>
      <c r="X264" s="357">
        <v>46247</v>
      </c>
      <c r="Y264" s="357">
        <v>46249</v>
      </c>
      <c r="Z264" s="359" t="s">
        <v>40</v>
      </c>
      <c r="AA264" s="359" t="s">
        <v>796</v>
      </c>
      <c r="AB264" s="360">
        <v>0</v>
      </c>
      <c r="AC264" s="362">
        <v>46258</v>
      </c>
      <c r="AD264" s="326">
        <v>46265</v>
      </c>
      <c r="AE264" s="327" t="s">
        <v>40</v>
      </c>
      <c r="AF264" s="365" t="s">
        <v>795</v>
      </c>
      <c r="AG264" s="366">
        <v>0</v>
      </c>
      <c r="AH264" s="368">
        <v>46266</v>
      </c>
      <c r="AI264" s="368">
        <v>46269</v>
      </c>
      <c r="AJ264" s="369" t="s">
        <v>165</v>
      </c>
      <c r="AK264" s="373" t="s">
        <v>795</v>
      </c>
      <c r="AL264" s="370">
        <v>0</v>
      </c>
    </row>
    <row r="265" spans="1:38">
      <c r="A265" s="292" t="s">
        <v>670</v>
      </c>
      <c r="B265" s="300" t="s">
        <v>944</v>
      </c>
      <c r="C265" s="299">
        <v>1</v>
      </c>
      <c r="D265" s="149">
        <v>46195</v>
      </c>
      <c r="E265" s="149">
        <v>46200</v>
      </c>
      <c r="F265" s="341" t="s">
        <v>40</v>
      </c>
      <c r="G265" s="308" t="s">
        <v>792</v>
      </c>
      <c r="H265" s="372">
        <v>0</v>
      </c>
      <c r="I265" s="169">
        <v>46219</v>
      </c>
      <c r="J265" s="342">
        <v>46231</v>
      </c>
      <c r="K265" s="344" t="s">
        <v>40</v>
      </c>
      <c r="L265" s="344" t="s">
        <v>793</v>
      </c>
      <c r="M265" s="346">
        <v>0</v>
      </c>
      <c r="N265" s="347">
        <v>46219</v>
      </c>
      <c r="O265" s="347">
        <v>46231</v>
      </c>
      <c r="P265" s="349" t="s">
        <v>40</v>
      </c>
      <c r="Q265" s="349" t="s">
        <v>794</v>
      </c>
      <c r="R265" s="350">
        <v>0</v>
      </c>
      <c r="S265" s="352">
        <v>46239</v>
      </c>
      <c r="T265" s="352">
        <v>46246</v>
      </c>
      <c r="U265" s="354" t="s">
        <v>40</v>
      </c>
      <c r="V265" s="354" t="s">
        <v>795</v>
      </c>
      <c r="W265" s="355">
        <v>0</v>
      </c>
      <c r="X265" s="357">
        <v>46247</v>
      </c>
      <c r="Y265" s="357">
        <v>46249</v>
      </c>
      <c r="Z265" s="359" t="s">
        <v>40</v>
      </c>
      <c r="AA265" s="359" t="s">
        <v>796</v>
      </c>
      <c r="AB265" s="360">
        <v>0</v>
      </c>
      <c r="AC265" s="362">
        <v>46258</v>
      </c>
      <c r="AD265" s="326">
        <v>46265</v>
      </c>
      <c r="AE265" s="327" t="s">
        <v>40</v>
      </c>
      <c r="AF265" s="365" t="s">
        <v>795</v>
      </c>
      <c r="AG265" s="366">
        <v>0</v>
      </c>
      <c r="AH265" s="368">
        <v>46266</v>
      </c>
      <c r="AI265" s="368">
        <v>46269</v>
      </c>
      <c r="AJ265" s="369" t="s">
        <v>165</v>
      </c>
      <c r="AK265" s="373" t="s">
        <v>795</v>
      </c>
      <c r="AL265" s="370">
        <v>0</v>
      </c>
    </row>
    <row r="266" spans="1:38">
      <c r="A266" s="292" t="s">
        <v>670</v>
      </c>
      <c r="B266" s="300" t="s">
        <v>945</v>
      </c>
      <c r="C266" s="299">
        <v>1</v>
      </c>
      <c r="D266" s="149">
        <v>46195</v>
      </c>
      <c r="E266" s="149">
        <v>46200</v>
      </c>
      <c r="F266" s="341" t="s">
        <v>40</v>
      </c>
      <c r="G266" s="308" t="s">
        <v>792</v>
      </c>
      <c r="H266" s="372">
        <v>0</v>
      </c>
      <c r="I266" s="169">
        <v>46219</v>
      </c>
      <c r="J266" s="342">
        <v>46231</v>
      </c>
      <c r="K266" s="344" t="s">
        <v>40</v>
      </c>
      <c r="L266" s="344" t="s">
        <v>793</v>
      </c>
      <c r="M266" s="346">
        <v>0</v>
      </c>
      <c r="N266" s="347">
        <v>46219</v>
      </c>
      <c r="O266" s="347">
        <v>46231</v>
      </c>
      <c r="P266" s="349" t="s">
        <v>40</v>
      </c>
      <c r="Q266" s="349" t="s">
        <v>794</v>
      </c>
      <c r="R266" s="350">
        <v>0</v>
      </c>
      <c r="S266" s="352">
        <v>46239</v>
      </c>
      <c r="T266" s="352">
        <v>46246</v>
      </c>
      <c r="U266" s="354" t="s">
        <v>40</v>
      </c>
      <c r="V266" s="354" t="s">
        <v>795</v>
      </c>
      <c r="W266" s="355">
        <v>0</v>
      </c>
      <c r="X266" s="357">
        <v>46247</v>
      </c>
      <c r="Y266" s="357">
        <v>46249</v>
      </c>
      <c r="Z266" s="359" t="s">
        <v>40</v>
      </c>
      <c r="AA266" s="359" t="s">
        <v>796</v>
      </c>
      <c r="AB266" s="360">
        <v>0</v>
      </c>
      <c r="AC266" s="362">
        <v>46258</v>
      </c>
      <c r="AD266" s="326">
        <v>46265</v>
      </c>
      <c r="AE266" s="327" t="s">
        <v>40</v>
      </c>
      <c r="AF266" s="365" t="s">
        <v>795</v>
      </c>
      <c r="AG266" s="366">
        <v>0</v>
      </c>
      <c r="AH266" s="368">
        <v>46266</v>
      </c>
      <c r="AI266" s="368">
        <v>46269</v>
      </c>
      <c r="AJ266" s="369" t="s">
        <v>165</v>
      </c>
      <c r="AK266" s="373" t="s">
        <v>795</v>
      </c>
      <c r="AL266" s="370">
        <v>0</v>
      </c>
    </row>
    <row r="267" spans="1:38">
      <c r="A267" s="292" t="s">
        <v>670</v>
      </c>
      <c r="B267" s="300" t="s">
        <v>946</v>
      </c>
      <c r="C267" s="299">
        <v>1</v>
      </c>
      <c r="D267" s="149">
        <v>46195</v>
      </c>
      <c r="E267" s="149">
        <v>46200</v>
      </c>
      <c r="F267" s="341" t="s">
        <v>40</v>
      </c>
      <c r="G267" s="308" t="s">
        <v>792</v>
      </c>
      <c r="H267" s="372">
        <v>0</v>
      </c>
      <c r="I267" s="169">
        <v>46219</v>
      </c>
      <c r="J267" s="342">
        <v>46231</v>
      </c>
      <c r="K267" s="344" t="s">
        <v>40</v>
      </c>
      <c r="L267" s="344" t="s">
        <v>793</v>
      </c>
      <c r="M267" s="346">
        <v>0</v>
      </c>
      <c r="N267" s="347">
        <v>46219</v>
      </c>
      <c r="O267" s="347">
        <v>46231</v>
      </c>
      <c r="P267" s="349" t="s">
        <v>40</v>
      </c>
      <c r="Q267" s="349" t="s">
        <v>794</v>
      </c>
      <c r="R267" s="350">
        <v>0</v>
      </c>
      <c r="S267" s="352">
        <v>46239</v>
      </c>
      <c r="T267" s="352">
        <v>46246</v>
      </c>
      <c r="U267" s="354" t="s">
        <v>40</v>
      </c>
      <c r="V267" s="354" t="s">
        <v>795</v>
      </c>
      <c r="W267" s="355">
        <v>0</v>
      </c>
      <c r="X267" s="357">
        <v>46247</v>
      </c>
      <c r="Y267" s="357">
        <v>46249</v>
      </c>
      <c r="Z267" s="359" t="s">
        <v>40</v>
      </c>
      <c r="AA267" s="359" t="s">
        <v>796</v>
      </c>
      <c r="AB267" s="360">
        <v>0</v>
      </c>
      <c r="AC267" s="362">
        <v>46258</v>
      </c>
      <c r="AD267" s="326">
        <v>46265</v>
      </c>
      <c r="AE267" s="327" t="s">
        <v>40</v>
      </c>
      <c r="AF267" s="365" t="s">
        <v>795</v>
      </c>
      <c r="AG267" s="366">
        <v>0</v>
      </c>
      <c r="AH267" s="368">
        <v>46266</v>
      </c>
      <c r="AI267" s="368">
        <v>46269</v>
      </c>
      <c r="AJ267" s="369" t="s">
        <v>165</v>
      </c>
      <c r="AK267" s="373" t="s">
        <v>795</v>
      </c>
      <c r="AL267" s="370">
        <v>0</v>
      </c>
    </row>
    <row r="268" spans="1:38">
      <c r="A268" s="292" t="s">
        <v>670</v>
      </c>
      <c r="B268" s="300" t="s">
        <v>947</v>
      </c>
      <c r="C268" s="299">
        <v>1</v>
      </c>
      <c r="D268" s="149">
        <v>46195</v>
      </c>
      <c r="E268" s="149">
        <v>46200</v>
      </c>
      <c r="F268" s="341" t="s">
        <v>40</v>
      </c>
      <c r="G268" s="308" t="s">
        <v>792</v>
      </c>
      <c r="H268" s="372">
        <v>0</v>
      </c>
      <c r="I268" s="169">
        <v>46219</v>
      </c>
      <c r="J268" s="342">
        <v>46231</v>
      </c>
      <c r="K268" s="344" t="s">
        <v>40</v>
      </c>
      <c r="L268" s="344" t="s">
        <v>793</v>
      </c>
      <c r="M268" s="346">
        <v>0</v>
      </c>
      <c r="N268" s="347">
        <v>46219</v>
      </c>
      <c r="O268" s="347">
        <v>46231</v>
      </c>
      <c r="P268" s="349" t="s">
        <v>40</v>
      </c>
      <c r="Q268" s="349" t="s">
        <v>794</v>
      </c>
      <c r="R268" s="350">
        <v>0</v>
      </c>
      <c r="S268" s="352">
        <v>46239</v>
      </c>
      <c r="T268" s="352">
        <v>46246</v>
      </c>
      <c r="U268" s="354" t="s">
        <v>40</v>
      </c>
      <c r="V268" s="354" t="s">
        <v>795</v>
      </c>
      <c r="W268" s="355">
        <v>0</v>
      </c>
      <c r="X268" s="357">
        <v>46247</v>
      </c>
      <c r="Y268" s="357">
        <v>46249</v>
      </c>
      <c r="Z268" s="359" t="s">
        <v>40</v>
      </c>
      <c r="AA268" s="359" t="s">
        <v>796</v>
      </c>
      <c r="AB268" s="360">
        <v>0</v>
      </c>
      <c r="AC268" s="362">
        <v>46258</v>
      </c>
      <c r="AD268" s="326">
        <v>46265</v>
      </c>
      <c r="AE268" s="327" t="s">
        <v>40</v>
      </c>
      <c r="AF268" s="365" t="s">
        <v>795</v>
      </c>
      <c r="AG268" s="366">
        <v>0</v>
      </c>
      <c r="AH268" s="368">
        <v>46266</v>
      </c>
      <c r="AI268" s="368">
        <v>46269</v>
      </c>
      <c r="AJ268" s="369" t="s">
        <v>165</v>
      </c>
      <c r="AK268" s="373" t="s">
        <v>795</v>
      </c>
      <c r="AL268" s="370">
        <v>0</v>
      </c>
    </row>
    <row r="269" spans="1:38">
      <c r="A269" s="292" t="s">
        <v>670</v>
      </c>
      <c r="B269" s="300" t="s">
        <v>948</v>
      </c>
      <c r="C269" s="299">
        <v>1</v>
      </c>
      <c r="D269" s="149">
        <v>46195</v>
      </c>
      <c r="E269" s="149">
        <v>46200</v>
      </c>
      <c r="F269" s="341" t="s">
        <v>40</v>
      </c>
      <c r="G269" s="308" t="s">
        <v>792</v>
      </c>
      <c r="H269" s="372">
        <v>0</v>
      </c>
      <c r="I269" s="169">
        <v>46219</v>
      </c>
      <c r="J269" s="342">
        <v>46231</v>
      </c>
      <c r="K269" s="344" t="s">
        <v>40</v>
      </c>
      <c r="L269" s="344" t="s">
        <v>793</v>
      </c>
      <c r="M269" s="346">
        <v>0</v>
      </c>
      <c r="N269" s="347">
        <v>46219</v>
      </c>
      <c r="O269" s="347">
        <v>46231</v>
      </c>
      <c r="P269" s="349" t="s">
        <v>40</v>
      </c>
      <c r="Q269" s="349" t="s">
        <v>794</v>
      </c>
      <c r="R269" s="350">
        <v>0</v>
      </c>
      <c r="S269" s="352">
        <v>46239</v>
      </c>
      <c r="T269" s="352">
        <v>46246</v>
      </c>
      <c r="U269" s="354" t="s">
        <v>40</v>
      </c>
      <c r="V269" s="354" t="s">
        <v>795</v>
      </c>
      <c r="W269" s="355">
        <v>0</v>
      </c>
      <c r="X269" s="357">
        <v>46247</v>
      </c>
      <c r="Y269" s="357">
        <v>46249</v>
      </c>
      <c r="Z269" s="359" t="s">
        <v>40</v>
      </c>
      <c r="AA269" s="359" t="s">
        <v>796</v>
      </c>
      <c r="AB269" s="360">
        <v>0</v>
      </c>
      <c r="AC269" s="362">
        <v>46258</v>
      </c>
      <c r="AD269" s="326">
        <v>46265</v>
      </c>
      <c r="AE269" s="327" t="s">
        <v>40</v>
      </c>
      <c r="AF269" s="365" t="s">
        <v>795</v>
      </c>
      <c r="AG269" s="366">
        <v>0</v>
      </c>
      <c r="AH269" s="368">
        <v>46266</v>
      </c>
      <c r="AI269" s="368">
        <v>46269</v>
      </c>
      <c r="AJ269" s="369" t="s">
        <v>165</v>
      </c>
      <c r="AK269" s="373" t="s">
        <v>795</v>
      </c>
      <c r="AL269" s="370">
        <v>0</v>
      </c>
    </row>
    <row r="270" spans="1:38">
      <c r="A270" s="292" t="s">
        <v>670</v>
      </c>
      <c r="B270" s="300" t="s">
        <v>949</v>
      </c>
      <c r="C270" s="299">
        <v>1</v>
      </c>
      <c r="D270" s="149">
        <v>46195</v>
      </c>
      <c r="E270" s="149">
        <v>46200</v>
      </c>
      <c r="F270" s="341" t="s">
        <v>40</v>
      </c>
      <c r="G270" s="308" t="s">
        <v>792</v>
      </c>
      <c r="H270" s="372">
        <v>0</v>
      </c>
      <c r="I270" s="169">
        <v>46219</v>
      </c>
      <c r="J270" s="342">
        <v>46231</v>
      </c>
      <c r="K270" s="344" t="s">
        <v>40</v>
      </c>
      <c r="L270" s="344" t="s">
        <v>793</v>
      </c>
      <c r="M270" s="346">
        <v>0</v>
      </c>
      <c r="N270" s="347">
        <v>46219</v>
      </c>
      <c r="O270" s="347">
        <v>46231</v>
      </c>
      <c r="P270" s="349" t="s">
        <v>40</v>
      </c>
      <c r="Q270" s="349" t="s">
        <v>794</v>
      </c>
      <c r="R270" s="350">
        <v>0</v>
      </c>
      <c r="S270" s="352">
        <v>46239</v>
      </c>
      <c r="T270" s="352">
        <v>46246</v>
      </c>
      <c r="U270" s="354" t="s">
        <v>40</v>
      </c>
      <c r="V270" s="354" t="s">
        <v>795</v>
      </c>
      <c r="W270" s="355">
        <v>0</v>
      </c>
      <c r="X270" s="357">
        <v>46247</v>
      </c>
      <c r="Y270" s="357">
        <v>46249</v>
      </c>
      <c r="Z270" s="359" t="s">
        <v>40</v>
      </c>
      <c r="AA270" s="359" t="s">
        <v>796</v>
      </c>
      <c r="AB270" s="360">
        <v>0</v>
      </c>
      <c r="AC270" s="362">
        <v>46258</v>
      </c>
      <c r="AD270" s="326">
        <v>46265</v>
      </c>
      <c r="AE270" s="327" t="s">
        <v>40</v>
      </c>
      <c r="AF270" s="365" t="s">
        <v>795</v>
      </c>
      <c r="AG270" s="366">
        <v>0</v>
      </c>
      <c r="AH270" s="368">
        <v>46266</v>
      </c>
      <c r="AI270" s="368">
        <v>46269</v>
      </c>
      <c r="AJ270" s="369" t="s">
        <v>165</v>
      </c>
      <c r="AK270" s="373" t="s">
        <v>795</v>
      </c>
      <c r="AL270" s="370">
        <v>0</v>
      </c>
    </row>
    <row r="271" spans="1:38">
      <c r="A271" s="292" t="s">
        <v>670</v>
      </c>
      <c r="B271" s="300" t="s">
        <v>950</v>
      </c>
      <c r="C271" s="299">
        <v>1</v>
      </c>
      <c r="D271" s="149">
        <v>46195</v>
      </c>
      <c r="E271" s="149">
        <v>46200</v>
      </c>
      <c r="F271" s="341" t="s">
        <v>40</v>
      </c>
      <c r="G271" s="308" t="s">
        <v>792</v>
      </c>
      <c r="H271" s="372">
        <v>0</v>
      </c>
      <c r="I271" s="169">
        <v>46219</v>
      </c>
      <c r="J271" s="342">
        <v>46231</v>
      </c>
      <c r="K271" s="344" t="s">
        <v>40</v>
      </c>
      <c r="L271" s="344" t="s">
        <v>793</v>
      </c>
      <c r="M271" s="346">
        <v>0</v>
      </c>
      <c r="N271" s="347">
        <v>46219</v>
      </c>
      <c r="O271" s="347">
        <v>46231</v>
      </c>
      <c r="P271" s="349" t="s">
        <v>40</v>
      </c>
      <c r="Q271" s="349" t="s">
        <v>794</v>
      </c>
      <c r="R271" s="350">
        <v>0</v>
      </c>
      <c r="S271" s="352">
        <v>46239</v>
      </c>
      <c r="T271" s="352">
        <v>46246</v>
      </c>
      <c r="U271" s="354" t="s">
        <v>40</v>
      </c>
      <c r="V271" s="354" t="s">
        <v>795</v>
      </c>
      <c r="W271" s="355">
        <v>0</v>
      </c>
      <c r="X271" s="357">
        <v>46247</v>
      </c>
      <c r="Y271" s="357">
        <v>46249</v>
      </c>
      <c r="Z271" s="359" t="s">
        <v>40</v>
      </c>
      <c r="AA271" s="359" t="s">
        <v>796</v>
      </c>
      <c r="AB271" s="360">
        <v>0</v>
      </c>
      <c r="AC271" s="362">
        <v>46258</v>
      </c>
      <c r="AD271" s="326">
        <v>46265</v>
      </c>
      <c r="AE271" s="327" t="s">
        <v>40</v>
      </c>
      <c r="AF271" s="365" t="s">
        <v>795</v>
      </c>
      <c r="AG271" s="366">
        <v>0</v>
      </c>
      <c r="AH271" s="368">
        <v>46266</v>
      </c>
      <c r="AI271" s="368">
        <v>46269</v>
      </c>
      <c r="AJ271" s="369" t="s">
        <v>165</v>
      </c>
      <c r="AK271" s="373" t="s">
        <v>795</v>
      </c>
      <c r="AL271" s="370">
        <v>0</v>
      </c>
    </row>
    <row r="272" spans="1:38">
      <c r="A272" s="292" t="s">
        <v>670</v>
      </c>
      <c r="B272" s="300" t="s">
        <v>951</v>
      </c>
      <c r="C272" s="299">
        <v>1</v>
      </c>
      <c r="D272" s="149">
        <v>46195</v>
      </c>
      <c r="E272" s="149">
        <v>46200</v>
      </c>
      <c r="F272" s="341" t="s">
        <v>40</v>
      </c>
      <c r="G272" s="308" t="s">
        <v>792</v>
      </c>
      <c r="H272" s="372">
        <v>0</v>
      </c>
      <c r="I272" s="169">
        <v>46219</v>
      </c>
      <c r="J272" s="342">
        <v>46231</v>
      </c>
      <c r="K272" s="344" t="s">
        <v>40</v>
      </c>
      <c r="L272" s="344" t="s">
        <v>793</v>
      </c>
      <c r="M272" s="346">
        <v>0</v>
      </c>
      <c r="N272" s="347">
        <v>46219</v>
      </c>
      <c r="O272" s="347">
        <v>46231</v>
      </c>
      <c r="P272" s="349" t="s">
        <v>40</v>
      </c>
      <c r="Q272" s="349" t="s">
        <v>794</v>
      </c>
      <c r="R272" s="350">
        <v>0</v>
      </c>
      <c r="S272" s="352">
        <v>46239</v>
      </c>
      <c r="T272" s="352">
        <v>46246</v>
      </c>
      <c r="U272" s="354" t="s">
        <v>40</v>
      </c>
      <c r="V272" s="354" t="s">
        <v>795</v>
      </c>
      <c r="W272" s="355">
        <v>0</v>
      </c>
      <c r="X272" s="357">
        <v>46247</v>
      </c>
      <c r="Y272" s="357">
        <v>46249</v>
      </c>
      <c r="Z272" s="359" t="s">
        <v>40</v>
      </c>
      <c r="AA272" s="359" t="s">
        <v>796</v>
      </c>
      <c r="AB272" s="360">
        <v>0</v>
      </c>
      <c r="AC272" s="362">
        <v>46258</v>
      </c>
      <c r="AD272" s="326">
        <v>46265</v>
      </c>
      <c r="AE272" s="327" t="s">
        <v>40</v>
      </c>
      <c r="AF272" s="365" t="s">
        <v>795</v>
      </c>
      <c r="AG272" s="366">
        <v>0</v>
      </c>
      <c r="AH272" s="368">
        <v>46266</v>
      </c>
      <c r="AI272" s="368">
        <v>46269</v>
      </c>
      <c r="AJ272" s="369" t="s">
        <v>165</v>
      </c>
      <c r="AK272" s="373" t="s">
        <v>795</v>
      </c>
      <c r="AL272" s="370">
        <v>0</v>
      </c>
    </row>
    <row r="273" spans="1:38">
      <c r="A273" s="292" t="s">
        <v>670</v>
      </c>
      <c r="B273" s="300" t="s">
        <v>952</v>
      </c>
      <c r="C273" s="299">
        <v>1</v>
      </c>
      <c r="D273" s="149">
        <v>46195</v>
      </c>
      <c r="E273" s="149">
        <v>46200</v>
      </c>
      <c r="F273" s="341" t="s">
        <v>40</v>
      </c>
      <c r="G273" s="308" t="s">
        <v>792</v>
      </c>
      <c r="H273" s="372">
        <v>0</v>
      </c>
      <c r="I273" s="169">
        <v>46219</v>
      </c>
      <c r="J273" s="342">
        <v>46231</v>
      </c>
      <c r="K273" s="344" t="s">
        <v>40</v>
      </c>
      <c r="L273" s="344" t="s">
        <v>793</v>
      </c>
      <c r="M273" s="346">
        <v>0</v>
      </c>
      <c r="N273" s="347">
        <v>46219</v>
      </c>
      <c r="O273" s="347">
        <v>46231</v>
      </c>
      <c r="P273" s="349" t="s">
        <v>40</v>
      </c>
      <c r="Q273" s="349" t="s">
        <v>794</v>
      </c>
      <c r="R273" s="350">
        <v>0</v>
      </c>
      <c r="S273" s="352">
        <v>46239</v>
      </c>
      <c r="T273" s="352">
        <v>46246</v>
      </c>
      <c r="U273" s="354" t="s">
        <v>40</v>
      </c>
      <c r="V273" s="354" t="s">
        <v>795</v>
      </c>
      <c r="W273" s="355">
        <v>0</v>
      </c>
      <c r="X273" s="357">
        <v>46247</v>
      </c>
      <c r="Y273" s="357">
        <v>46249</v>
      </c>
      <c r="Z273" s="359" t="s">
        <v>40</v>
      </c>
      <c r="AA273" s="359" t="s">
        <v>796</v>
      </c>
      <c r="AB273" s="360">
        <v>0</v>
      </c>
      <c r="AC273" s="362">
        <v>46258</v>
      </c>
      <c r="AD273" s="326">
        <v>46265</v>
      </c>
      <c r="AE273" s="327" t="s">
        <v>40</v>
      </c>
      <c r="AF273" s="365" t="s">
        <v>795</v>
      </c>
      <c r="AG273" s="366">
        <v>0</v>
      </c>
      <c r="AH273" s="368">
        <v>46266</v>
      </c>
      <c r="AI273" s="368">
        <v>46269</v>
      </c>
      <c r="AJ273" s="369" t="s">
        <v>165</v>
      </c>
      <c r="AK273" s="373" t="s">
        <v>795</v>
      </c>
      <c r="AL273" s="370">
        <v>0</v>
      </c>
    </row>
    <row r="274" spans="1:38">
      <c r="A274" s="292" t="s">
        <v>670</v>
      </c>
      <c r="B274" s="300" t="s">
        <v>953</v>
      </c>
      <c r="C274" s="299">
        <v>1</v>
      </c>
      <c r="D274" s="149">
        <v>46195</v>
      </c>
      <c r="E274" s="149">
        <v>46200</v>
      </c>
      <c r="F274" s="341" t="s">
        <v>40</v>
      </c>
      <c r="G274" s="308" t="s">
        <v>792</v>
      </c>
      <c r="H274" s="372">
        <v>0</v>
      </c>
      <c r="I274" s="169">
        <v>46219</v>
      </c>
      <c r="J274" s="342">
        <v>46231</v>
      </c>
      <c r="K274" s="344" t="s">
        <v>40</v>
      </c>
      <c r="L274" s="344" t="s">
        <v>793</v>
      </c>
      <c r="M274" s="346">
        <v>0</v>
      </c>
      <c r="N274" s="347">
        <v>46219</v>
      </c>
      <c r="O274" s="347">
        <v>46231</v>
      </c>
      <c r="P274" s="349" t="s">
        <v>40</v>
      </c>
      <c r="Q274" s="349" t="s">
        <v>794</v>
      </c>
      <c r="R274" s="350">
        <v>0</v>
      </c>
      <c r="S274" s="352">
        <v>46239</v>
      </c>
      <c r="T274" s="352">
        <v>46246</v>
      </c>
      <c r="U274" s="354" t="s">
        <v>40</v>
      </c>
      <c r="V274" s="354" t="s">
        <v>795</v>
      </c>
      <c r="W274" s="355">
        <v>0</v>
      </c>
      <c r="X274" s="357">
        <v>46247</v>
      </c>
      <c r="Y274" s="357">
        <v>46249</v>
      </c>
      <c r="Z274" s="359" t="s">
        <v>40</v>
      </c>
      <c r="AA274" s="359" t="s">
        <v>796</v>
      </c>
      <c r="AB274" s="360">
        <v>0</v>
      </c>
      <c r="AC274" s="362">
        <v>46258</v>
      </c>
      <c r="AD274" s="326">
        <v>46265</v>
      </c>
      <c r="AE274" s="327" t="s">
        <v>40</v>
      </c>
      <c r="AF274" s="365" t="s">
        <v>795</v>
      </c>
      <c r="AG274" s="366">
        <v>0</v>
      </c>
      <c r="AH274" s="368">
        <v>46266</v>
      </c>
      <c r="AI274" s="368">
        <v>46269</v>
      </c>
      <c r="AJ274" s="369" t="s">
        <v>165</v>
      </c>
      <c r="AK274" s="373" t="s">
        <v>795</v>
      </c>
      <c r="AL274" s="370">
        <v>0</v>
      </c>
    </row>
    <row r="275" spans="1:38">
      <c r="A275" s="292" t="s">
        <v>670</v>
      </c>
      <c r="B275" s="300" t="s">
        <v>954</v>
      </c>
      <c r="C275" s="299">
        <v>1</v>
      </c>
      <c r="D275" s="149">
        <v>46195</v>
      </c>
      <c r="E275" s="149">
        <v>46200</v>
      </c>
      <c r="F275" s="341" t="s">
        <v>40</v>
      </c>
      <c r="G275" s="308" t="s">
        <v>792</v>
      </c>
      <c r="H275" s="372">
        <v>0</v>
      </c>
      <c r="I275" s="169">
        <v>46219</v>
      </c>
      <c r="J275" s="342">
        <v>46231</v>
      </c>
      <c r="K275" s="344" t="s">
        <v>40</v>
      </c>
      <c r="L275" s="344" t="s">
        <v>793</v>
      </c>
      <c r="M275" s="346">
        <v>0</v>
      </c>
      <c r="N275" s="347">
        <v>46219</v>
      </c>
      <c r="O275" s="347">
        <v>46231</v>
      </c>
      <c r="P275" s="349" t="s">
        <v>40</v>
      </c>
      <c r="Q275" s="349" t="s">
        <v>794</v>
      </c>
      <c r="R275" s="350">
        <v>0</v>
      </c>
      <c r="S275" s="352">
        <v>46239</v>
      </c>
      <c r="T275" s="352">
        <v>46246</v>
      </c>
      <c r="U275" s="354" t="s">
        <v>40</v>
      </c>
      <c r="V275" s="354" t="s">
        <v>795</v>
      </c>
      <c r="W275" s="355">
        <v>0</v>
      </c>
      <c r="X275" s="357">
        <v>46247</v>
      </c>
      <c r="Y275" s="357">
        <v>46249</v>
      </c>
      <c r="Z275" s="359" t="s">
        <v>40</v>
      </c>
      <c r="AA275" s="359" t="s">
        <v>796</v>
      </c>
      <c r="AB275" s="360">
        <v>0</v>
      </c>
      <c r="AC275" s="362">
        <v>46258</v>
      </c>
      <c r="AD275" s="326">
        <v>46265</v>
      </c>
      <c r="AE275" s="327" t="s">
        <v>40</v>
      </c>
      <c r="AF275" s="365" t="s">
        <v>795</v>
      </c>
      <c r="AG275" s="366">
        <v>0</v>
      </c>
      <c r="AH275" s="368">
        <v>46266</v>
      </c>
      <c r="AI275" s="368">
        <v>46269</v>
      </c>
      <c r="AJ275" s="369" t="s">
        <v>165</v>
      </c>
      <c r="AK275" s="373" t="s">
        <v>795</v>
      </c>
      <c r="AL275" s="370">
        <v>0</v>
      </c>
    </row>
    <row r="276" spans="1:38">
      <c r="A276" s="292" t="s">
        <v>670</v>
      </c>
      <c r="B276" s="300" t="s">
        <v>955</v>
      </c>
      <c r="C276" s="299">
        <v>1</v>
      </c>
      <c r="D276" s="149">
        <v>46195</v>
      </c>
      <c r="E276" s="149">
        <v>46200</v>
      </c>
      <c r="F276" s="341" t="s">
        <v>40</v>
      </c>
      <c r="G276" s="308" t="s">
        <v>792</v>
      </c>
      <c r="H276" s="372">
        <v>0</v>
      </c>
      <c r="I276" s="169">
        <v>46219</v>
      </c>
      <c r="J276" s="342">
        <v>46231</v>
      </c>
      <c r="K276" s="344" t="s">
        <v>40</v>
      </c>
      <c r="L276" s="344" t="s">
        <v>793</v>
      </c>
      <c r="M276" s="346">
        <v>0</v>
      </c>
      <c r="N276" s="347">
        <v>46219</v>
      </c>
      <c r="O276" s="347">
        <v>46231</v>
      </c>
      <c r="P276" s="349" t="s">
        <v>40</v>
      </c>
      <c r="Q276" s="349" t="s">
        <v>794</v>
      </c>
      <c r="R276" s="350">
        <v>0</v>
      </c>
      <c r="S276" s="352">
        <v>46239</v>
      </c>
      <c r="T276" s="352">
        <v>46246</v>
      </c>
      <c r="U276" s="354" t="s">
        <v>40</v>
      </c>
      <c r="V276" s="354" t="s">
        <v>795</v>
      </c>
      <c r="W276" s="355">
        <v>0</v>
      </c>
      <c r="X276" s="357">
        <v>46247</v>
      </c>
      <c r="Y276" s="357">
        <v>46249</v>
      </c>
      <c r="Z276" s="359" t="s">
        <v>40</v>
      </c>
      <c r="AA276" s="359" t="s">
        <v>796</v>
      </c>
      <c r="AB276" s="360">
        <v>0</v>
      </c>
      <c r="AC276" s="362">
        <v>46258</v>
      </c>
      <c r="AD276" s="326">
        <v>46265</v>
      </c>
      <c r="AE276" s="327" t="s">
        <v>40</v>
      </c>
      <c r="AF276" s="365" t="s">
        <v>795</v>
      </c>
      <c r="AG276" s="366">
        <v>0</v>
      </c>
      <c r="AH276" s="368">
        <v>46266</v>
      </c>
      <c r="AI276" s="368">
        <v>46269</v>
      </c>
      <c r="AJ276" s="369" t="s">
        <v>165</v>
      </c>
      <c r="AK276" s="373" t="s">
        <v>795</v>
      </c>
      <c r="AL276" s="370">
        <v>0</v>
      </c>
    </row>
    <row r="277" spans="1:38">
      <c r="A277" s="292" t="s">
        <v>670</v>
      </c>
      <c r="B277" s="300" t="s">
        <v>956</v>
      </c>
      <c r="C277" s="299">
        <v>1</v>
      </c>
      <c r="D277" s="149">
        <v>46195</v>
      </c>
      <c r="E277" s="149">
        <v>46200</v>
      </c>
      <c r="F277" s="341" t="s">
        <v>40</v>
      </c>
      <c r="G277" s="308" t="s">
        <v>792</v>
      </c>
      <c r="H277" s="372">
        <v>0</v>
      </c>
      <c r="I277" s="169">
        <v>46219</v>
      </c>
      <c r="J277" s="342">
        <v>46231</v>
      </c>
      <c r="K277" s="344" t="s">
        <v>40</v>
      </c>
      <c r="L277" s="344" t="s">
        <v>793</v>
      </c>
      <c r="M277" s="346">
        <v>0</v>
      </c>
      <c r="N277" s="347">
        <v>46219</v>
      </c>
      <c r="O277" s="347">
        <v>46231</v>
      </c>
      <c r="P277" s="349" t="s">
        <v>40</v>
      </c>
      <c r="Q277" s="349" t="s">
        <v>794</v>
      </c>
      <c r="R277" s="350">
        <v>0</v>
      </c>
      <c r="S277" s="352">
        <v>46239</v>
      </c>
      <c r="T277" s="352">
        <v>46246</v>
      </c>
      <c r="U277" s="354" t="s">
        <v>40</v>
      </c>
      <c r="V277" s="354" t="s">
        <v>795</v>
      </c>
      <c r="W277" s="355">
        <v>0</v>
      </c>
      <c r="X277" s="357">
        <v>46247</v>
      </c>
      <c r="Y277" s="357">
        <v>46249</v>
      </c>
      <c r="Z277" s="359" t="s">
        <v>40</v>
      </c>
      <c r="AA277" s="359" t="s">
        <v>796</v>
      </c>
      <c r="AB277" s="360">
        <v>0</v>
      </c>
      <c r="AC277" s="362">
        <v>46258</v>
      </c>
      <c r="AD277" s="326">
        <v>46265</v>
      </c>
      <c r="AE277" s="327" t="s">
        <v>40</v>
      </c>
      <c r="AF277" s="365" t="s">
        <v>795</v>
      </c>
      <c r="AG277" s="366">
        <v>0</v>
      </c>
      <c r="AH277" s="368">
        <v>46266</v>
      </c>
      <c r="AI277" s="368">
        <v>46269</v>
      </c>
      <c r="AJ277" s="369" t="s">
        <v>165</v>
      </c>
      <c r="AK277" s="373" t="s">
        <v>795</v>
      </c>
      <c r="AL277" s="370">
        <v>0</v>
      </c>
    </row>
    <row r="278" spans="1:38">
      <c r="A278" s="292" t="s">
        <v>670</v>
      </c>
      <c r="B278" s="300" t="s">
        <v>957</v>
      </c>
      <c r="C278" s="299">
        <v>1</v>
      </c>
      <c r="D278" s="149">
        <v>46195</v>
      </c>
      <c r="E278" s="149">
        <v>46200</v>
      </c>
      <c r="F278" s="341" t="s">
        <v>40</v>
      </c>
      <c r="G278" s="308" t="s">
        <v>792</v>
      </c>
      <c r="H278" s="372">
        <v>0</v>
      </c>
      <c r="I278" s="169">
        <v>46219</v>
      </c>
      <c r="J278" s="342">
        <v>46231</v>
      </c>
      <c r="K278" s="344" t="s">
        <v>40</v>
      </c>
      <c r="L278" s="344" t="s">
        <v>793</v>
      </c>
      <c r="M278" s="346">
        <v>0</v>
      </c>
      <c r="N278" s="347">
        <v>46219</v>
      </c>
      <c r="O278" s="347">
        <v>46231</v>
      </c>
      <c r="P278" s="349" t="s">
        <v>40</v>
      </c>
      <c r="Q278" s="349" t="s">
        <v>794</v>
      </c>
      <c r="R278" s="350">
        <v>0</v>
      </c>
      <c r="S278" s="352">
        <v>46239</v>
      </c>
      <c r="T278" s="352">
        <v>46246</v>
      </c>
      <c r="U278" s="354" t="s">
        <v>40</v>
      </c>
      <c r="V278" s="354" t="s">
        <v>795</v>
      </c>
      <c r="W278" s="355">
        <v>0</v>
      </c>
      <c r="X278" s="357">
        <v>46247</v>
      </c>
      <c r="Y278" s="357">
        <v>46249</v>
      </c>
      <c r="Z278" s="359" t="s">
        <v>40</v>
      </c>
      <c r="AA278" s="359" t="s">
        <v>796</v>
      </c>
      <c r="AB278" s="360">
        <v>0</v>
      </c>
      <c r="AC278" s="362">
        <v>46258</v>
      </c>
      <c r="AD278" s="326">
        <v>46265</v>
      </c>
      <c r="AE278" s="327" t="s">
        <v>40</v>
      </c>
      <c r="AF278" s="365" t="s">
        <v>795</v>
      </c>
      <c r="AG278" s="366">
        <v>0</v>
      </c>
      <c r="AH278" s="368">
        <v>46266</v>
      </c>
      <c r="AI278" s="368">
        <v>46269</v>
      </c>
      <c r="AJ278" s="369" t="s">
        <v>165</v>
      </c>
      <c r="AK278" s="373" t="s">
        <v>795</v>
      </c>
      <c r="AL278" s="370">
        <v>0</v>
      </c>
    </row>
    <row r="279" spans="1:38">
      <c r="A279" s="292" t="s">
        <v>670</v>
      </c>
      <c r="B279" s="300" t="s">
        <v>958</v>
      </c>
      <c r="C279" s="299">
        <v>1</v>
      </c>
      <c r="D279" s="149">
        <v>46195</v>
      </c>
      <c r="E279" s="149">
        <v>46200</v>
      </c>
      <c r="F279" s="341" t="s">
        <v>40</v>
      </c>
      <c r="G279" s="308" t="s">
        <v>792</v>
      </c>
      <c r="H279" s="372">
        <v>0</v>
      </c>
      <c r="I279" s="169">
        <v>46219</v>
      </c>
      <c r="J279" s="342">
        <v>46231</v>
      </c>
      <c r="K279" s="344" t="s">
        <v>40</v>
      </c>
      <c r="L279" s="344" t="s">
        <v>793</v>
      </c>
      <c r="M279" s="346">
        <v>0</v>
      </c>
      <c r="N279" s="347">
        <v>46219</v>
      </c>
      <c r="O279" s="347">
        <v>46231</v>
      </c>
      <c r="P279" s="349" t="s">
        <v>40</v>
      </c>
      <c r="Q279" s="349" t="s">
        <v>794</v>
      </c>
      <c r="R279" s="350">
        <v>0</v>
      </c>
      <c r="S279" s="352">
        <v>46239</v>
      </c>
      <c r="T279" s="352">
        <v>46246</v>
      </c>
      <c r="U279" s="354" t="s">
        <v>40</v>
      </c>
      <c r="V279" s="354" t="s">
        <v>795</v>
      </c>
      <c r="W279" s="355">
        <v>0</v>
      </c>
      <c r="X279" s="357">
        <v>46247</v>
      </c>
      <c r="Y279" s="357">
        <v>46249</v>
      </c>
      <c r="Z279" s="359" t="s">
        <v>40</v>
      </c>
      <c r="AA279" s="359" t="s">
        <v>796</v>
      </c>
      <c r="AB279" s="360">
        <v>0</v>
      </c>
      <c r="AC279" s="362">
        <v>46258</v>
      </c>
      <c r="AD279" s="326">
        <v>46265</v>
      </c>
      <c r="AE279" s="327" t="s">
        <v>40</v>
      </c>
      <c r="AF279" s="365" t="s">
        <v>795</v>
      </c>
      <c r="AG279" s="366">
        <v>0</v>
      </c>
      <c r="AH279" s="368">
        <v>46266</v>
      </c>
      <c r="AI279" s="368">
        <v>46269</v>
      </c>
      <c r="AJ279" s="369" t="s">
        <v>165</v>
      </c>
      <c r="AK279" s="373" t="s">
        <v>795</v>
      </c>
      <c r="AL279" s="370">
        <v>0</v>
      </c>
    </row>
    <row r="280" spans="1:38">
      <c r="A280" s="292" t="s">
        <v>670</v>
      </c>
      <c r="B280" s="300" t="s">
        <v>959</v>
      </c>
      <c r="C280" s="299">
        <v>1</v>
      </c>
      <c r="D280" s="149">
        <v>46195</v>
      </c>
      <c r="E280" s="149">
        <v>46200</v>
      </c>
      <c r="F280" s="341" t="s">
        <v>40</v>
      </c>
      <c r="G280" s="308" t="s">
        <v>792</v>
      </c>
      <c r="H280" s="372">
        <v>0</v>
      </c>
      <c r="I280" s="169">
        <v>46219</v>
      </c>
      <c r="J280" s="342">
        <v>46231</v>
      </c>
      <c r="K280" s="344" t="s">
        <v>40</v>
      </c>
      <c r="L280" s="344" t="s">
        <v>793</v>
      </c>
      <c r="M280" s="346">
        <v>0</v>
      </c>
      <c r="N280" s="347">
        <v>46219</v>
      </c>
      <c r="O280" s="347">
        <v>46231</v>
      </c>
      <c r="P280" s="349" t="s">
        <v>40</v>
      </c>
      <c r="Q280" s="349" t="s">
        <v>794</v>
      </c>
      <c r="R280" s="350">
        <v>0</v>
      </c>
      <c r="S280" s="352">
        <v>46239</v>
      </c>
      <c r="T280" s="352">
        <v>46246</v>
      </c>
      <c r="U280" s="354" t="s">
        <v>40</v>
      </c>
      <c r="V280" s="354" t="s">
        <v>795</v>
      </c>
      <c r="W280" s="355">
        <v>0</v>
      </c>
      <c r="X280" s="357">
        <v>46247</v>
      </c>
      <c r="Y280" s="357">
        <v>46249</v>
      </c>
      <c r="Z280" s="359" t="s">
        <v>40</v>
      </c>
      <c r="AA280" s="359" t="s">
        <v>796</v>
      </c>
      <c r="AB280" s="360">
        <v>0</v>
      </c>
      <c r="AC280" s="362">
        <v>46258</v>
      </c>
      <c r="AD280" s="326">
        <v>46265</v>
      </c>
      <c r="AE280" s="327" t="s">
        <v>40</v>
      </c>
      <c r="AF280" s="365" t="s">
        <v>795</v>
      </c>
      <c r="AG280" s="366">
        <v>0</v>
      </c>
      <c r="AH280" s="368">
        <v>46266</v>
      </c>
      <c r="AI280" s="368">
        <v>46269</v>
      </c>
      <c r="AJ280" s="369" t="s">
        <v>165</v>
      </c>
      <c r="AK280" s="373" t="s">
        <v>795</v>
      </c>
      <c r="AL280" s="370">
        <v>0</v>
      </c>
    </row>
    <row r="281" spans="1:38">
      <c r="A281" s="292" t="s">
        <v>670</v>
      </c>
      <c r="B281" s="300" t="s">
        <v>960</v>
      </c>
      <c r="C281" s="299">
        <v>1</v>
      </c>
      <c r="D281" s="149">
        <v>46195</v>
      </c>
      <c r="E281" s="149">
        <v>46200</v>
      </c>
      <c r="F281" s="341" t="s">
        <v>40</v>
      </c>
      <c r="G281" s="308" t="s">
        <v>792</v>
      </c>
      <c r="H281" s="372">
        <v>0</v>
      </c>
      <c r="I281" s="169">
        <v>46219</v>
      </c>
      <c r="J281" s="342">
        <v>46231</v>
      </c>
      <c r="K281" s="344" t="s">
        <v>40</v>
      </c>
      <c r="L281" s="344" t="s">
        <v>793</v>
      </c>
      <c r="M281" s="346">
        <v>0</v>
      </c>
      <c r="N281" s="347">
        <v>46219</v>
      </c>
      <c r="O281" s="347">
        <v>46231</v>
      </c>
      <c r="P281" s="349" t="s">
        <v>40</v>
      </c>
      <c r="Q281" s="349" t="s">
        <v>794</v>
      </c>
      <c r="R281" s="350">
        <v>0</v>
      </c>
      <c r="S281" s="352">
        <v>46239</v>
      </c>
      <c r="T281" s="352">
        <v>46246</v>
      </c>
      <c r="U281" s="354" t="s">
        <v>40</v>
      </c>
      <c r="V281" s="354" t="s">
        <v>795</v>
      </c>
      <c r="W281" s="355">
        <v>0</v>
      </c>
      <c r="X281" s="357">
        <v>46247</v>
      </c>
      <c r="Y281" s="357">
        <v>46249</v>
      </c>
      <c r="Z281" s="359" t="s">
        <v>40</v>
      </c>
      <c r="AA281" s="359" t="s">
        <v>796</v>
      </c>
      <c r="AB281" s="360">
        <v>0</v>
      </c>
      <c r="AC281" s="362">
        <v>46258</v>
      </c>
      <c r="AD281" s="326">
        <v>46265</v>
      </c>
      <c r="AE281" s="327" t="s">
        <v>40</v>
      </c>
      <c r="AF281" s="365" t="s">
        <v>795</v>
      </c>
      <c r="AG281" s="366">
        <v>0</v>
      </c>
      <c r="AH281" s="368">
        <v>46266</v>
      </c>
      <c r="AI281" s="368">
        <v>46269</v>
      </c>
      <c r="AJ281" s="369" t="s">
        <v>165</v>
      </c>
      <c r="AK281" s="373" t="s">
        <v>795</v>
      </c>
      <c r="AL281" s="370">
        <v>0</v>
      </c>
    </row>
    <row r="282" spans="1:38">
      <c r="A282" s="292" t="s">
        <v>670</v>
      </c>
      <c r="B282" s="300" t="s">
        <v>961</v>
      </c>
      <c r="C282" s="299">
        <v>1</v>
      </c>
      <c r="D282" s="149">
        <v>46195</v>
      </c>
      <c r="E282" s="149">
        <v>46200</v>
      </c>
      <c r="F282" s="341" t="s">
        <v>40</v>
      </c>
      <c r="G282" s="308" t="s">
        <v>792</v>
      </c>
      <c r="H282" s="372">
        <v>0</v>
      </c>
      <c r="I282" s="169">
        <v>46219</v>
      </c>
      <c r="J282" s="342">
        <v>46231</v>
      </c>
      <c r="K282" s="344" t="s">
        <v>40</v>
      </c>
      <c r="L282" s="344" t="s">
        <v>793</v>
      </c>
      <c r="M282" s="346">
        <v>0</v>
      </c>
      <c r="N282" s="347">
        <v>46219</v>
      </c>
      <c r="O282" s="347">
        <v>46231</v>
      </c>
      <c r="P282" s="349" t="s">
        <v>40</v>
      </c>
      <c r="Q282" s="349" t="s">
        <v>794</v>
      </c>
      <c r="R282" s="350">
        <v>0</v>
      </c>
      <c r="S282" s="352">
        <v>46239</v>
      </c>
      <c r="T282" s="352">
        <v>46246</v>
      </c>
      <c r="U282" s="354" t="s">
        <v>40</v>
      </c>
      <c r="V282" s="354" t="s">
        <v>795</v>
      </c>
      <c r="W282" s="355">
        <v>0</v>
      </c>
      <c r="X282" s="357">
        <v>46247</v>
      </c>
      <c r="Y282" s="357">
        <v>46249</v>
      </c>
      <c r="Z282" s="359" t="s">
        <v>40</v>
      </c>
      <c r="AA282" s="359" t="s">
        <v>796</v>
      </c>
      <c r="AB282" s="360">
        <v>0</v>
      </c>
      <c r="AC282" s="362">
        <v>46258</v>
      </c>
      <c r="AD282" s="326">
        <v>46265</v>
      </c>
      <c r="AE282" s="327" t="s">
        <v>40</v>
      </c>
      <c r="AF282" s="365" t="s">
        <v>795</v>
      </c>
      <c r="AG282" s="366">
        <v>0</v>
      </c>
      <c r="AH282" s="368">
        <v>46266</v>
      </c>
      <c r="AI282" s="368">
        <v>46269</v>
      </c>
      <c r="AJ282" s="369" t="s">
        <v>165</v>
      </c>
      <c r="AK282" s="373" t="s">
        <v>795</v>
      </c>
      <c r="AL282" s="370">
        <v>0</v>
      </c>
    </row>
    <row r="283" spans="1:38">
      <c r="A283" s="292" t="s">
        <v>670</v>
      </c>
      <c r="B283" s="300" t="s">
        <v>962</v>
      </c>
      <c r="C283" s="299">
        <v>1</v>
      </c>
      <c r="D283" s="149">
        <v>46195</v>
      </c>
      <c r="E283" s="149">
        <v>46200</v>
      </c>
      <c r="F283" s="341" t="s">
        <v>40</v>
      </c>
      <c r="G283" s="308" t="s">
        <v>792</v>
      </c>
      <c r="H283" s="372">
        <v>0</v>
      </c>
      <c r="I283" s="169">
        <v>46219</v>
      </c>
      <c r="J283" s="342">
        <v>46231</v>
      </c>
      <c r="K283" s="344" t="s">
        <v>40</v>
      </c>
      <c r="L283" s="344" t="s">
        <v>793</v>
      </c>
      <c r="M283" s="346">
        <v>0</v>
      </c>
      <c r="N283" s="347">
        <v>46219</v>
      </c>
      <c r="O283" s="347">
        <v>46231</v>
      </c>
      <c r="P283" s="349" t="s">
        <v>40</v>
      </c>
      <c r="Q283" s="349" t="s">
        <v>794</v>
      </c>
      <c r="R283" s="350">
        <v>0</v>
      </c>
      <c r="S283" s="352">
        <v>46239</v>
      </c>
      <c r="T283" s="352">
        <v>46246</v>
      </c>
      <c r="U283" s="354" t="s">
        <v>40</v>
      </c>
      <c r="V283" s="354" t="s">
        <v>795</v>
      </c>
      <c r="W283" s="355">
        <v>0</v>
      </c>
      <c r="X283" s="357">
        <v>46247</v>
      </c>
      <c r="Y283" s="357">
        <v>46249</v>
      </c>
      <c r="Z283" s="359" t="s">
        <v>40</v>
      </c>
      <c r="AA283" s="359" t="s">
        <v>796</v>
      </c>
      <c r="AB283" s="360">
        <v>0</v>
      </c>
      <c r="AC283" s="362">
        <v>46258</v>
      </c>
      <c r="AD283" s="326">
        <v>46265</v>
      </c>
      <c r="AE283" s="327" t="s">
        <v>40</v>
      </c>
      <c r="AF283" s="365" t="s">
        <v>795</v>
      </c>
      <c r="AG283" s="366">
        <v>0</v>
      </c>
      <c r="AH283" s="368">
        <v>46266</v>
      </c>
      <c r="AI283" s="368">
        <v>46269</v>
      </c>
      <c r="AJ283" s="369" t="s">
        <v>165</v>
      </c>
      <c r="AK283" s="373" t="s">
        <v>795</v>
      </c>
      <c r="AL283" s="370">
        <v>0</v>
      </c>
    </row>
    <row r="284" spans="1:38">
      <c r="A284" s="292" t="s">
        <v>670</v>
      </c>
      <c r="B284" s="300" t="s">
        <v>963</v>
      </c>
      <c r="C284" s="299">
        <v>1</v>
      </c>
      <c r="D284" s="149">
        <v>46195</v>
      </c>
      <c r="E284" s="149">
        <v>46200</v>
      </c>
      <c r="F284" s="341" t="s">
        <v>40</v>
      </c>
      <c r="G284" s="308" t="s">
        <v>792</v>
      </c>
      <c r="H284" s="372">
        <v>0</v>
      </c>
      <c r="I284" s="169">
        <v>46219</v>
      </c>
      <c r="J284" s="342">
        <v>46231</v>
      </c>
      <c r="K284" s="344" t="s">
        <v>40</v>
      </c>
      <c r="L284" s="344" t="s">
        <v>793</v>
      </c>
      <c r="M284" s="346">
        <v>0</v>
      </c>
      <c r="N284" s="347">
        <v>46219</v>
      </c>
      <c r="O284" s="347">
        <v>46231</v>
      </c>
      <c r="P284" s="349" t="s">
        <v>40</v>
      </c>
      <c r="Q284" s="349" t="s">
        <v>794</v>
      </c>
      <c r="R284" s="350">
        <v>0</v>
      </c>
      <c r="S284" s="352">
        <v>46239</v>
      </c>
      <c r="T284" s="352">
        <v>46246</v>
      </c>
      <c r="U284" s="354" t="s">
        <v>40</v>
      </c>
      <c r="V284" s="354" t="s">
        <v>795</v>
      </c>
      <c r="W284" s="355">
        <v>0</v>
      </c>
      <c r="X284" s="357">
        <v>46247</v>
      </c>
      <c r="Y284" s="357">
        <v>46249</v>
      </c>
      <c r="Z284" s="359" t="s">
        <v>40</v>
      </c>
      <c r="AA284" s="359" t="s">
        <v>796</v>
      </c>
      <c r="AB284" s="360">
        <v>0</v>
      </c>
      <c r="AC284" s="362">
        <v>46258</v>
      </c>
      <c r="AD284" s="326">
        <v>46265</v>
      </c>
      <c r="AE284" s="327" t="s">
        <v>40</v>
      </c>
      <c r="AF284" s="365" t="s">
        <v>795</v>
      </c>
      <c r="AG284" s="366">
        <v>0</v>
      </c>
      <c r="AH284" s="368">
        <v>46266</v>
      </c>
      <c r="AI284" s="368">
        <v>46269</v>
      </c>
      <c r="AJ284" s="369" t="s">
        <v>165</v>
      </c>
      <c r="AK284" s="373" t="s">
        <v>795</v>
      </c>
      <c r="AL284" s="370">
        <v>0</v>
      </c>
    </row>
    <row r="285" spans="1:38">
      <c r="A285" s="292" t="s">
        <v>670</v>
      </c>
      <c r="B285" s="300" t="s">
        <v>964</v>
      </c>
      <c r="C285" s="299">
        <v>1</v>
      </c>
      <c r="D285" s="149">
        <v>46195</v>
      </c>
      <c r="E285" s="149">
        <v>46200</v>
      </c>
      <c r="F285" s="341" t="s">
        <v>40</v>
      </c>
      <c r="G285" s="308" t="s">
        <v>792</v>
      </c>
      <c r="H285" s="372">
        <v>0</v>
      </c>
      <c r="I285" s="169">
        <v>46219</v>
      </c>
      <c r="J285" s="342">
        <v>46231</v>
      </c>
      <c r="K285" s="344" t="s">
        <v>40</v>
      </c>
      <c r="L285" s="344" t="s">
        <v>793</v>
      </c>
      <c r="M285" s="346">
        <v>0</v>
      </c>
      <c r="N285" s="347">
        <v>46219</v>
      </c>
      <c r="O285" s="347">
        <v>46231</v>
      </c>
      <c r="P285" s="349" t="s">
        <v>40</v>
      </c>
      <c r="Q285" s="349" t="s">
        <v>794</v>
      </c>
      <c r="R285" s="350">
        <v>0</v>
      </c>
      <c r="S285" s="352">
        <v>46239</v>
      </c>
      <c r="T285" s="352">
        <v>46246</v>
      </c>
      <c r="U285" s="354" t="s">
        <v>40</v>
      </c>
      <c r="V285" s="354" t="s">
        <v>795</v>
      </c>
      <c r="W285" s="355">
        <v>0</v>
      </c>
      <c r="X285" s="357">
        <v>46247</v>
      </c>
      <c r="Y285" s="357">
        <v>46249</v>
      </c>
      <c r="Z285" s="359" t="s">
        <v>40</v>
      </c>
      <c r="AA285" s="359" t="s">
        <v>796</v>
      </c>
      <c r="AB285" s="360">
        <v>0</v>
      </c>
      <c r="AC285" s="362">
        <v>46258</v>
      </c>
      <c r="AD285" s="326">
        <v>46265</v>
      </c>
      <c r="AE285" s="327" t="s">
        <v>40</v>
      </c>
      <c r="AF285" s="365" t="s">
        <v>795</v>
      </c>
      <c r="AG285" s="366">
        <v>0</v>
      </c>
      <c r="AH285" s="368">
        <v>46266</v>
      </c>
      <c r="AI285" s="368">
        <v>46269</v>
      </c>
      <c r="AJ285" s="369" t="s">
        <v>165</v>
      </c>
      <c r="AK285" s="373" t="s">
        <v>795</v>
      </c>
      <c r="AL285" s="370">
        <v>0</v>
      </c>
    </row>
    <row r="286" spans="1:38">
      <c r="A286" s="292" t="s">
        <v>670</v>
      </c>
      <c r="B286" s="300" t="s">
        <v>965</v>
      </c>
      <c r="C286" s="299">
        <v>1</v>
      </c>
      <c r="D286" s="149">
        <v>46195</v>
      </c>
      <c r="E286" s="149">
        <v>46200</v>
      </c>
      <c r="F286" s="341" t="s">
        <v>40</v>
      </c>
      <c r="G286" s="308" t="s">
        <v>792</v>
      </c>
      <c r="H286" s="372">
        <v>0</v>
      </c>
      <c r="I286" s="169">
        <v>46219</v>
      </c>
      <c r="J286" s="342">
        <v>46231</v>
      </c>
      <c r="K286" s="344" t="s">
        <v>40</v>
      </c>
      <c r="L286" s="344" t="s">
        <v>793</v>
      </c>
      <c r="M286" s="346">
        <v>0</v>
      </c>
      <c r="N286" s="347">
        <v>46219</v>
      </c>
      <c r="O286" s="347">
        <v>46231</v>
      </c>
      <c r="P286" s="349" t="s">
        <v>40</v>
      </c>
      <c r="Q286" s="349" t="s">
        <v>794</v>
      </c>
      <c r="R286" s="350">
        <v>0</v>
      </c>
      <c r="S286" s="352">
        <v>46239</v>
      </c>
      <c r="T286" s="352">
        <v>46246</v>
      </c>
      <c r="U286" s="354" t="s">
        <v>40</v>
      </c>
      <c r="V286" s="354" t="s">
        <v>795</v>
      </c>
      <c r="W286" s="355">
        <v>0</v>
      </c>
      <c r="X286" s="357">
        <v>46247</v>
      </c>
      <c r="Y286" s="357">
        <v>46249</v>
      </c>
      <c r="Z286" s="359" t="s">
        <v>40</v>
      </c>
      <c r="AA286" s="359" t="s">
        <v>796</v>
      </c>
      <c r="AB286" s="360">
        <v>0</v>
      </c>
      <c r="AC286" s="362">
        <v>46258</v>
      </c>
      <c r="AD286" s="326">
        <v>46265</v>
      </c>
      <c r="AE286" s="327" t="s">
        <v>40</v>
      </c>
      <c r="AF286" s="365" t="s">
        <v>795</v>
      </c>
      <c r="AG286" s="366">
        <v>0</v>
      </c>
      <c r="AH286" s="368">
        <v>46266</v>
      </c>
      <c r="AI286" s="368">
        <v>46269</v>
      </c>
      <c r="AJ286" s="369" t="s">
        <v>165</v>
      </c>
      <c r="AK286" s="373" t="s">
        <v>795</v>
      </c>
      <c r="AL286" s="370">
        <v>0</v>
      </c>
    </row>
    <row r="287" spans="1:38">
      <c r="A287" s="292" t="s">
        <v>670</v>
      </c>
      <c r="B287" s="300" t="s">
        <v>966</v>
      </c>
      <c r="C287" s="299">
        <v>1</v>
      </c>
      <c r="D287" s="149">
        <v>46195</v>
      </c>
      <c r="E287" s="149">
        <v>46200</v>
      </c>
      <c r="F287" s="341" t="s">
        <v>40</v>
      </c>
      <c r="G287" s="308" t="s">
        <v>792</v>
      </c>
      <c r="H287" s="372">
        <v>0</v>
      </c>
      <c r="I287" s="169">
        <v>46219</v>
      </c>
      <c r="J287" s="342">
        <v>46231</v>
      </c>
      <c r="K287" s="344" t="s">
        <v>40</v>
      </c>
      <c r="L287" s="344" t="s">
        <v>793</v>
      </c>
      <c r="M287" s="346">
        <v>0</v>
      </c>
      <c r="N287" s="347">
        <v>46219</v>
      </c>
      <c r="O287" s="347">
        <v>46231</v>
      </c>
      <c r="P287" s="349" t="s">
        <v>40</v>
      </c>
      <c r="Q287" s="349" t="s">
        <v>794</v>
      </c>
      <c r="R287" s="350">
        <v>0</v>
      </c>
      <c r="S287" s="352">
        <v>46239</v>
      </c>
      <c r="T287" s="352">
        <v>46246</v>
      </c>
      <c r="U287" s="354" t="s">
        <v>40</v>
      </c>
      <c r="V287" s="354" t="s">
        <v>795</v>
      </c>
      <c r="W287" s="355">
        <v>0</v>
      </c>
      <c r="X287" s="357">
        <v>46247</v>
      </c>
      <c r="Y287" s="357">
        <v>46249</v>
      </c>
      <c r="Z287" s="359" t="s">
        <v>40</v>
      </c>
      <c r="AA287" s="359" t="s">
        <v>796</v>
      </c>
      <c r="AB287" s="360">
        <v>0</v>
      </c>
      <c r="AC287" s="362">
        <v>46258</v>
      </c>
      <c r="AD287" s="326">
        <v>46265</v>
      </c>
      <c r="AE287" s="327" t="s">
        <v>40</v>
      </c>
      <c r="AF287" s="365" t="s">
        <v>795</v>
      </c>
      <c r="AG287" s="366">
        <v>0</v>
      </c>
      <c r="AH287" s="368">
        <v>46266</v>
      </c>
      <c r="AI287" s="368">
        <v>46269</v>
      </c>
      <c r="AJ287" s="369" t="s">
        <v>165</v>
      </c>
      <c r="AK287" s="373" t="s">
        <v>795</v>
      </c>
      <c r="AL287" s="370">
        <v>0</v>
      </c>
    </row>
    <row r="288" spans="1:38">
      <c r="A288" s="292" t="s">
        <v>670</v>
      </c>
      <c r="B288" s="300" t="s">
        <v>967</v>
      </c>
      <c r="C288" s="299">
        <v>1</v>
      </c>
      <c r="D288" s="149">
        <v>46195</v>
      </c>
      <c r="E288" s="149">
        <v>46200</v>
      </c>
      <c r="F288" s="341" t="s">
        <v>40</v>
      </c>
      <c r="G288" s="308" t="s">
        <v>792</v>
      </c>
      <c r="H288" s="372">
        <v>0</v>
      </c>
      <c r="I288" s="169">
        <v>46219</v>
      </c>
      <c r="J288" s="342">
        <v>46231</v>
      </c>
      <c r="K288" s="344" t="s">
        <v>40</v>
      </c>
      <c r="L288" s="344" t="s">
        <v>793</v>
      </c>
      <c r="M288" s="346">
        <v>0</v>
      </c>
      <c r="N288" s="347">
        <v>46219</v>
      </c>
      <c r="O288" s="347">
        <v>46231</v>
      </c>
      <c r="P288" s="349" t="s">
        <v>40</v>
      </c>
      <c r="Q288" s="349" t="s">
        <v>794</v>
      </c>
      <c r="R288" s="350">
        <v>0</v>
      </c>
      <c r="S288" s="352">
        <v>46239</v>
      </c>
      <c r="T288" s="352">
        <v>46246</v>
      </c>
      <c r="U288" s="354" t="s">
        <v>40</v>
      </c>
      <c r="V288" s="354" t="s">
        <v>795</v>
      </c>
      <c r="W288" s="355">
        <v>0</v>
      </c>
      <c r="X288" s="357">
        <v>46247</v>
      </c>
      <c r="Y288" s="357">
        <v>46249</v>
      </c>
      <c r="Z288" s="359" t="s">
        <v>40</v>
      </c>
      <c r="AA288" s="359" t="s">
        <v>796</v>
      </c>
      <c r="AB288" s="360">
        <v>0</v>
      </c>
      <c r="AC288" s="362">
        <v>46258</v>
      </c>
      <c r="AD288" s="326">
        <v>46265</v>
      </c>
      <c r="AE288" s="327" t="s">
        <v>40</v>
      </c>
      <c r="AF288" s="365" t="s">
        <v>795</v>
      </c>
      <c r="AG288" s="366">
        <v>0</v>
      </c>
      <c r="AH288" s="368">
        <v>46266</v>
      </c>
      <c r="AI288" s="368">
        <v>46269</v>
      </c>
      <c r="AJ288" s="369" t="s">
        <v>165</v>
      </c>
      <c r="AK288" s="373" t="s">
        <v>795</v>
      </c>
      <c r="AL288" s="370">
        <v>0</v>
      </c>
    </row>
    <row r="289" spans="1:38">
      <c r="A289" s="292" t="s">
        <v>670</v>
      </c>
      <c r="B289" s="300" t="s">
        <v>968</v>
      </c>
      <c r="C289" s="299">
        <v>1</v>
      </c>
      <c r="D289" s="149">
        <v>46195</v>
      </c>
      <c r="E289" s="149">
        <v>46200</v>
      </c>
      <c r="F289" s="341" t="s">
        <v>40</v>
      </c>
      <c r="G289" s="308" t="s">
        <v>792</v>
      </c>
      <c r="H289" s="372">
        <v>0</v>
      </c>
      <c r="I289" s="169">
        <v>46219</v>
      </c>
      <c r="J289" s="342">
        <v>46231</v>
      </c>
      <c r="K289" s="344" t="s">
        <v>40</v>
      </c>
      <c r="L289" s="344" t="s">
        <v>793</v>
      </c>
      <c r="M289" s="346">
        <v>0</v>
      </c>
      <c r="N289" s="347">
        <v>46219</v>
      </c>
      <c r="O289" s="347">
        <v>46231</v>
      </c>
      <c r="P289" s="349" t="s">
        <v>40</v>
      </c>
      <c r="Q289" s="349" t="s">
        <v>794</v>
      </c>
      <c r="R289" s="350">
        <v>0</v>
      </c>
      <c r="S289" s="352">
        <v>46239</v>
      </c>
      <c r="T289" s="352">
        <v>46246</v>
      </c>
      <c r="U289" s="354" t="s">
        <v>40</v>
      </c>
      <c r="V289" s="354" t="s">
        <v>795</v>
      </c>
      <c r="W289" s="355">
        <v>0</v>
      </c>
      <c r="X289" s="357">
        <v>46247</v>
      </c>
      <c r="Y289" s="357">
        <v>46249</v>
      </c>
      <c r="Z289" s="359" t="s">
        <v>40</v>
      </c>
      <c r="AA289" s="359" t="s">
        <v>796</v>
      </c>
      <c r="AB289" s="360">
        <v>0</v>
      </c>
      <c r="AC289" s="362">
        <v>46258</v>
      </c>
      <c r="AD289" s="326">
        <v>46265</v>
      </c>
      <c r="AE289" s="327" t="s">
        <v>40</v>
      </c>
      <c r="AF289" s="365" t="s">
        <v>795</v>
      </c>
      <c r="AG289" s="366">
        <v>0</v>
      </c>
      <c r="AH289" s="368">
        <v>46266</v>
      </c>
      <c r="AI289" s="368">
        <v>46269</v>
      </c>
      <c r="AJ289" s="369" t="s">
        <v>165</v>
      </c>
      <c r="AK289" s="373" t="s">
        <v>795</v>
      </c>
      <c r="AL289" s="370">
        <v>0</v>
      </c>
    </row>
    <row r="290" spans="1:38">
      <c r="A290" s="292" t="s">
        <v>670</v>
      </c>
      <c r="B290" s="300" t="s">
        <v>969</v>
      </c>
      <c r="C290" s="299">
        <v>1</v>
      </c>
      <c r="D290" s="149">
        <v>46195</v>
      </c>
      <c r="E290" s="149">
        <v>46200</v>
      </c>
      <c r="F290" s="341" t="s">
        <v>40</v>
      </c>
      <c r="G290" s="308" t="s">
        <v>792</v>
      </c>
      <c r="H290" s="372">
        <v>0</v>
      </c>
      <c r="I290" s="169">
        <v>46219</v>
      </c>
      <c r="J290" s="342">
        <v>46231</v>
      </c>
      <c r="K290" s="344" t="s">
        <v>40</v>
      </c>
      <c r="L290" s="344" t="s">
        <v>793</v>
      </c>
      <c r="M290" s="346">
        <v>0</v>
      </c>
      <c r="N290" s="347">
        <v>46219</v>
      </c>
      <c r="O290" s="347">
        <v>46231</v>
      </c>
      <c r="P290" s="349" t="s">
        <v>40</v>
      </c>
      <c r="Q290" s="349" t="s">
        <v>794</v>
      </c>
      <c r="R290" s="350">
        <v>0</v>
      </c>
      <c r="S290" s="352">
        <v>46239</v>
      </c>
      <c r="T290" s="352">
        <v>46246</v>
      </c>
      <c r="U290" s="354" t="s">
        <v>40</v>
      </c>
      <c r="V290" s="354" t="s">
        <v>795</v>
      </c>
      <c r="W290" s="355">
        <v>0</v>
      </c>
      <c r="X290" s="357">
        <v>46247</v>
      </c>
      <c r="Y290" s="357">
        <v>46249</v>
      </c>
      <c r="Z290" s="359" t="s">
        <v>40</v>
      </c>
      <c r="AA290" s="359" t="s">
        <v>796</v>
      </c>
      <c r="AB290" s="360">
        <v>0</v>
      </c>
      <c r="AC290" s="362">
        <v>46258</v>
      </c>
      <c r="AD290" s="326">
        <v>46265</v>
      </c>
      <c r="AE290" s="327" t="s">
        <v>40</v>
      </c>
      <c r="AF290" s="365" t="s">
        <v>795</v>
      </c>
      <c r="AG290" s="366">
        <v>0</v>
      </c>
      <c r="AH290" s="368">
        <v>46266</v>
      </c>
      <c r="AI290" s="368">
        <v>46269</v>
      </c>
      <c r="AJ290" s="369" t="s">
        <v>165</v>
      </c>
      <c r="AK290" s="373" t="s">
        <v>795</v>
      </c>
      <c r="AL290" s="370">
        <v>0</v>
      </c>
    </row>
    <row r="291" spans="1:38">
      <c r="A291" s="292" t="s">
        <v>670</v>
      </c>
      <c r="B291" s="300" t="s">
        <v>970</v>
      </c>
      <c r="C291" s="299">
        <v>1</v>
      </c>
      <c r="D291" s="149">
        <v>46195</v>
      </c>
      <c r="E291" s="149">
        <v>46200</v>
      </c>
      <c r="F291" s="341" t="s">
        <v>40</v>
      </c>
      <c r="G291" s="308" t="s">
        <v>792</v>
      </c>
      <c r="H291" s="372">
        <v>0</v>
      </c>
      <c r="I291" s="169">
        <v>46219</v>
      </c>
      <c r="J291" s="342">
        <v>46231</v>
      </c>
      <c r="K291" s="344" t="s">
        <v>40</v>
      </c>
      <c r="L291" s="344" t="s">
        <v>793</v>
      </c>
      <c r="M291" s="346">
        <v>0</v>
      </c>
      <c r="N291" s="347">
        <v>46219</v>
      </c>
      <c r="O291" s="347">
        <v>46231</v>
      </c>
      <c r="P291" s="349" t="s">
        <v>40</v>
      </c>
      <c r="Q291" s="349" t="s">
        <v>794</v>
      </c>
      <c r="R291" s="350">
        <v>0</v>
      </c>
      <c r="S291" s="352">
        <v>46239</v>
      </c>
      <c r="T291" s="352">
        <v>46246</v>
      </c>
      <c r="U291" s="354" t="s">
        <v>40</v>
      </c>
      <c r="V291" s="354" t="s">
        <v>795</v>
      </c>
      <c r="W291" s="355">
        <v>0</v>
      </c>
      <c r="X291" s="357">
        <v>46247</v>
      </c>
      <c r="Y291" s="357">
        <v>46249</v>
      </c>
      <c r="Z291" s="359" t="s">
        <v>40</v>
      </c>
      <c r="AA291" s="359" t="s">
        <v>796</v>
      </c>
      <c r="AB291" s="360">
        <v>0</v>
      </c>
      <c r="AC291" s="362">
        <v>46258</v>
      </c>
      <c r="AD291" s="326">
        <v>46265</v>
      </c>
      <c r="AE291" s="327" t="s">
        <v>40</v>
      </c>
      <c r="AF291" s="365" t="s">
        <v>795</v>
      </c>
      <c r="AG291" s="366">
        <v>0</v>
      </c>
      <c r="AH291" s="368">
        <v>46266</v>
      </c>
      <c r="AI291" s="368">
        <v>46269</v>
      </c>
      <c r="AJ291" s="369" t="s">
        <v>165</v>
      </c>
      <c r="AK291" s="373" t="s">
        <v>795</v>
      </c>
      <c r="AL291" s="370">
        <v>0</v>
      </c>
    </row>
    <row r="292" spans="1:38">
      <c r="A292" s="292" t="s">
        <v>670</v>
      </c>
      <c r="B292" s="300" t="s">
        <v>971</v>
      </c>
      <c r="C292" s="299">
        <v>1</v>
      </c>
      <c r="D292" s="149">
        <v>46195</v>
      </c>
      <c r="E292" s="149">
        <v>46200</v>
      </c>
      <c r="F292" s="341" t="s">
        <v>40</v>
      </c>
      <c r="G292" s="308" t="s">
        <v>792</v>
      </c>
      <c r="H292" s="372">
        <v>0</v>
      </c>
      <c r="I292" s="169">
        <v>46219</v>
      </c>
      <c r="J292" s="342">
        <v>46231</v>
      </c>
      <c r="K292" s="344" t="s">
        <v>40</v>
      </c>
      <c r="L292" s="344" t="s">
        <v>793</v>
      </c>
      <c r="M292" s="346">
        <v>0</v>
      </c>
      <c r="N292" s="347">
        <v>46219</v>
      </c>
      <c r="O292" s="347">
        <v>46231</v>
      </c>
      <c r="P292" s="349" t="s">
        <v>40</v>
      </c>
      <c r="Q292" s="349" t="s">
        <v>794</v>
      </c>
      <c r="R292" s="350">
        <v>0</v>
      </c>
      <c r="S292" s="352">
        <v>46239</v>
      </c>
      <c r="T292" s="352">
        <v>46246</v>
      </c>
      <c r="U292" s="354" t="s">
        <v>40</v>
      </c>
      <c r="V292" s="354" t="s">
        <v>795</v>
      </c>
      <c r="W292" s="355">
        <v>0</v>
      </c>
      <c r="X292" s="357">
        <v>46247</v>
      </c>
      <c r="Y292" s="357">
        <v>46249</v>
      </c>
      <c r="Z292" s="359" t="s">
        <v>40</v>
      </c>
      <c r="AA292" s="359" t="s">
        <v>796</v>
      </c>
      <c r="AB292" s="360">
        <v>0</v>
      </c>
      <c r="AC292" s="362">
        <v>46258</v>
      </c>
      <c r="AD292" s="326">
        <v>46265</v>
      </c>
      <c r="AE292" s="327" t="s">
        <v>40</v>
      </c>
      <c r="AF292" s="365" t="s">
        <v>795</v>
      </c>
      <c r="AG292" s="366">
        <v>0</v>
      </c>
      <c r="AH292" s="368">
        <v>46266</v>
      </c>
      <c r="AI292" s="368">
        <v>46269</v>
      </c>
      <c r="AJ292" s="369" t="s">
        <v>165</v>
      </c>
      <c r="AK292" s="373" t="s">
        <v>795</v>
      </c>
      <c r="AL292" s="370">
        <v>0</v>
      </c>
    </row>
    <row r="293" spans="1:38">
      <c r="A293" s="292" t="s">
        <v>670</v>
      </c>
      <c r="B293" s="300" t="s">
        <v>972</v>
      </c>
      <c r="C293" s="299">
        <v>1</v>
      </c>
      <c r="D293" s="149">
        <v>46195</v>
      </c>
      <c r="E293" s="149">
        <v>46200</v>
      </c>
      <c r="F293" s="341" t="s">
        <v>40</v>
      </c>
      <c r="G293" s="308" t="s">
        <v>792</v>
      </c>
      <c r="H293" s="372">
        <v>0</v>
      </c>
      <c r="I293" s="169">
        <v>46219</v>
      </c>
      <c r="J293" s="342">
        <v>46231</v>
      </c>
      <c r="K293" s="344" t="s">
        <v>40</v>
      </c>
      <c r="L293" s="344" t="s">
        <v>793</v>
      </c>
      <c r="M293" s="346">
        <v>0</v>
      </c>
      <c r="N293" s="347">
        <v>46219</v>
      </c>
      <c r="O293" s="347">
        <v>46231</v>
      </c>
      <c r="P293" s="349" t="s">
        <v>40</v>
      </c>
      <c r="Q293" s="349" t="s">
        <v>794</v>
      </c>
      <c r="R293" s="350">
        <v>0</v>
      </c>
      <c r="S293" s="352">
        <v>46239</v>
      </c>
      <c r="T293" s="352">
        <v>46246</v>
      </c>
      <c r="U293" s="354" t="s">
        <v>40</v>
      </c>
      <c r="V293" s="354" t="s">
        <v>795</v>
      </c>
      <c r="W293" s="355">
        <v>0</v>
      </c>
      <c r="X293" s="357">
        <v>46247</v>
      </c>
      <c r="Y293" s="357">
        <v>46249</v>
      </c>
      <c r="Z293" s="359" t="s">
        <v>40</v>
      </c>
      <c r="AA293" s="359" t="s">
        <v>796</v>
      </c>
      <c r="AB293" s="360">
        <v>0</v>
      </c>
      <c r="AC293" s="362">
        <v>46258</v>
      </c>
      <c r="AD293" s="326">
        <v>46265</v>
      </c>
      <c r="AE293" s="327" t="s">
        <v>40</v>
      </c>
      <c r="AF293" s="365" t="s">
        <v>795</v>
      </c>
      <c r="AG293" s="366">
        <v>0</v>
      </c>
      <c r="AH293" s="368">
        <v>46266</v>
      </c>
      <c r="AI293" s="368">
        <v>46269</v>
      </c>
      <c r="AJ293" s="369" t="s">
        <v>165</v>
      </c>
      <c r="AK293" s="373" t="s">
        <v>795</v>
      </c>
      <c r="AL293" s="370">
        <v>0</v>
      </c>
    </row>
    <row r="294" spans="1:38">
      <c r="A294" s="292" t="s">
        <v>670</v>
      </c>
      <c r="B294" s="300" t="s">
        <v>973</v>
      </c>
      <c r="C294" s="299">
        <v>1</v>
      </c>
      <c r="D294" s="149">
        <v>46195</v>
      </c>
      <c r="E294" s="149">
        <v>46200</v>
      </c>
      <c r="F294" s="341" t="s">
        <v>40</v>
      </c>
      <c r="G294" s="308" t="s">
        <v>792</v>
      </c>
      <c r="H294" s="372">
        <v>0</v>
      </c>
      <c r="I294" s="169">
        <v>46219</v>
      </c>
      <c r="J294" s="342">
        <v>46231</v>
      </c>
      <c r="K294" s="344" t="s">
        <v>40</v>
      </c>
      <c r="L294" s="344" t="s">
        <v>793</v>
      </c>
      <c r="M294" s="346">
        <v>0</v>
      </c>
      <c r="N294" s="347">
        <v>46219</v>
      </c>
      <c r="O294" s="347">
        <v>46231</v>
      </c>
      <c r="P294" s="349" t="s">
        <v>40</v>
      </c>
      <c r="Q294" s="349" t="s">
        <v>794</v>
      </c>
      <c r="R294" s="350">
        <v>0</v>
      </c>
      <c r="S294" s="352">
        <v>46239</v>
      </c>
      <c r="T294" s="352">
        <v>46246</v>
      </c>
      <c r="U294" s="354" t="s">
        <v>40</v>
      </c>
      <c r="V294" s="354" t="s">
        <v>795</v>
      </c>
      <c r="W294" s="355">
        <v>0</v>
      </c>
      <c r="X294" s="357">
        <v>46247</v>
      </c>
      <c r="Y294" s="357">
        <v>46249</v>
      </c>
      <c r="Z294" s="359" t="s">
        <v>40</v>
      </c>
      <c r="AA294" s="359" t="s">
        <v>796</v>
      </c>
      <c r="AB294" s="360">
        <v>0</v>
      </c>
      <c r="AC294" s="362">
        <v>46258</v>
      </c>
      <c r="AD294" s="326">
        <v>46265</v>
      </c>
      <c r="AE294" s="327" t="s">
        <v>40</v>
      </c>
      <c r="AF294" s="365" t="s">
        <v>795</v>
      </c>
      <c r="AG294" s="366">
        <v>0</v>
      </c>
      <c r="AH294" s="368">
        <v>46266</v>
      </c>
      <c r="AI294" s="368">
        <v>46269</v>
      </c>
      <c r="AJ294" s="369" t="s">
        <v>165</v>
      </c>
      <c r="AK294" s="373" t="s">
        <v>795</v>
      </c>
      <c r="AL294" s="370">
        <v>0</v>
      </c>
    </row>
    <row r="295" spans="1:38">
      <c r="A295" s="292" t="s">
        <v>670</v>
      </c>
      <c r="B295" s="300" t="s">
        <v>974</v>
      </c>
      <c r="C295" s="299">
        <v>1</v>
      </c>
      <c r="D295" s="149">
        <v>46195</v>
      </c>
      <c r="E295" s="149">
        <v>46200</v>
      </c>
      <c r="F295" s="341" t="s">
        <v>40</v>
      </c>
      <c r="G295" s="308" t="s">
        <v>792</v>
      </c>
      <c r="H295" s="372">
        <v>0</v>
      </c>
      <c r="I295" s="169">
        <v>46219</v>
      </c>
      <c r="J295" s="342">
        <v>46231</v>
      </c>
      <c r="K295" s="344" t="s">
        <v>40</v>
      </c>
      <c r="L295" s="344" t="s">
        <v>793</v>
      </c>
      <c r="M295" s="346">
        <v>0</v>
      </c>
      <c r="N295" s="347">
        <v>46219</v>
      </c>
      <c r="O295" s="347">
        <v>46231</v>
      </c>
      <c r="P295" s="349" t="s">
        <v>40</v>
      </c>
      <c r="Q295" s="349" t="s">
        <v>794</v>
      </c>
      <c r="R295" s="350">
        <v>0</v>
      </c>
      <c r="S295" s="352">
        <v>46239</v>
      </c>
      <c r="T295" s="352">
        <v>46246</v>
      </c>
      <c r="U295" s="354" t="s">
        <v>40</v>
      </c>
      <c r="V295" s="354" t="s">
        <v>795</v>
      </c>
      <c r="W295" s="355">
        <v>0</v>
      </c>
      <c r="X295" s="357">
        <v>46247</v>
      </c>
      <c r="Y295" s="357">
        <v>46249</v>
      </c>
      <c r="Z295" s="359" t="s">
        <v>40</v>
      </c>
      <c r="AA295" s="359" t="s">
        <v>796</v>
      </c>
      <c r="AB295" s="360">
        <v>0</v>
      </c>
      <c r="AC295" s="362">
        <v>46258</v>
      </c>
      <c r="AD295" s="326">
        <v>46265</v>
      </c>
      <c r="AE295" s="327" t="s">
        <v>40</v>
      </c>
      <c r="AF295" s="365" t="s">
        <v>795</v>
      </c>
      <c r="AG295" s="366">
        <v>0</v>
      </c>
      <c r="AH295" s="368">
        <v>46266</v>
      </c>
      <c r="AI295" s="368">
        <v>46269</v>
      </c>
      <c r="AJ295" s="369" t="s">
        <v>165</v>
      </c>
      <c r="AK295" s="373" t="s">
        <v>795</v>
      </c>
      <c r="AL295" s="370">
        <v>0</v>
      </c>
    </row>
    <row r="296" spans="1:38">
      <c r="A296" s="292" t="s">
        <v>670</v>
      </c>
      <c r="B296" s="300" t="s">
        <v>975</v>
      </c>
      <c r="C296" s="299">
        <v>1</v>
      </c>
      <c r="D296" s="149">
        <v>46195</v>
      </c>
      <c r="E296" s="149">
        <v>46200</v>
      </c>
      <c r="F296" s="341" t="s">
        <v>40</v>
      </c>
      <c r="G296" s="308" t="s">
        <v>792</v>
      </c>
      <c r="H296" s="372">
        <v>0</v>
      </c>
      <c r="I296" s="169">
        <v>46219</v>
      </c>
      <c r="J296" s="342">
        <v>46231</v>
      </c>
      <c r="K296" s="344" t="s">
        <v>40</v>
      </c>
      <c r="L296" s="344" t="s">
        <v>793</v>
      </c>
      <c r="M296" s="346">
        <v>0</v>
      </c>
      <c r="N296" s="347">
        <v>46219</v>
      </c>
      <c r="O296" s="347">
        <v>46231</v>
      </c>
      <c r="P296" s="349" t="s">
        <v>40</v>
      </c>
      <c r="Q296" s="349" t="s">
        <v>794</v>
      </c>
      <c r="R296" s="350">
        <v>0</v>
      </c>
      <c r="S296" s="352">
        <v>46239</v>
      </c>
      <c r="T296" s="352">
        <v>46246</v>
      </c>
      <c r="U296" s="354" t="s">
        <v>40</v>
      </c>
      <c r="V296" s="354" t="s">
        <v>795</v>
      </c>
      <c r="W296" s="355">
        <v>0</v>
      </c>
      <c r="X296" s="357">
        <v>46247</v>
      </c>
      <c r="Y296" s="357">
        <v>46249</v>
      </c>
      <c r="Z296" s="359" t="s">
        <v>40</v>
      </c>
      <c r="AA296" s="359" t="s">
        <v>796</v>
      </c>
      <c r="AB296" s="360">
        <v>0</v>
      </c>
      <c r="AC296" s="362">
        <v>46258</v>
      </c>
      <c r="AD296" s="326">
        <v>46265</v>
      </c>
      <c r="AE296" s="327" t="s">
        <v>40</v>
      </c>
      <c r="AF296" s="365" t="s">
        <v>795</v>
      </c>
      <c r="AG296" s="366">
        <v>0</v>
      </c>
      <c r="AH296" s="368">
        <v>46266</v>
      </c>
      <c r="AI296" s="368">
        <v>46269</v>
      </c>
      <c r="AJ296" s="369" t="s">
        <v>165</v>
      </c>
      <c r="AK296" s="373" t="s">
        <v>795</v>
      </c>
      <c r="AL296" s="370">
        <v>0</v>
      </c>
    </row>
    <row r="297" spans="1:38">
      <c r="A297" s="292" t="s">
        <v>670</v>
      </c>
      <c r="B297" s="300" t="s">
        <v>976</v>
      </c>
      <c r="C297" s="299">
        <v>1</v>
      </c>
      <c r="D297" s="149">
        <v>46195</v>
      </c>
      <c r="E297" s="149">
        <v>46200</v>
      </c>
      <c r="F297" s="341" t="s">
        <v>40</v>
      </c>
      <c r="G297" s="308" t="s">
        <v>792</v>
      </c>
      <c r="H297" s="372">
        <v>0</v>
      </c>
      <c r="I297" s="169">
        <v>46219</v>
      </c>
      <c r="J297" s="342">
        <v>46231</v>
      </c>
      <c r="K297" s="344" t="s">
        <v>40</v>
      </c>
      <c r="L297" s="344" t="s">
        <v>793</v>
      </c>
      <c r="M297" s="346">
        <v>0</v>
      </c>
      <c r="N297" s="347">
        <v>46219</v>
      </c>
      <c r="O297" s="347">
        <v>46231</v>
      </c>
      <c r="P297" s="349" t="s">
        <v>40</v>
      </c>
      <c r="Q297" s="349" t="s">
        <v>794</v>
      </c>
      <c r="R297" s="350">
        <v>0</v>
      </c>
      <c r="S297" s="352">
        <v>46239</v>
      </c>
      <c r="T297" s="352">
        <v>46246</v>
      </c>
      <c r="U297" s="354" t="s">
        <v>40</v>
      </c>
      <c r="V297" s="354" t="s">
        <v>795</v>
      </c>
      <c r="W297" s="355">
        <v>0</v>
      </c>
      <c r="X297" s="357">
        <v>46247</v>
      </c>
      <c r="Y297" s="357">
        <v>46249</v>
      </c>
      <c r="Z297" s="359" t="s">
        <v>40</v>
      </c>
      <c r="AA297" s="359" t="s">
        <v>796</v>
      </c>
      <c r="AB297" s="360">
        <v>0</v>
      </c>
      <c r="AC297" s="362">
        <v>46258</v>
      </c>
      <c r="AD297" s="326">
        <v>46265</v>
      </c>
      <c r="AE297" s="327" t="s">
        <v>40</v>
      </c>
      <c r="AF297" s="365" t="s">
        <v>795</v>
      </c>
      <c r="AG297" s="366">
        <v>0</v>
      </c>
      <c r="AH297" s="368">
        <v>46266</v>
      </c>
      <c r="AI297" s="368">
        <v>46269</v>
      </c>
      <c r="AJ297" s="369" t="s">
        <v>165</v>
      </c>
      <c r="AK297" s="373" t="s">
        <v>795</v>
      </c>
      <c r="AL297" s="370">
        <v>0</v>
      </c>
    </row>
    <row r="298" spans="1:38">
      <c r="A298" s="292" t="s">
        <v>670</v>
      </c>
      <c r="B298" s="300" t="s">
        <v>977</v>
      </c>
      <c r="C298" s="299">
        <v>1</v>
      </c>
      <c r="D298" s="149">
        <v>46195</v>
      </c>
      <c r="E298" s="149">
        <v>46200</v>
      </c>
      <c r="F298" s="341" t="s">
        <v>40</v>
      </c>
      <c r="G298" s="308" t="s">
        <v>792</v>
      </c>
      <c r="H298" s="372">
        <v>0</v>
      </c>
      <c r="I298" s="169">
        <v>46219</v>
      </c>
      <c r="J298" s="342">
        <v>46231</v>
      </c>
      <c r="K298" s="344" t="s">
        <v>40</v>
      </c>
      <c r="L298" s="344" t="s">
        <v>793</v>
      </c>
      <c r="M298" s="346">
        <v>0</v>
      </c>
      <c r="N298" s="347">
        <v>46219</v>
      </c>
      <c r="O298" s="347">
        <v>46231</v>
      </c>
      <c r="P298" s="349" t="s">
        <v>40</v>
      </c>
      <c r="Q298" s="349" t="s">
        <v>794</v>
      </c>
      <c r="R298" s="350">
        <v>0</v>
      </c>
      <c r="S298" s="352">
        <v>46239</v>
      </c>
      <c r="T298" s="352">
        <v>46246</v>
      </c>
      <c r="U298" s="354" t="s">
        <v>40</v>
      </c>
      <c r="V298" s="354" t="s">
        <v>795</v>
      </c>
      <c r="W298" s="355">
        <v>0</v>
      </c>
      <c r="X298" s="357">
        <v>46247</v>
      </c>
      <c r="Y298" s="357">
        <v>46249</v>
      </c>
      <c r="Z298" s="359" t="s">
        <v>40</v>
      </c>
      <c r="AA298" s="359" t="s">
        <v>796</v>
      </c>
      <c r="AB298" s="360">
        <v>0</v>
      </c>
      <c r="AC298" s="362">
        <v>46258</v>
      </c>
      <c r="AD298" s="326">
        <v>46265</v>
      </c>
      <c r="AE298" s="327" t="s">
        <v>40</v>
      </c>
      <c r="AF298" s="365" t="s">
        <v>795</v>
      </c>
      <c r="AG298" s="366">
        <v>0</v>
      </c>
      <c r="AH298" s="368">
        <v>46266</v>
      </c>
      <c r="AI298" s="368">
        <v>46269</v>
      </c>
      <c r="AJ298" s="369" t="s">
        <v>165</v>
      </c>
      <c r="AK298" s="373" t="s">
        <v>795</v>
      </c>
      <c r="AL298" s="370">
        <v>0</v>
      </c>
    </row>
    <row r="299" spans="1:38">
      <c r="A299" s="292" t="s">
        <v>670</v>
      </c>
      <c r="B299" s="300" t="s">
        <v>978</v>
      </c>
      <c r="C299" s="299">
        <v>1</v>
      </c>
      <c r="D299" s="149">
        <v>46195</v>
      </c>
      <c r="E299" s="149">
        <v>46200</v>
      </c>
      <c r="F299" s="341" t="s">
        <v>40</v>
      </c>
      <c r="G299" s="308" t="s">
        <v>792</v>
      </c>
      <c r="H299" s="372">
        <v>0</v>
      </c>
      <c r="I299" s="169">
        <v>46219</v>
      </c>
      <c r="J299" s="342">
        <v>46231</v>
      </c>
      <c r="K299" s="344" t="s">
        <v>40</v>
      </c>
      <c r="L299" s="344" t="s">
        <v>793</v>
      </c>
      <c r="M299" s="346">
        <v>0</v>
      </c>
      <c r="N299" s="347">
        <v>46219</v>
      </c>
      <c r="O299" s="347">
        <v>46231</v>
      </c>
      <c r="P299" s="349" t="s">
        <v>40</v>
      </c>
      <c r="Q299" s="349" t="s">
        <v>794</v>
      </c>
      <c r="R299" s="350">
        <v>0</v>
      </c>
      <c r="S299" s="352">
        <v>46239</v>
      </c>
      <c r="T299" s="352">
        <v>46246</v>
      </c>
      <c r="U299" s="354" t="s">
        <v>40</v>
      </c>
      <c r="V299" s="354" t="s">
        <v>795</v>
      </c>
      <c r="W299" s="355">
        <v>0</v>
      </c>
      <c r="X299" s="357">
        <v>46247</v>
      </c>
      <c r="Y299" s="357">
        <v>46249</v>
      </c>
      <c r="Z299" s="359" t="s">
        <v>40</v>
      </c>
      <c r="AA299" s="359" t="s">
        <v>796</v>
      </c>
      <c r="AB299" s="360">
        <v>0</v>
      </c>
      <c r="AC299" s="362">
        <v>46258</v>
      </c>
      <c r="AD299" s="326">
        <v>46265</v>
      </c>
      <c r="AE299" s="327" t="s">
        <v>40</v>
      </c>
      <c r="AF299" s="365" t="s">
        <v>795</v>
      </c>
      <c r="AG299" s="366">
        <v>0</v>
      </c>
      <c r="AH299" s="368">
        <v>46266</v>
      </c>
      <c r="AI299" s="368">
        <v>46269</v>
      </c>
      <c r="AJ299" s="369" t="s">
        <v>165</v>
      </c>
      <c r="AK299" s="373" t="s">
        <v>795</v>
      </c>
      <c r="AL299" s="370">
        <v>0</v>
      </c>
    </row>
    <row r="300" spans="1:38">
      <c r="A300" s="292" t="s">
        <v>670</v>
      </c>
      <c r="B300" s="300" t="s">
        <v>979</v>
      </c>
      <c r="C300" s="299">
        <v>1</v>
      </c>
      <c r="D300" s="149">
        <v>46195</v>
      </c>
      <c r="E300" s="149">
        <v>46200</v>
      </c>
      <c r="F300" s="341" t="s">
        <v>40</v>
      </c>
      <c r="G300" s="308" t="s">
        <v>792</v>
      </c>
      <c r="H300" s="372">
        <v>0</v>
      </c>
      <c r="I300" s="169">
        <v>46219</v>
      </c>
      <c r="J300" s="342">
        <v>46231</v>
      </c>
      <c r="K300" s="344" t="s">
        <v>40</v>
      </c>
      <c r="L300" s="344" t="s">
        <v>793</v>
      </c>
      <c r="M300" s="346">
        <v>0</v>
      </c>
      <c r="N300" s="347">
        <v>46219</v>
      </c>
      <c r="O300" s="347">
        <v>46231</v>
      </c>
      <c r="P300" s="349" t="s">
        <v>40</v>
      </c>
      <c r="Q300" s="349" t="s">
        <v>794</v>
      </c>
      <c r="R300" s="350">
        <v>0</v>
      </c>
      <c r="S300" s="352">
        <v>46239</v>
      </c>
      <c r="T300" s="352">
        <v>46246</v>
      </c>
      <c r="U300" s="354" t="s">
        <v>40</v>
      </c>
      <c r="V300" s="354" t="s">
        <v>795</v>
      </c>
      <c r="W300" s="355">
        <v>0</v>
      </c>
      <c r="X300" s="357">
        <v>46247</v>
      </c>
      <c r="Y300" s="357">
        <v>46249</v>
      </c>
      <c r="Z300" s="359" t="s">
        <v>40</v>
      </c>
      <c r="AA300" s="359" t="s">
        <v>796</v>
      </c>
      <c r="AB300" s="360">
        <v>0</v>
      </c>
      <c r="AC300" s="362">
        <v>46258</v>
      </c>
      <c r="AD300" s="326">
        <v>46265</v>
      </c>
      <c r="AE300" s="327" t="s">
        <v>40</v>
      </c>
      <c r="AF300" s="365" t="s">
        <v>795</v>
      </c>
      <c r="AG300" s="366">
        <v>0</v>
      </c>
      <c r="AH300" s="368">
        <v>46266</v>
      </c>
      <c r="AI300" s="368">
        <v>46269</v>
      </c>
      <c r="AJ300" s="369" t="s">
        <v>165</v>
      </c>
      <c r="AK300" s="373" t="s">
        <v>795</v>
      </c>
      <c r="AL300" s="370">
        <v>0</v>
      </c>
    </row>
    <row r="301" spans="1:38">
      <c r="A301" s="292" t="s">
        <v>670</v>
      </c>
      <c r="B301" s="300" t="s">
        <v>980</v>
      </c>
      <c r="C301" s="299">
        <v>1</v>
      </c>
      <c r="D301" s="149">
        <v>46195</v>
      </c>
      <c r="E301" s="149">
        <v>46200</v>
      </c>
      <c r="F301" s="341" t="s">
        <v>40</v>
      </c>
      <c r="G301" s="308" t="s">
        <v>792</v>
      </c>
      <c r="H301" s="372">
        <v>0</v>
      </c>
      <c r="I301" s="169">
        <v>46219</v>
      </c>
      <c r="J301" s="342">
        <v>46231</v>
      </c>
      <c r="K301" s="344" t="s">
        <v>40</v>
      </c>
      <c r="L301" s="344" t="s">
        <v>793</v>
      </c>
      <c r="M301" s="346">
        <v>0</v>
      </c>
      <c r="N301" s="347">
        <v>46219</v>
      </c>
      <c r="O301" s="347">
        <v>46231</v>
      </c>
      <c r="P301" s="349" t="s">
        <v>40</v>
      </c>
      <c r="Q301" s="349" t="s">
        <v>794</v>
      </c>
      <c r="R301" s="350">
        <v>0</v>
      </c>
      <c r="S301" s="352">
        <v>46239</v>
      </c>
      <c r="T301" s="352">
        <v>46246</v>
      </c>
      <c r="U301" s="354" t="s">
        <v>40</v>
      </c>
      <c r="V301" s="354" t="s">
        <v>795</v>
      </c>
      <c r="W301" s="355">
        <v>0</v>
      </c>
      <c r="X301" s="357">
        <v>46247</v>
      </c>
      <c r="Y301" s="357">
        <v>46249</v>
      </c>
      <c r="Z301" s="359" t="s">
        <v>40</v>
      </c>
      <c r="AA301" s="359" t="s">
        <v>796</v>
      </c>
      <c r="AB301" s="360">
        <v>0</v>
      </c>
      <c r="AC301" s="362">
        <v>46258</v>
      </c>
      <c r="AD301" s="326">
        <v>46265</v>
      </c>
      <c r="AE301" s="327" t="s">
        <v>40</v>
      </c>
      <c r="AF301" s="365" t="s">
        <v>795</v>
      </c>
      <c r="AG301" s="366">
        <v>0</v>
      </c>
      <c r="AH301" s="368">
        <v>46266</v>
      </c>
      <c r="AI301" s="368">
        <v>46269</v>
      </c>
      <c r="AJ301" s="369" t="s">
        <v>165</v>
      </c>
      <c r="AK301" s="373" t="s">
        <v>795</v>
      </c>
      <c r="AL301" s="370">
        <v>0</v>
      </c>
    </row>
    <row r="302" spans="1:38">
      <c r="A302" s="292" t="s">
        <v>670</v>
      </c>
      <c r="B302" s="300" t="s">
        <v>981</v>
      </c>
      <c r="C302" s="299">
        <v>1</v>
      </c>
      <c r="D302" s="149">
        <v>46195</v>
      </c>
      <c r="E302" s="149">
        <v>46200</v>
      </c>
      <c r="F302" s="341" t="s">
        <v>40</v>
      </c>
      <c r="G302" s="308" t="s">
        <v>792</v>
      </c>
      <c r="H302" s="372">
        <v>0</v>
      </c>
      <c r="I302" s="169">
        <v>46219</v>
      </c>
      <c r="J302" s="342">
        <v>46231</v>
      </c>
      <c r="K302" s="344" t="s">
        <v>40</v>
      </c>
      <c r="L302" s="344" t="s">
        <v>793</v>
      </c>
      <c r="M302" s="346">
        <v>0</v>
      </c>
      <c r="N302" s="347">
        <v>46219</v>
      </c>
      <c r="O302" s="347">
        <v>46231</v>
      </c>
      <c r="P302" s="349" t="s">
        <v>40</v>
      </c>
      <c r="Q302" s="349" t="s">
        <v>794</v>
      </c>
      <c r="R302" s="350">
        <v>0</v>
      </c>
      <c r="S302" s="352">
        <v>46239</v>
      </c>
      <c r="T302" s="352">
        <v>46246</v>
      </c>
      <c r="U302" s="354" t="s">
        <v>40</v>
      </c>
      <c r="V302" s="354" t="s">
        <v>795</v>
      </c>
      <c r="W302" s="355">
        <v>0</v>
      </c>
      <c r="X302" s="357">
        <v>46247</v>
      </c>
      <c r="Y302" s="357">
        <v>46249</v>
      </c>
      <c r="Z302" s="359" t="s">
        <v>40</v>
      </c>
      <c r="AA302" s="359" t="s">
        <v>796</v>
      </c>
      <c r="AB302" s="360">
        <v>0</v>
      </c>
      <c r="AC302" s="362">
        <v>46258</v>
      </c>
      <c r="AD302" s="326">
        <v>46265</v>
      </c>
      <c r="AE302" s="327" t="s">
        <v>40</v>
      </c>
      <c r="AF302" s="365" t="s">
        <v>795</v>
      </c>
      <c r="AG302" s="366">
        <v>0</v>
      </c>
      <c r="AH302" s="368">
        <v>46266</v>
      </c>
      <c r="AI302" s="368">
        <v>46269</v>
      </c>
      <c r="AJ302" s="369" t="s">
        <v>165</v>
      </c>
      <c r="AK302" s="373" t="s">
        <v>795</v>
      </c>
      <c r="AL302" s="370">
        <v>0</v>
      </c>
    </row>
    <row r="303" spans="1:38">
      <c r="A303" s="292" t="s">
        <v>670</v>
      </c>
      <c r="B303" s="300" t="s">
        <v>982</v>
      </c>
      <c r="C303" s="299">
        <v>1</v>
      </c>
      <c r="D303" s="149">
        <v>46195</v>
      </c>
      <c r="E303" s="149">
        <v>46200</v>
      </c>
      <c r="F303" s="341" t="s">
        <v>40</v>
      </c>
      <c r="G303" s="308" t="s">
        <v>792</v>
      </c>
      <c r="H303" s="372">
        <v>0</v>
      </c>
      <c r="I303" s="169">
        <v>46219</v>
      </c>
      <c r="J303" s="342">
        <v>46231</v>
      </c>
      <c r="K303" s="344" t="s">
        <v>40</v>
      </c>
      <c r="L303" s="344" t="s">
        <v>793</v>
      </c>
      <c r="M303" s="346">
        <v>0</v>
      </c>
      <c r="N303" s="347">
        <v>46219</v>
      </c>
      <c r="O303" s="347">
        <v>46231</v>
      </c>
      <c r="P303" s="349" t="s">
        <v>40</v>
      </c>
      <c r="Q303" s="349" t="s">
        <v>794</v>
      </c>
      <c r="R303" s="350">
        <v>0</v>
      </c>
      <c r="S303" s="352">
        <v>46239</v>
      </c>
      <c r="T303" s="352">
        <v>46246</v>
      </c>
      <c r="U303" s="354" t="s">
        <v>40</v>
      </c>
      <c r="V303" s="354" t="s">
        <v>795</v>
      </c>
      <c r="W303" s="355">
        <v>0</v>
      </c>
      <c r="X303" s="357">
        <v>46247</v>
      </c>
      <c r="Y303" s="357">
        <v>46249</v>
      </c>
      <c r="Z303" s="359" t="s">
        <v>40</v>
      </c>
      <c r="AA303" s="359" t="s">
        <v>796</v>
      </c>
      <c r="AB303" s="360">
        <v>0</v>
      </c>
      <c r="AC303" s="362">
        <v>46258</v>
      </c>
      <c r="AD303" s="326">
        <v>46265</v>
      </c>
      <c r="AE303" s="327" t="s">
        <v>40</v>
      </c>
      <c r="AF303" s="365" t="s">
        <v>795</v>
      </c>
      <c r="AG303" s="366">
        <v>0</v>
      </c>
      <c r="AH303" s="368">
        <v>46266</v>
      </c>
      <c r="AI303" s="368">
        <v>46269</v>
      </c>
      <c r="AJ303" s="369" t="s">
        <v>165</v>
      </c>
      <c r="AK303" s="373" t="s">
        <v>795</v>
      </c>
      <c r="AL303" s="370">
        <v>0</v>
      </c>
    </row>
    <row r="304" spans="1:38">
      <c r="A304" s="292" t="s">
        <v>670</v>
      </c>
      <c r="B304" s="300" t="s">
        <v>983</v>
      </c>
      <c r="C304" s="299">
        <v>1</v>
      </c>
      <c r="D304" s="149">
        <v>46195</v>
      </c>
      <c r="E304" s="149">
        <v>46200</v>
      </c>
      <c r="F304" s="341" t="s">
        <v>40</v>
      </c>
      <c r="G304" s="308" t="s">
        <v>792</v>
      </c>
      <c r="H304" s="372">
        <v>0</v>
      </c>
      <c r="I304" s="169">
        <v>46219</v>
      </c>
      <c r="J304" s="342">
        <v>46231</v>
      </c>
      <c r="K304" s="344" t="s">
        <v>40</v>
      </c>
      <c r="L304" s="344" t="s">
        <v>793</v>
      </c>
      <c r="M304" s="346">
        <v>0</v>
      </c>
      <c r="N304" s="347">
        <v>46219</v>
      </c>
      <c r="O304" s="347">
        <v>46231</v>
      </c>
      <c r="P304" s="349" t="s">
        <v>40</v>
      </c>
      <c r="Q304" s="349" t="s">
        <v>794</v>
      </c>
      <c r="R304" s="350">
        <v>0</v>
      </c>
      <c r="S304" s="352">
        <v>46239</v>
      </c>
      <c r="T304" s="352">
        <v>46246</v>
      </c>
      <c r="U304" s="354" t="s">
        <v>40</v>
      </c>
      <c r="V304" s="354" t="s">
        <v>795</v>
      </c>
      <c r="W304" s="355">
        <v>0</v>
      </c>
      <c r="X304" s="357">
        <v>46247</v>
      </c>
      <c r="Y304" s="357">
        <v>46249</v>
      </c>
      <c r="Z304" s="359" t="s">
        <v>40</v>
      </c>
      <c r="AA304" s="359" t="s">
        <v>796</v>
      </c>
      <c r="AB304" s="360">
        <v>0</v>
      </c>
      <c r="AC304" s="362">
        <v>46258</v>
      </c>
      <c r="AD304" s="326">
        <v>46265</v>
      </c>
      <c r="AE304" s="327" t="s">
        <v>40</v>
      </c>
      <c r="AF304" s="365" t="s">
        <v>795</v>
      </c>
      <c r="AG304" s="366">
        <v>0</v>
      </c>
      <c r="AH304" s="368">
        <v>46266</v>
      </c>
      <c r="AI304" s="368">
        <v>46269</v>
      </c>
      <c r="AJ304" s="369" t="s">
        <v>165</v>
      </c>
      <c r="AK304" s="373" t="s">
        <v>795</v>
      </c>
      <c r="AL304" s="370">
        <v>0</v>
      </c>
    </row>
    <row r="305" spans="1:38">
      <c r="A305" s="292" t="s">
        <v>670</v>
      </c>
      <c r="B305" s="300" t="s">
        <v>984</v>
      </c>
      <c r="C305" s="299">
        <v>1</v>
      </c>
      <c r="D305" s="149">
        <v>46195</v>
      </c>
      <c r="E305" s="149">
        <v>46200</v>
      </c>
      <c r="F305" s="341" t="s">
        <v>40</v>
      </c>
      <c r="G305" s="308" t="s">
        <v>792</v>
      </c>
      <c r="H305" s="372">
        <v>0</v>
      </c>
      <c r="I305" s="169">
        <v>46219</v>
      </c>
      <c r="J305" s="342">
        <v>46231</v>
      </c>
      <c r="K305" s="344" t="s">
        <v>40</v>
      </c>
      <c r="L305" s="344" t="s">
        <v>793</v>
      </c>
      <c r="M305" s="346">
        <v>0</v>
      </c>
      <c r="N305" s="347">
        <v>46219</v>
      </c>
      <c r="O305" s="347">
        <v>46231</v>
      </c>
      <c r="P305" s="349" t="s">
        <v>40</v>
      </c>
      <c r="Q305" s="349" t="s">
        <v>794</v>
      </c>
      <c r="R305" s="350">
        <v>0</v>
      </c>
      <c r="S305" s="352">
        <v>46239</v>
      </c>
      <c r="T305" s="352">
        <v>46246</v>
      </c>
      <c r="U305" s="354" t="s">
        <v>40</v>
      </c>
      <c r="V305" s="354" t="s">
        <v>795</v>
      </c>
      <c r="W305" s="355">
        <v>0</v>
      </c>
      <c r="X305" s="357">
        <v>46247</v>
      </c>
      <c r="Y305" s="357">
        <v>46249</v>
      </c>
      <c r="Z305" s="359" t="s">
        <v>40</v>
      </c>
      <c r="AA305" s="359" t="s">
        <v>796</v>
      </c>
      <c r="AB305" s="360">
        <v>0</v>
      </c>
      <c r="AC305" s="362">
        <v>46258</v>
      </c>
      <c r="AD305" s="326">
        <v>46265</v>
      </c>
      <c r="AE305" s="327" t="s">
        <v>40</v>
      </c>
      <c r="AF305" s="365" t="s">
        <v>795</v>
      </c>
      <c r="AG305" s="366">
        <v>0</v>
      </c>
      <c r="AH305" s="368">
        <v>46266</v>
      </c>
      <c r="AI305" s="368">
        <v>46269</v>
      </c>
      <c r="AJ305" s="369" t="s">
        <v>165</v>
      </c>
      <c r="AK305" s="373" t="s">
        <v>795</v>
      </c>
      <c r="AL305" s="370">
        <v>0</v>
      </c>
    </row>
    <row r="306" spans="1:38">
      <c r="A306" s="292" t="s">
        <v>670</v>
      </c>
      <c r="B306" s="300" t="s">
        <v>985</v>
      </c>
      <c r="C306" s="299">
        <v>1</v>
      </c>
      <c r="D306" s="149">
        <v>46195</v>
      </c>
      <c r="E306" s="149">
        <v>46200</v>
      </c>
      <c r="F306" s="341" t="s">
        <v>40</v>
      </c>
      <c r="G306" s="308" t="s">
        <v>792</v>
      </c>
      <c r="H306" s="372">
        <v>0</v>
      </c>
      <c r="I306" s="169">
        <v>46219</v>
      </c>
      <c r="J306" s="342">
        <v>46231</v>
      </c>
      <c r="K306" s="344" t="s">
        <v>40</v>
      </c>
      <c r="L306" s="344" t="s">
        <v>793</v>
      </c>
      <c r="M306" s="346">
        <v>0</v>
      </c>
      <c r="N306" s="347">
        <v>46219</v>
      </c>
      <c r="O306" s="347">
        <v>46231</v>
      </c>
      <c r="P306" s="349" t="s">
        <v>40</v>
      </c>
      <c r="Q306" s="349" t="s">
        <v>794</v>
      </c>
      <c r="R306" s="350">
        <v>0</v>
      </c>
      <c r="S306" s="352">
        <v>46239</v>
      </c>
      <c r="T306" s="352">
        <v>46246</v>
      </c>
      <c r="U306" s="354" t="s">
        <v>40</v>
      </c>
      <c r="V306" s="354" t="s">
        <v>795</v>
      </c>
      <c r="W306" s="355">
        <v>0</v>
      </c>
      <c r="X306" s="357">
        <v>46247</v>
      </c>
      <c r="Y306" s="357">
        <v>46249</v>
      </c>
      <c r="Z306" s="359" t="s">
        <v>40</v>
      </c>
      <c r="AA306" s="359" t="s">
        <v>796</v>
      </c>
      <c r="AB306" s="360">
        <v>0</v>
      </c>
      <c r="AC306" s="362">
        <v>46258</v>
      </c>
      <c r="AD306" s="326">
        <v>46265</v>
      </c>
      <c r="AE306" s="327" t="s">
        <v>40</v>
      </c>
      <c r="AF306" s="365" t="s">
        <v>795</v>
      </c>
      <c r="AG306" s="366">
        <v>0</v>
      </c>
      <c r="AH306" s="368">
        <v>46266</v>
      </c>
      <c r="AI306" s="368">
        <v>46269</v>
      </c>
      <c r="AJ306" s="369" t="s">
        <v>165</v>
      </c>
      <c r="AK306" s="373" t="s">
        <v>795</v>
      </c>
      <c r="AL306" s="370">
        <v>0</v>
      </c>
    </row>
    <row r="307" spans="1:38">
      <c r="A307" s="292" t="s">
        <v>670</v>
      </c>
      <c r="B307" s="300" t="s">
        <v>986</v>
      </c>
      <c r="C307" s="299">
        <v>1</v>
      </c>
      <c r="D307" s="149">
        <v>46195</v>
      </c>
      <c r="E307" s="149">
        <v>46200</v>
      </c>
      <c r="F307" s="341" t="s">
        <v>40</v>
      </c>
      <c r="G307" s="308" t="s">
        <v>792</v>
      </c>
      <c r="H307" s="372">
        <v>0</v>
      </c>
      <c r="I307" s="169">
        <v>46219</v>
      </c>
      <c r="J307" s="342">
        <v>46231</v>
      </c>
      <c r="K307" s="344" t="s">
        <v>40</v>
      </c>
      <c r="L307" s="344" t="s">
        <v>793</v>
      </c>
      <c r="M307" s="346">
        <v>0</v>
      </c>
      <c r="N307" s="347">
        <v>46219</v>
      </c>
      <c r="O307" s="347">
        <v>46231</v>
      </c>
      <c r="P307" s="349" t="s">
        <v>40</v>
      </c>
      <c r="Q307" s="349" t="s">
        <v>794</v>
      </c>
      <c r="R307" s="350">
        <v>0</v>
      </c>
      <c r="S307" s="352">
        <v>46239</v>
      </c>
      <c r="T307" s="352">
        <v>46246</v>
      </c>
      <c r="U307" s="354" t="s">
        <v>40</v>
      </c>
      <c r="V307" s="354" t="s">
        <v>795</v>
      </c>
      <c r="W307" s="355">
        <v>0</v>
      </c>
      <c r="X307" s="357">
        <v>46247</v>
      </c>
      <c r="Y307" s="357">
        <v>46249</v>
      </c>
      <c r="Z307" s="359" t="s">
        <v>40</v>
      </c>
      <c r="AA307" s="359" t="s">
        <v>796</v>
      </c>
      <c r="AB307" s="360">
        <v>0</v>
      </c>
      <c r="AC307" s="362">
        <v>46258</v>
      </c>
      <c r="AD307" s="326">
        <v>46265</v>
      </c>
      <c r="AE307" s="327" t="s">
        <v>40</v>
      </c>
      <c r="AF307" s="365" t="s">
        <v>795</v>
      </c>
      <c r="AG307" s="366">
        <v>0</v>
      </c>
      <c r="AH307" s="368">
        <v>46266</v>
      </c>
      <c r="AI307" s="368">
        <v>46269</v>
      </c>
      <c r="AJ307" s="369" t="s">
        <v>165</v>
      </c>
      <c r="AK307" s="373" t="s">
        <v>795</v>
      </c>
      <c r="AL307" s="370">
        <v>0</v>
      </c>
    </row>
    <row r="308" spans="1:38">
      <c r="A308" s="292" t="s">
        <v>670</v>
      </c>
      <c r="B308" s="300" t="s">
        <v>987</v>
      </c>
      <c r="C308" s="299">
        <v>1</v>
      </c>
      <c r="D308" s="149">
        <v>46195</v>
      </c>
      <c r="E308" s="149">
        <v>46200</v>
      </c>
      <c r="F308" s="341" t="s">
        <v>40</v>
      </c>
      <c r="G308" s="308" t="s">
        <v>792</v>
      </c>
      <c r="H308" s="372">
        <v>0</v>
      </c>
      <c r="I308" s="169">
        <v>46219</v>
      </c>
      <c r="J308" s="342">
        <v>46231</v>
      </c>
      <c r="K308" s="344" t="s">
        <v>40</v>
      </c>
      <c r="L308" s="344" t="s">
        <v>793</v>
      </c>
      <c r="M308" s="346">
        <v>0</v>
      </c>
      <c r="N308" s="347">
        <v>46219</v>
      </c>
      <c r="O308" s="347">
        <v>46231</v>
      </c>
      <c r="P308" s="349" t="s">
        <v>40</v>
      </c>
      <c r="Q308" s="349" t="s">
        <v>794</v>
      </c>
      <c r="R308" s="350">
        <v>0</v>
      </c>
      <c r="S308" s="352">
        <v>46239</v>
      </c>
      <c r="T308" s="352">
        <v>46246</v>
      </c>
      <c r="U308" s="354" t="s">
        <v>40</v>
      </c>
      <c r="V308" s="354" t="s">
        <v>795</v>
      </c>
      <c r="W308" s="355">
        <v>0</v>
      </c>
      <c r="X308" s="357">
        <v>46247</v>
      </c>
      <c r="Y308" s="357">
        <v>46249</v>
      </c>
      <c r="Z308" s="359" t="s">
        <v>40</v>
      </c>
      <c r="AA308" s="359" t="s">
        <v>796</v>
      </c>
      <c r="AB308" s="360">
        <v>0</v>
      </c>
      <c r="AC308" s="362">
        <v>46258</v>
      </c>
      <c r="AD308" s="326">
        <v>46265</v>
      </c>
      <c r="AE308" s="327" t="s">
        <v>40</v>
      </c>
      <c r="AF308" s="365" t="s">
        <v>795</v>
      </c>
      <c r="AG308" s="366">
        <v>0</v>
      </c>
      <c r="AH308" s="368">
        <v>46266</v>
      </c>
      <c r="AI308" s="368">
        <v>46269</v>
      </c>
      <c r="AJ308" s="369" t="s">
        <v>165</v>
      </c>
      <c r="AK308" s="373" t="s">
        <v>795</v>
      </c>
      <c r="AL308" s="370">
        <v>0</v>
      </c>
    </row>
    <row r="309" spans="1:38">
      <c r="A309" s="292" t="s">
        <v>670</v>
      </c>
      <c r="B309" s="300" t="s">
        <v>988</v>
      </c>
      <c r="C309" s="299">
        <v>1</v>
      </c>
      <c r="D309" s="149">
        <v>46195</v>
      </c>
      <c r="E309" s="149">
        <v>46200</v>
      </c>
      <c r="F309" s="341" t="s">
        <v>40</v>
      </c>
      <c r="G309" s="308" t="s">
        <v>792</v>
      </c>
      <c r="H309" s="372">
        <v>0</v>
      </c>
      <c r="I309" s="169">
        <v>46219</v>
      </c>
      <c r="J309" s="342">
        <v>46231</v>
      </c>
      <c r="K309" s="344" t="s">
        <v>40</v>
      </c>
      <c r="L309" s="344" t="s">
        <v>793</v>
      </c>
      <c r="M309" s="346">
        <v>0</v>
      </c>
      <c r="N309" s="347">
        <v>46219</v>
      </c>
      <c r="O309" s="347">
        <v>46231</v>
      </c>
      <c r="P309" s="349" t="s">
        <v>40</v>
      </c>
      <c r="Q309" s="349" t="s">
        <v>794</v>
      </c>
      <c r="R309" s="350">
        <v>0</v>
      </c>
      <c r="S309" s="352">
        <v>46239</v>
      </c>
      <c r="T309" s="352">
        <v>46246</v>
      </c>
      <c r="U309" s="354" t="s">
        <v>40</v>
      </c>
      <c r="V309" s="354" t="s">
        <v>795</v>
      </c>
      <c r="W309" s="355">
        <v>0</v>
      </c>
      <c r="X309" s="357">
        <v>46247</v>
      </c>
      <c r="Y309" s="357">
        <v>46249</v>
      </c>
      <c r="Z309" s="359" t="s">
        <v>40</v>
      </c>
      <c r="AA309" s="359" t="s">
        <v>796</v>
      </c>
      <c r="AB309" s="360">
        <v>0</v>
      </c>
      <c r="AC309" s="362">
        <v>46258</v>
      </c>
      <c r="AD309" s="326">
        <v>46265</v>
      </c>
      <c r="AE309" s="327" t="s">
        <v>40</v>
      </c>
      <c r="AF309" s="365" t="s">
        <v>795</v>
      </c>
      <c r="AG309" s="366">
        <v>0</v>
      </c>
      <c r="AH309" s="368">
        <v>46266</v>
      </c>
      <c r="AI309" s="368">
        <v>46269</v>
      </c>
      <c r="AJ309" s="369" t="s">
        <v>165</v>
      </c>
      <c r="AK309" s="373" t="s">
        <v>795</v>
      </c>
      <c r="AL309" s="370">
        <v>0</v>
      </c>
    </row>
    <row r="310" spans="1:38">
      <c r="A310" s="292" t="s">
        <v>670</v>
      </c>
      <c r="B310" s="300" t="s">
        <v>989</v>
      </c>
      <c r="C310" s="299">
        <v>1</v>
      </c>
      <c r="D310" s="149">
        <v>46195</v>
      </c>
      <c r="E310" s="149">
        <v>46200</v>
      </c>
      <c r="F310" s="341" t="s">
        <v>40</v>
      </c>
      <c r="G310" s="308" t="s">
        <v>792</v>
      </c>
      <c r="H310" s="372">
        <v>0</v>
      </c>
      <c r="I310" s="169">
        <v>46219</v>
      </c>
      <c r="J310" s="342">
        <v>46231</v>
      </c>
      <c r="K310" s="344" t="s">
        <v>40</v>
      </c>
      <c r="L310" s="344" t="s">
        <v>793</v>
      </c>
      <c r="M310" s="346">
        <v>0</v>
      </c>
      <c r="N310" s="347">
        <v>46219</v>
      </c>
      <c r="O310" s="347">
        <v>46231</v>
      </c>
      <c r="P310" s="349" t="s">
        <v>40</v>
      </c>
      <c r="Q310" s="349" t="s">
        <v>794</v>
      </c>
      <c r="R310" s="350">
        <v>0</v>
      </c>
      <c r="S310" s="352">
        <v>46239</v>
      </c>
      <c r="T310" s="352">
        <v>46246</v>
      </c>
      <c r="U310" s="354" t="s">
        <v>40</v>
      </c>
      <c r="V310" s="354" t="s">
        <v>795</v>
      </c>
      <c r="W310" s="355">
        <v>0</v>
      </c>
      <c r="X310" s="357">
        <v>46247</v>
      </c>
      <c r="Y310" s="357">
        <v>46249</v>
      </c>
      <c r="Z310" s="359" t="s">
        <v>40</v>
      </c>
      <c r="AA310" s="359" t="s">
        <v>796</v>
      </c>
      <c r="AB310" s="360">
        <v>0</v>
      </c>
      <c r="AC310" s="362">
        <v>46258</v>
      </c>
      <c r="AD310" s="326">
        <v>46265</v>
      </c>
      <c r="AE310" s="327" t="s">
        <v>40</v>
      </c>
      <c r="AF310" s="365" t="s">
        <v>795</v>
      </c>
      <c r="AG310" s="366">
        <v>0</v>
      </c>
      <c r="AH310" s="368">
        <v>46266</v>
      </c>
      <c r="AI310" s="368">
        <v>46269</v>
      </c>
      <c r="AJ310" s="369" t="s">
        <v>165</v>
      </c>
      <c r="AK310" s="373" t="s">
        <v>795</v>
      </c>
      <c r="AL310" s="370">
        <v>0</v>
      </c>
    </row>
    <row r="311" spans="1:38">
      <c r="A311" s="292" t="s">
        <v>670</v>
      </c>
      <c r="B311" s="300" t="s">
        <v>990</v>
      </c>
      <c r="C311" s="299">
        <v>1</v>
      </c>
      <c r="D311" s="149">
        <v>46195</v>
      </c>
      <c r="E311" s="149">
        <v>46200</v>
      </c>
      <c r="F311" s="341" t="s">
        <v>40</v>
      </c>
      <c r="G311" s="308" t="s">
        <v>792</v>
      </c>
      <c r="H311" s="372">
        <v>0</v>
      </c>
      <c r="I311" s="169">
        <v>46219</v>
      </c>
      <c r="J311" s="342">
        <v>46231</v>
      </c>
      <c r="K311" s="344" t="s">
        <v>40</v>
      </c>
      <c r="L311" s="344" t="s">
        <v>793</v>
      </c>
      <c r="M311" s="346">
        <v>0</v>
      </c>
      <c r="N311" s="347">
        <v>46219</v>
      </c>
      <c r="O311" s="347">
        <v>46231</v>
      </c>
      <c r="P311" s="349" t="s">
        <v>40</v>
      </c>
      <c r="Q311" s="349" t="s">
        <v>794</v>
      </c>
      <c r="R311" s="350">
        <v>0</v>
      </c>
      <c r="S311" s="352">
        <v>46239</v>
      </c>
      <c r="T311" s="352">
        <v>46246</v>
      </c>
      <c r="U311" s="354" t="s">
        <v>40</v>
      </c>
      <c r="V311" s="354" t="s">
        <v>795</v>
      </c>
      <c r="W311" s="355">
        <v>0</v>
      </c>
      <c r="X311" s="357">
        <v>46247</v>
      </c>
      <c r="Y311" s="357">
        <v>46249</v>
      </c>
      <c r="Z311" s="359" t="s">
        <v>40</v>
      </c>
      <c r="AA311" s="359" t="s">
        <v>796</v>
      </c>
      <c r="AB311" s="360">
        <v>0</v>
      </c>
      <c r="AC311" s="362">
        <v>46258</v>
      </c>
      <c r="AD311" s="326">
        <v>46265</v>
      </c>
      <c r="AE311" s="327" t="s">
        <v>40</v>
      </c>
      <c r="AF311" s="365" t="s">
        <v>795</v>
      </c>
      <c r="AG311" s="366">
        <v>0</v>
      </c>
      <c r="AH311" s="368">
        <v>46266</v>
      </c>
      <c r="AI311" s="368">
        <v>46269</v>
      </c>
      <c r="AJ311" s="369" t="s">
        <v>165</v>
      </c>
      <c r="AK311" s="373" t="s">
        <v>795</v>
      </c>
      <c r="AL311" s="370">
        <v>0</v>
      </c>
    </row>
    <row r="312" spans="1:38">
      <c r="A312" s="292" t="s">
        <v>670</v>
      </c>
      <c r="B312" s="300" t="s">
        <v>991</v>
      </c>
      <c r="C312" s="299">
        <v>1</v>
      </c>
      <c r="D312" s="149">
        <v>46195</v>
      </c>
      <c r="E312" s="149">
        <v>46200</v>
      </c>
      <c r="F312" s="341" t="s">
        <v>40</v>
      </c>
      <c r="G312" s="308" t="s">
        <v>792</v>
      </c>
      <c r="H312" s="372">
        <v>0</v>
      </c>
      <c r="I312" s="169">
        <v>46219</v>
      </c>
      <c r="J312" s="342">
        <v>46231</v>
      </c>
      <c r="K312" s="344" t="s">
        <v>40</v>
      </c>
      <c r="L312" s="344" t="s">
        <v>793</v>
      </c>
      <c r="M312" s="346">
        <v>0</v>
      </c>
      <c r="N312" s="347">
        <v>46219</v>
      </c>
      <c r="O312" s="347">
        <v>46231</v>
      </c>
      <c r="P312" s="349" t="s">
        <v>40</v>
      </c>
      <c r="Q312" s="349" t="s">
        <v>794</v>
      </c>
      <c r="R312" s="350">
        <v>0</v>
      </c>
      <c r="S312" s="352">
        <v>46239</v>
      </c>
      <c r="T312" s="352">
        <v>46246</v>
      </c>
      <c r="U312" s="354" t="s">
        <v>40</v>
      </c>
      <c r="V312" s="354" t="s">
        <v>795</v>
      </c>
      <c r="W312" s="355">
        <v>0</v>
      </c>
      <c r="X312" s="357">
        <v>46247</v>
      </c>
      <c r="Y312" s="357">
        <v>46249</v>
      </c>
      <c r="Z312" s="359" t="s">
        <v>40</v>
      </c>
      <c r="AA312" s="359" t="s">
        <v>796</v>
      </c>
      <c r="AB312" s="360">
        <v>0</v>
      </c>
      <c r="AC312" s="362">
        <v>46258</v>
      </c>
      <c r="AD312" s="326">
        <v>46265</v>
      </c>
      <c r="AE312" s="327" t="s">
        <v>40</v>
      </c>
      <c r="AF312" s="365" t="s">
        <v>795</v>
      </c>
      <c r="AG312" s="366">
        <v>0</v>
      </c>
      <c r="AH312" s="368">
        <v>46266</v>
      </c>
      <c r="AI312" s="368">
        <v>46269</v>
      </c>
      <c r="AJ312" s="369" t="s">
        <v>165</v>
      </c>
      <c r="AK312" s="373" t="s">
        <v>795</v>
      </c>
      <c r="AL312" s="370">
        <v>0</v>
      </c>
    </row>
    <row r="313" spans="1:38">
      <c r="A313" s="292" t="s">
        <v>670</v>
      </c>
      <c r="B313" s="300" t="s">
        <v>992</v>
      </c>
      <c r="C313" s="299">
        <v>1</v>
      </c>
      <c r="D313" s="149">
        <v>46195</v>
      </c>
      <c r="E313" s="149">
        <v>46200</v>
      </c>
      <c r="F313" s="341" t="s">
        <v>40</v>
      </c>
      <c r="G313" s="308" t="s">
        <v>792</v>
      </c>
      <c r="H313" s="372">
        <v>0</v>
      </c>
      <c r="I313" s="169">
        <v>46219</v>
      </c>
      <c r="J313" s="342">
        <v>46231</v>
      </c>
      <c r="K313" s="344" t="s">
        <v>40</v>
      </c>
      <c r="L313" s="344" t="s">
        <v>793</v>
      </c>
      <c r="M313" s="346">
        <v>0</v>
      </c>
      <c r="N313" s="347">
        <v>46219</v>
      </c>
      <c r="O313" s="347">
        <v>46231</v>
      </c>
      <c r="P313" s="349" t="s">
        <v>40</v>
      </c>
      <c r="Q313" s="349" t="s">
        <v>794</v>
      </c>
      <c r="R313" s="350">
        <v>0</v>
      </c>
      <c r="S313" s="352">
        <v>46239</v>
      </c>
      <c r="T313" s="352">
        <v>46246</v>
      </c>
      <c r="U313" s="354" t="s">
        <v>40</v>
      </c>
      <c r="V313" s="354" t="s">
        <v>795</v>
      </c>
      <c r="W313" s="355">
        <v>0</v>
      </c>
      <c r="X313" s="357">
        <v>46247</v>
      </c>
      <c r="Y313" s="357">
        <v>46249</v>
      </c>
      <c r="Z313" s="359" t="s">
        <v>40</v>
      </c>
      <c r="AA313" s="359" t="s">
        <v>796</v>
      </c>
      <c r="AB313" s="360">
        <v>0</v>
      </c>
      <c r="AC313" s="362">
        <v>46258</v>
      </c>
      <c r="AD313" s="326">
        <v>46265</v>
      </c>
      <c r="AE313" s="327" t="s">
        <v>40</v>
      </c>
      <c r="AF313" s="365" t="s">
        <v>795</v>
      </c>
      <c r="AG313" s="366">
        <v>0</v>
      </c>
      <c r="AH313" s="368">
        <v>46266</v>
      </c>
      <c r="AI313" s="368">
        <v>46269</v>
      </c>
      <c r="AJ313" s="369" t="s">
        <v>165</v>
      </c>
      <c r="AK313" s="373" t="s">
        <v>795</v>
      </c>
      <c r="AL313" s="370">
        <v>0</v>
      </c>
    </row>
    <row r="314" spans="1:38">
      <c r="A314" s="292" t="s">
        <v>670</v>
      </c>
      <c r="B314" s="300" t="s">
        <v>993</v>
      </c>
      <c r="C314" s="299">
        <v>1</v>
      </c>
      <c r="D314" s="149">
        <v>46195</v>
      </c>
      <c r="E314" s="149">
        <v>46200</v>
      </c>
      <c r="F314" s="341" t="s">
        <v>40</v>
      </c>
      <c r="G314" s="308" t="s">
        <v>792</v>
      </c>
      <c r="H314" s="372">
        <v>0</v>
      </c>
      <c r="I314" s="169">
        <v>46219</v>
      </c>
      <c r="J314" s="342">
        <v>46231</v>
      </c>
      <c r="K314" s="344" t="s">
        <v>40</v>
      </c>
      <c r="L314" s="344" t="s">
        <v>793</v>
      </c>
      <c r="M314" s="346">
        <v>0</v>
      </c>
      <c r="N314" s="347">
        <v>46219</v>
      </c>
      <c r="O314" s="347">
        <v>46231</v>
      </c>
      <c r="P314" s="349" t="s">
        <v>40</v>
      </c>
      <c r="Q314" s="349" t="s">
        <v>794</v>
      </c>
      <c r="R314" s="350">
        <v>0</v>
      </c>
      <c r="S314" s="352">
        <v>46239</v>
      </c>
      <c r="T314" s="352">
        <v>46246</v>
      </c>
      <c r="U314" s="354" t="s">
        <v>40</v>
      </c>
      <c r="V314" s="354" t="s">
        <v>795</v>
      </c>
      <c r="W314" s="355">
        <v>0</v>
      </c>
      <c r="X314" s="357">
        <v>46247</v>
      </c>
      <c r="Y314" s="357">
        <v>46249</v>
      </c>
      <c r="Z314" s="359" t="s">
        <v>40</v>
      </c>
      <c r="AA314" s="359" t="s">
        <v>796</v>
      </c>
      <c r="AB314" s="360">
        <v>0</v>
      </c>
      <c r="AC314" s="362">
        <v>46258</v>
      </c>
      <c r="AD314" s="326">
        <v>46265</v>
      </c>
      <c r="AE314" s="327" t="s">
        <v>40</v>
      </c>
      <c r="AF314" s="365" t="s">
        <v>795</v>
      </c>
      <c r="AG314" s="366">
        <v>0</v>
      </c>
      <c r="AH314" s="368">
        <v>46266</v>
      </c>
      <c r="AI314" s="368">
        <v>46269</v>
      </c>
      <c r="AJ314" s="369" t="s">
        <v>165</v>
      </c>
      <c r="AK314" s="373" t="s">
        <v>795</v>
      </c>
      <c r="AL314" s="370">
        <v>0</v>
      </c>
    </row>
    <row r="315" spans="1:38">
      <c r="A315" s="292" t="s">
        <v>670</v>
      </c>
      <c r="B315" s="300" t="s">
        <v>994</v>
      </c>
      <c r="C315" s="299">
        <v>1</v>
      </c>
      <c r="D315" s="149">
        <v>46195</v>
      </c>
      <c r="E315" s="149">
        <v>46200</v>
      </c>
      <c r="F315" s="341" t="s">
        <v>40</v>
      </c>
      <c r="G315" s="308" t="s">
        <v>792</v>
      </c>
      <c r="H315" s="372">
        <v>0</v>
      </c>
      <c r="I315" s="169">
        <v>46219</v>
      </c>
      <c r="J315" s="342">
        <v>46231</v>
      </c>
      <c r="K315" s="344" t="s">
        <v>40</v>
      </c>
      <c r="L315" s="344" t="s">
        <v>793</v>
      </c>
      <c r="M315" s="346">
        <v>0</v>
      </c>
      <c r="N315" s="347">
        <v>46219</v>
      </c>
      <c r="O315" s="347">
        <v>46231</v>
      </c>
      <c r="P315" s="349" t="s">
        <v>40</v>
      </c>
      <c r="Q315" s="349" t="s">
        <v>794</v>
      </c>
      <c r="R315" s="350">
        <v>0</v>
      </c>
      <c r="S315" s="352">
        <v>46239</v>
      </c>
      <c r="T315" s="352">
        <v>46246</v>
      </c>
      <c r="U315" s="354" t="s">
        <v>40</v>
      </c>
      <c r="V315" s="354" t="s">
        <v>795</v>
      </c>
      <c r="W315" s="355">
        <v>0</v>
      </c>
      <c r="X315" s="357">
        <v>46247</v>
      </c>
      <c r="Y315" s="357">
        <v>46249</v>
      </c>
      <c r="Z315" s="359" t="s">
        <v>40</v>
      </c>
      <c r="AA315" s="359" t="s">
        <v>796</v>
      </c>
      <c r="AB315" s="360">
        <v>0</v>
      </c>
      <c r="AC315" s="362">
        <v>46258</v>
      </c>
      <c r="AD315" s="326">
        <v>46265</v>
      </c>
      <c r="AE315" s="327" t="s">
        <v>40</v>
      </c>
      <c r="AF315" s="365" t="s">
        <v>795</v>
      </c>
      <c r="AG315" s="366">
        <v>0</v>
      </c>
      <c r="AH315" s="368">
        <v>46266</v>
      </c>
      <c r="AI315" s="368">
        <v>46269</v>
      </c>
      <c r="AJ315" s="369" t="s">
        <v>165</v>
      </c>
      <c r="AK315" s="373" t="s">
        <v>795</v>
      </c>
      <c r="AL315" s="370">
        <v>0</v>
      </c>
    </row>
    <row r="316" spans="1:38">
      <c r="A316" s="292" t="s">
        <v>670</v>
      </c>
      <c r="B316" s="300" t="s">
        <v>995</v>
      </c>
      <c r="C316" s="299">
        <v>1</v>
      </c>
      <c r="D316" s="149">
        <v>46195</v>
      </c>
      <c r="E316" s="149">
        <v>46200</v>
      </c>
      <c r="F316" s="341" t="s">
        <v>40</v>
      </c>
      <c r="G316" s="308" t="s">
        <v>792</v>
      </c>
      <c r="H316" s="372">
        <v>0</v>
      </c>
      <c r="I316" s="169">
        <v>46219</v>
      </c>
      <c r="J316" s="342">
        <v>46231</v>
      </c>
      <c r="K316" s="344" t="s">
        <v>40</v>
      </c>
      <c r="L316" s="344" t="s">
        <v>793</v>
      </c>
      <c r="M316" s="346">
        <v>0</v>
      </c>
      <c r="N316" s="347">
        <v>46219</v>
      </c>
      <c r="O316" s="347">
        <v>46231</v>
      </c>
      <c r="P316" s="349" t="s">
        <v>40</v>
      </c>
      <c r="Q316" s="349" t="s">
        <v>794</v>
      </c>
      <c r="R316" s="350">
        <v>0</v>
      </c>
      <c r="S316" s="352">
        <v>46239</v>
      </c>
      <c r="T316" s="352">
        <v>46246</v>
      </c>
      <c r="U316" s="354" t="s">
        <v>40</v>
      </c>
      <c r="V316" s="354" t="s">
        <v>795</v>
      </c>
      <c r="W316" s="355">
        <v>0</v>
      </c>
      <c r="X316" s="357">
        <v>46247</v>
      </c>
      <c r="Y316" s="357">
        <v>46249</v>
      </c>
      <c r="Z316" s="359" t="s">
        <v>40</v>
      </c>
      <c r="AA316" s="359" t="s">
        <v>796</v>
      </c>
      <c r="AB316" s="360">
        <v>0</v>
      </c>
      <c r="AC316" s="362">
        <v>46258</v>
      </c>
      <c r="AD316" s="326">
        <v>46265</v>
      </c>
      <c r="AE316" s="327" t="s">
        <v>40</v>
      </c>
      <c r="AF316" s="365" t="s">
        <v>795</v>
      </c>
      <c r="AG316" s="366">
        <v>0</v>
      </c>
      <c r="AH316" s="368">
        <v>46266</v>
      </c>
      <c r="AI316" s="368">
        <v>46269</v>
      </c>
      <c r="AJ316" s="369" t="s">
        <v>165</v>
      </c>
      <c r="AK316" s="373" t="s">
        <v>795</v>
      </c>
      <c r="AL316" s="370">
        <v>0</v>
      </c>
    </row>
    <row r="317" spans="1:38">
      <c r="A317" s="292" t="s">
        <v>670</v>
      </c>
      <c r="B317" s="300" t="s">
        <v>996</v>
      </c>
      <c r="C317" s="299">
        <v>1</v>
      </c>
      <c r="D317" s="149">
        <v>46195</v>
      </c>
      <c r="E317" s="149">
        <v>46200</v>
      </c>
      <c r="F317" s="341" t="s">
        <v>40</v>
      </c>
      <c r="G317" s="308" t="s">
        <v>792</v>
      </c>
      <c r="H317" s="372">
        <v>0</v>
      </c>
      <c r="I317" s="169">
        <v>46219</v>
      </c>
      <c r="J317" s="342">
        <v>46231</v>
      </c>
      <c r="K317" s="344" t="s">
        <v>40</v>
      </c>
      <c r="L317" s="344" t="s">
        <v>793</v>
      </c>
      <c r="M317" s="346">
        <v>0</v>
      </c>
      <c r="N317" s="347">
        <v>46219</v>
      </c>
      <c r="O317" s="347">
        <v>46231</v>
      </c>
      <c r="P317" s="349" t="s">
        <v>40</v>
      </c>
      <c r="Q317" s="349" t="s">
        <v>794</v>
      </c>
      <c r="R317" s="350">
        <v>0</v>
      </c>
      <c r="S317" s="352">
        <v>46239</v>
      </c>
      <c r="T317" s="352">
        <v>46246</v>
      </c>
      <c r="U317" s="354" t="s">
        <v>40</v>
      </c>
      <c r="V317" s="354" t="s">
        <v>795</v>
      </c>
      <c r="W317" s="355">
        <v>0</v>
      </c>
      <c r="X317" s="357">
        <v>46247</v>
      </c>
      <c r="Y317" s="357">
        <v>46249</v>
      </c>
      <c r="Z317" s="359" t="s">
        <v>40</v>
      </c>
      <c r="AA317" s="359" t="s">
        <v>796</v>
      </c>
      <c r="AB317" s="360">
        <v>0</v>
      </c>
      <c r="AC317" s="362">
        <v>46258</v>
      </c>
      <c r="AD317" s="326">
        <v>46265</v>
      </c>
      <c r="AE317" s="327" t="s">
        <v>40</v>
      </c>
      <c r="AF317" s="365" t="s">
        <v>795</v>
      </c>
      <c r="AG317" s="366">
        <v>0</v>
      </c>
      <c r="AH317" s="368">
        <v>46266</v>
      </c>
      <c r="AI317" s="368">
        <v>46269</v>
      </c>
      <c r="AJ317" s="369" t="s">
        <v>165</v>
      </c>
      <c r="AK317" s="373" t="s">
        <v>795</v>
      </c>
      <c r="AL317" s="370">
        <v>0</v>
      </c>
    </row>
    <row r="318" spans="1:38">
      <c r="A318" s="292" t="s">
        <v>670</v>
      </c>
      <c r="B318" s="300" t="s">
        <v>997</v>
      </c>
      <c r="C318" s="299">
        <v>1</v>
      </c>
      <c r="D318" s="149">
        <v>46195</v>
      </c>
      <c r="E318" s="149">
        <v>46200</v>
      </c>
      <c r="F318" s="341" t="s">
        <v>40</v>
      </c>
      <c r="G318" s="308" t="s">
        <v>792</v>
      </c>
      <c r="H318" s="372">
        <v>0</v>
      </c>
      <c r="I318" s="169">
        <v>46219</v>
      </c>
      <c r="J318" s="342">
        <v>46231</v>
      </c>
      <c r="K318" s="344" t="s">
        <v>40</v>
      </c>
      <c r="L318" s="344" t="s">
        <v>793</v>
      </c>
      <c r="M318" s="346">
        <v>0</v>
      </c>
      <c r="N318" s="347">
        <v>46219</v>
      </c>
      <c r="O318" s="347">
        <v>46231</v>
      </c>
      <c r="P318" s="349" t="s">
        <v>40</v>
      </c>
      <c r="Q318" s="349" t="s">
        <v>794</v>
      </c>
      <c r="R318" s="350">
        <v>0</v>
      </c>
      <c r="S318" s="352">
        <v>46239</v>
      </c>
      <c r="T318" s="352">
        <v>46246</v>
      </c>
      <c r="U318" s="354" t="s">
        <v>40</v>
      </c>
      <c r="V318" s="354" t="s">
        <v>795</v>
      </c>
      <c r="W318" s="355">
        <v>0</v>
      </c>
      <c r="X318" s="357">
        <v>46247</v>
      </c>
      <c r="Y318" s="357">
        <v>46249</v>
      </c>
      <c r="Z318" s="359" t="s">
        <v>40</v>
      </c>
      <c r="AA318" s="359" t="s">
        <v>796</v>
      </c>
      <c r="AB318" s="360">
        <v>0</v>
      </c>
      <c r="AC318" s="362">
        <v>46258</v>
      </c>
      <c r="AD318" s="326">
        <v>46265</v>
      </c>
      <c r="AE318" s="327" t="s">
        <v>40</v>
      </c>
      <c r="AF318" s="365" t="s">
        <v>795</v>
      </c>
      <c r="AG318" s="366">
        <v>0</v>
      </c>
      <c r="AH318" s="368">
        <v>46266</v>
      </c>
      <c r="AI318" s="368">
        <v>46269</v>
      </c>
      <c r="AJ318" s="369" t="s">
        <v>165</v>
      </c>
      <c r="AK318" s="373" t="s">
        <v>795</v>
      </c>
      <c r="AL318" s="370">
        <v>0</v>
      </c>
    </row>
    <row r="319" spans="1:38">
      <c r="A319" s="292" t="s">
        <v>670</v>
      </c>
      <c r="B319" s="300" t="s">
        <v>998</v>
      </c>
      <c r="C319" s="299">
        <v>1</v>
      </c>
      <c r="D319" s="149">
        <v>46195</v>
      </c>
      <c r="E319" s="149">
        <v>46200</v>
      </c>
      <c r="F319" s="341" t="s">
        <v>40</v>
      </c>
      <c r="G319" s="308" t="s">
        <v>792</v>
      </c>
      <c r="H319" s="372">
        <v>0</v>
      </c>
      <c r="I319" s="169">
        <v>46219</v>
      </c>
      <c r="J319" s="342">
        <v>46231</v>
      </c>
      <c r="K319" s="344" t="s">
        <v>40</v>
      </c>
      <c r="L319" s="344" t="s">
        <v>793</v>
      </c>
      <c r="M319" s="346">
        <v>0</v>
      </c>
      <c r="N319" s="347">
        <v>46219</v>
      </c>
      <c r="O319" s="347">
        <v>46231</v>
      </c>
      <c r="P319" s="349" t="s">
        <v>40</v>
      </c>
      <c r="Q319" s="349" t="s">
        <v>794</v>
      </c>
      <c r="R319" s="350">
        <v>0</v>
      </c>
      <c r="S319" s="352">
        <v>46239</v>
      </c>
      <c r="T319" s="352">
        <v>46246</v>
      </c>
      <c r="U319" s="354" t="s">
        <v>40</v>
      </c>
      <c r="V319" s="354" t="s">
        <v>795</v>
      </c>
      <c r="W319" s="355">
        <v>0</v>
      </c>
      <c r="X319" s="357">
        <v>46247</v>
      </c>
      <c r="Y319" s="357">
        <v>46249</v>
      </c>
      <c r="Z319" s="359" t="s">
        <v>40</v>
      </c>
      <c r="AA319" s="359" t="s">
        <v>796</v>
      </c>
      <c r="AB319" s="360">
        <v>0</v>
      </c>
      <c r="AC319" s="362">
        <v>46258</v>
      </c>
      <c r="AD319" s="326">
        <v>46265</v>
      </c>
      <c r="AE319" s="327" t="s">
        <v>40</v>
      </c>
      <c r="AF319" s="365" t="s">
        <v>795</v>
      </c>
      <c r="AG319" s="366">
        <v>0</v>
      </c>
      <c r="AH319" s="368">
        <v>46266</v>
      </c>
      <c r="AI319" s="368">
        <v>46269</v>
      </c>
      <c r="AJ319" s="369" t="s">
        <v>165</v>
      </c>
      <c r="AK319" s="373" t="s">
        <v>795</v>
      </c>
      <c r="AL319" s="370">
        <v>0</v>
      </c>
    </row>
    <row r="320" spans="1:38">
      <c r="A320" s="292" t="s">
        <v>670</v>
      </c>
      <c r="B320" s="300" t="s">
        <v>999</v>
      </c>
      <c r="C320" s="299">
        <v>1</v>
      </c>
      <c r="D320" s="149">
        <v>46195</v>
      </c>
      <c r="E320" s="149">
        <v>46200</v>
      </c>
      <c r="F320" s="341" t="s">
        <v>40</v>
      </c>
      <c r="G320" s="308" t="s">
        <v>792</v>
      </c>
      <c r="H320" s="372">
        <v>0</v>
      </c>
      <c r="I320" s="169">
        <v>46219</v>
      </c>
      <c r="J320" s="342">
        <v>46231</v>
      </c>
      <c r="K320" s="344" t="s">
        <v>40</v>
      </c>
      <c r="L320" s="344" t="s">
        <v>793</v>
      </c>
      <c r="M320" s="346">
        <v>0</v>
      </c>
      <c r="N320" s="347">
        <v>46219</v>
      </c>
      <c r="O320" s="347">
        <v>46231</v>
      </c>
      <c r="P320" s="349" t="s">
        <v>40</v>
      </c>
      <c r="Q320" s="349" t="s">
        <v>794</v>
      </c>
      <c r="R320" s="350">
        <v>0</v>
      </c>
      <c r="S320" s="352">
        <v>46239</v>
      </c>
      <c r="T320" s="352">
        <v>46246</v>
      </c>
      <c r="U320" s="354" t="s">
        <v>40</v>
      </c>
      <c r="V320" s="354" t="s">
        <v>795</v>
      </c>
      <c r="W320" s="355">
        <v>0</v>
      </c>
      <c r="X320" s="357">
        <v>46247</v>
      </c>
      <c r="Y320" s="357">
        <v>46249</v>
      </c>
      <c r="Z320" s="359" t="s">
        <v>40</v>
      </c>
      <c r="AA320" s="359" t="s">
        <v>796</v>
      </c>
      <c r="AB320" s="360">
        <v>0</v>
      </c>
      <c r="AC320" s="362">
        <v>46258</v>
      </c>
      <c r="AD320" s="326">
        <v>46265</v>
      </c>
      <c r="AE320" s="327" t="s">
        <v>40</v>
      </c>
      <c r="AF320" s="365" t="s">
        <v>795</v>
      </c>
      <c r="AG320" s="366">
        <v>0</v>
      </c>
      <c r="AH320" s="368">
        <v>46266</v>
      </c>
      <c r="AI320" s="368">
        <v>46269</v>
      </c>
      <c r="AJ320" s="369" t="s">
        <v>165</v>
      </c>
      <c r="AK320" s="373" t="s">
        <v>795</v>
      </c>
      <c r="AL320" s="370">
        <v>0</v>
      </c>
    </row>
    <row r="321" spans="1:38">
      <c r="A321" s="292" t="s">
        <v>670</v>
      </c>
      <c r="B321" s="300" t="s">
        <v>1000</v>
      </c>
      <c r="C321" s="299">
        <v>1</v>
      </c>
      <c r="D321" s="149">
        <v>46195</v>
      </c>
      <c r="E321" s="149">
        <v>46200</v>
      </c>
      <c r="F321" s="341" t="s">
        <v>40</v>
      </c>
      <c r="G321" s="308" t="s">
        <v>792</v>
      </c>
      <c r="H321" s="372">
        <v>0</v>
      </c>
      <c r="I321" s="169">
        <v>46219</v>
      </c>
      <c r="J321" s="342">
        <v>46231</v>
      </c>
      <c r="K321" s="344" t="s">
        <v>40</v>
      </c>
      <c r="L321" s="344" t="s">
        <v>793</v>
      </c>
      <c r="M321" s="346">
        <v>0</v>
      </c>
      <c r="N321" s="347">
        <v>46219</v>
      </c>
      <c r="O321" s="347">
        <v>46231</v>
      </c>
      <c r="P321" s="349" t="s">
        <v>40</v>
      </c>
      <c r="Q321" s="349" t="s">
        <v>794</v>
      </c>
      <c r="R321" s="350">
        <v>0</v>
      </c>
      <c r="S321" s="352">
        <v>46239</v>
      </c>
      <c r="T321" s="352">
        <v>46246</v>
      </c>
      <c r="U321" s="354" t="s">
        <v>40</v>
      </c>
      <c r="V321" s="354" t="s">
        <v>795</v>
      </c>
      <c r="W321" s="355">
        <v>0</v>
      </c>
      <c r="X321" s="357">
        <v>46247</v>
      </c>
      <c r="Y321" s="357">
        <v>46249</v>
      </c>
      <c r="Z321" s="359" t="s">
        <v>40</v>
      </c>
      <c r="AA321" s="359" t="s">
        <v>796</v>
      </c>
      <c r="AB321" s="360">
        <v>0</v>
      </c>
      <c r="AC321" s="362">
        <v>46258</v>
      </c>
      <c r="AD321" s="326">
        <v>46265</v>
      </c>
      <c r="AE321" s="327" t="s">
        <v>40</v>
      </c>
      <c r="AF321" s="365" t="s">
        <v>795</v>
      </c>
      <c r="AG321" s="366">
        <v>0</v>
      </c>
      <c r="AH321" s="368">
        <v>46266</v>
      </c>
      <c r="AI321" s="368">
        <v>46269</v>
      </c>
      <c r="AJ321" s="369" t="s">
        <v>165</v>
      </c>
      <c r="AK321" s="373" t="s">
        <v>795</v>
      </c>
      <c r="AL321" s="370">
        <v>0</v>
      </c>
    </row>
    <row r="322" spans="1:38">
      <c r="A322" s="292" t="s">
        <v>670</v>
      </c>
      <c r="B322" s="300" t="s">
        <v>1001</v>
      </c>
      <c r="C322" s="299">
        <v>1</v>
      </c>
      <c r="D322" s="149">
        <v>46195</v>
      </c>
      <c r="E322" s="149">
        <v>46200</v>
      </c>
      <c r="F322" s="341" t="s">
        <v>40</v>
      </c>
      <c r="G322" s="308" t="s">
        <v>792</v>
      </c>
      <c r="H322" s="372">
        <v>0</v>
      </c>
      <c r="I322" s="169">
        <v>46219</v>
      </c>
      <c r="J322" s="342">
        <v>46231</v>
      </c>
      <c r="K322" s="344" t="s">
        <v>40</v>
      </c>
      <c r="L322" s="344" t="s">
        <v>793</v>
      </c>
      <c r="M322" s="346">
        <v>0</v>
      </c>
      <c r="N322" s="347">
        <v>46219</v>
      </c>
      <c r="O322" s="347">
        <v>46231</v>
      </c>
      <c r="P322" s="349" t="s">
        <v>40</v>
      </c>
      <c r="Q322" s="349" t="s">
        <v>794</v>
      </c>
      <c r="R322" s="350">
        <v>0</v>
      </c>
      <c r="S322" s="352">
        <v>46239</v>
      </c>
      <c r="T322" s="352">
        <v>46246</v>
      </c>
      <c r="U322" s="354" t="s">
        <v>40</v>
      </c>
      <c r="V322" s="354" t="s">
        <v>795</v>
      </c>
      <c r="W322" s="355">
        <v>0</v>
      </c>
      <c r="X322" s="357">
        <v>46247</v>
      </c>
      <c r="Y322" s="357">
        <v>46249</v>
      </c>
      <c r="Z322" s="359" t="s">
        <v>40</v>
      </c>
      <c r="AA322" s="359" t="s">
        <v>796</v>
      </c>
      <c r="AB322" s="360">
        <v>0</v>
      </c>
      <c r="AC322" s="362">
        <v>46258</v>
      </c>
      <c r="AD322" s="326">
        <v>46265</v>
      </c>
      <c r="AE322" s="327" t="s">
        <v>40</v>
      </c>
      <c r="AF322" s="365" t="s">
        <v>795</v>
      </c>
      <c r="AG322" s="366">
        <v>0</v>
      </c>
      <c r="AH322" s="368">
        <v>46266</v>
      </c>
      <c r="AI322" s="368">
        <v>46269</v>
      </c>
      <c r="AJ322" s="369" t="s">
        <v>165</v>
      </c>
      <c r="AK322" s="373" t="s">
        <v>795</v>
      </c>
      <c r="AL322" s="370">
        <v>0</v>
      </c>
    </row>
    <row r="323" spans="1:38">
      <c r="A323" s="292" t="s">
        <v>670</v>
      </c>
      <c r="B323" s="300" t="s">
        <v>1002</v>
      </c>
      <c r="C323" s="299">
        <v>1</v>
      </c>
      <c r="D323" s="149">
        <v>46195</v>
      </c>
      <c r="E323" s="149">
        <v>46200</v>
      </c>
      <c r="F323" s="341" t="s">
        <v>40</v>
      </c>
      <c r="G323" s="308" t="s">
        <v>792</v>
      </c>
      <c r="H323" s="372">
        <v>0</v>
      </c>
      <c r="I323" s="169">
        <v>46219</v>
      </c>
      <c r="J323" s="342">
        <v>46231</v>
      </c>
      <c r="K323" s="344" t="s">
        <v>40</v>
      </c>
      <c r="L323" s="344" t="s">
        <v>793</v>
      </c>
      <c r="M323" s="346">
        <v>0</v>
      </c>
      <c r="N323" s="347">
        <v>46219</v>
      </c>
      <c r="O323" s="347">
        <v>46231</v>
      </c>
      <c r="P323" s="349" t="s">
        <v>40</v>
      </c>
      <c r="Q323" s="349" t="s">
        <v>794</v>
      </c>
      <c r="R323" s="350">
        <v>0</v>
      </c>
      <c r="S323" s="352">
        <v>46239</v>
      </c>
      <c r="T323" s="352">
        <v>46246</v>
      </c>
      <c r="U323" s="354" t="s">
        <v>40</v>
      </c>
      <c r="V323" s="354" t="s">
        <v>795</v>
      </c>
      <c r="W323" s="355">
        <v>0</v>
      </c>
      <c r="X323" s="357">
        <v>46247</v>
      </c>
      <c r="Y323" s="357">
        <v>46249</v>
      </c>
      <c r="Z323" s="359" t="s">
        <v>40</v>
      </c>
      <c r="AA323" s="359" t="s">
        <v>796</v>
      </c>
      <c r="AB323" s="360">
        <v>0</v>
      </c>
      <c r="AC323" s="362">
        <v>46258</v>
      </c>
      <c r="AD323" s="326">
        <v>46265</v>
      </c>
      <c r="AE323" s="327" t="s">
        <v>40</v>
      </c>
      <c r="AF323" s="365" t="s">
        <v>795</v>
      </c>
      <c r="AG323" s="366">
        <v>0</v>
      </c>
      <c r="AH323" s="368">
        <v>46266</v>
      </c>
      <c r="AI323" s="368">
        <v>46269</v>
      </c>
      <c r="AJ323" s="369" t="s">
        <v>165</v>
      </c>
      <c r="AK323" s="373" t="s">
        <v>795</v>
      </c>
      <c r="AL323" s="370">
        <v>0</v>
      </c>
    </row>
    <row r="324" spans="1:38">
      <c r="A324" s="292" t="s">
        <v>670</v>
      </c>
      <c r="B324" s="300" t="s">
        <v>1003</v>
      </c>
      <c r="C324" s="299">
        <v>1</v>
      </c>
      <c r="D324" s="149">
        <v>46195</v>
      </c>
      <c r="E324" s="149">
        <v>46200</v>
      </c>
      <c r="F324" s="341" t="s">
        <v>40</v>
      </c>
      <c r="G324" s="308" t="s">
        <v>792</v>
      </c>
      <c r="H324" s="372">
        <v>0</v>
      </c>
      <c r="I324" s="169">
        <v>46219</v>
      </c>
      <c r="J324" s="342">
        <v>46231</v>
      </c>
      <c r="K324" s="344" t="s">
        <v>40</v>
      </c>
      <c r="L324" s="344" t="s">
        <v>793</v>
      </c>
      <c r="M324" s="346">
        <v>0</v>
      </c>
      <c r="N324" s="347">
        <v>46219</v>
      </c>
      <c r="O324" s="347">
        <v>46231</v>
      </c>
      <c r="P324" s="349" t="s">
        <v>40</v>
      </c>
      <c r="Q324" s="349" t="s">
        <v>794</v>
      </c>
      <c r="R324" s="350">
        <v>0</v>
      </c>
      <c r="S324" s="352">
        <v>46239</v>
      </c>
      <c r="T324" s="352">
        <v>46246</v>
      </c>
      <c r="U324" s="354" t="s">
        <v>40</v>
      </c>
      <c r="V324" s="354" t="s">
        <v>795</v>
      </c>
      <c r="W324" s="355">
        <v>0</v>
      </c>
      <c r="X324" s="357">
        <v>46247</v>
      </c>
      <c r="Y324" s="357">
        <v>46249</v>
      </c>
      <c r="Z324" s="359" t="s">
        <v>40</v>
      </c>
      <c r="AA324" s="359" t="s">
        <v>796</v>
      </c>
      <c r="AB324" s="360">
        <v>0</v>
      </c>
      <c r="AC324" s="362">
        <v>46258</v>
      </c>
      <c r="AD324" s="326">
        <v>46265</v>
      </c>
      <c r="AE324" s="327" t="s">
        <v>40</v>
      </c>
      <c r="AF324" s="365" t="s">
        <v>795</v>
      </c>
      <c r="AG324" s="366">
        <v>0</v>
      </c>
      <c r="AH324" s="368">
        <v>46266</v>
      </c>
      <c r="AI324" s="368">
        <v>46269</v>
      </c>
      <c r="AJ324" s="369" t="s">
        <v>165</v>
      </c>
      <c r="AK324" s="373" t="s">
        <v>795</v>
      </c>
      <c r="AL324" s="370">
        <v>0</v>
      </c>
    </row>
    <row r="325" spans="1:38">
      <c r="A325" s="292" t="s">
        <v>670</v>
      </c>
      <c r="B325" s="300" t="s">
        <v>1004</v>
      </c>
      <c r="C325" s="299">
        <v>1</v>
      </c>
      <c r="D325" s="149">
        <v>46195</v>
      </c>
      <c r="E325" s="149">
        <v>46200</v>
      </c>
      <c r="F325" s="341" t="s">
        <v>40</v>
      </c>
      <c r="G325" s="308" t="s">
        <v>792</v>
      </c>
      <c r="H325" s="372">
        <v>0</v>
      </c>
      <c r="I325" s="169">
        <v>46219</v>
      </c>
      <c r="J325" s="342">
        <v>46231</v>
      </c>
      <c r="K325" s="344" t="s">
        <v>40</v>
      </c>
      <c r="L325" s="344" t="s">
        <v>793</v>
      </c>
      <c r="M325" s="346">
        <v>0</v>
      </c>
      <c r="N325" s="347">
        <v>46219</v>
      </c>
      <c r="O325" s="347">
        <v>46231</v>
      </c>
      <c r="P325" s="349" t="s">
        <v>40</v>
      </c>
      <c r="Q325" s="349" t="s">
        <v>794</v>
      </c>
      <c r="R325" s="350">
        <v>0</v>
      </c>
      <c r="S325" s="352">
        <v>46239</v>
      </c>
      <c r="T325" s="352">
        <v>46246</v>
      </c>
      <c r="U325" s="354" t="s">
        <v>40</v>
      </c>
      <c r="V325" s="354" t="s">
        <v>795</v>
      </c>
      <c r="W325" s="355">
        <v>0</v>
      </c>
      <c r="X325" s="357">
        <v>46247</v>
      </c>
      <c r="Y325" s="357">
        <v>46249</v>
      </c>
      <c r="Z325" s="359" t="s">
        <v>40</v>
      </c>
      <c r="AA325" s="359" t="s">
        <v>796</v>
      </c>
      <c r="AB325" s="360">
        <v>0</v>
      </c>
      <c r="AC325" s="362">
        <v>46258</v>
      </c>
      <c r="AD325" s="326">
        <v>46265</v>
      </c>
      <c r="AE325" s="327" t="s">
        <v>40</v>
      </c>
      <c r="AF325" s="365" t="s">
        <v>795</v>
      </c>
      <c r="AG325" s="366">
        <v>0</v>
      </c>
      <c r="AH325" s="368">
        <v>46266</v>
      </c>
      <c r="AI325" s="368">
        <v>46269</v>
      </c>
      <c r="AJ325" s="369" t="s">
        <v>165</v>
      </c>
      <c r="AK325" s="373" t="s">
        <v>795</v>
      </c>
      <c r="AL325" s="370">
        <v>0</v>
      </c>
    </row>
    <row r="326" spans="1:38">
      <c r="A326" s="292" t="s">
        <v>670</v>
      </c>
      <c r="B326" s="300" t="s">
        <v>1005</v>
      </c>
      <c r="C326" s="299">
        <v>1</v>
      </c>
      <c r="D326" s="149">
        <v>46195</v>
      </c>
      <c r="E326" s="149">
        <v>46200</v>
      </c>
      <c r="F326" s="341" t="s">
        <v>40</v>
      </c>
      <c r="G326" s="308" t="s">
        <v>792</v>
      </c>
      <c r="H326" s="372">
        <v>0</v>
      </c>
      <c r="I326" s="169">
        <v>46219</v>
      </c>
      <c r="J326" s="342">
        <v>46231</v>
      </c>
      <c r="K326" s="344" t="s">
        <v>40</v>
      </c>
      <c r="L326" s="344" t="s">
        <v>793</v>
      </c>
      <c r="M326" s="346">
        <v>0</v>
      </c>
      <c r="N326" s="347">
        <v>46219</v>
      </c>
      <c r="O326" s="347">
        <v>46231</v>
      </c>
      <c r="P326" s="349" t="s">
        <v>40</v>
      </c>
      <c r="Q326" s="349" t="s">
        <v>794</v>
      </c>
      <c r="R326" s="350">
        <v>0</v>
      </c>
      <c r="S326" s="352">
        <v>46239</v>
      </c>
      <c r="T326" s="352">
        <v>46246</v>
      </c>
      <c r="U326" s="354" t="s">
        <v>40</v>
      </c>
      <c r="V326" s="354" t="s">
        <v>795</v>
      </c>
      <c r="W326" s="355">
        <v>0</v>
      </c>
      <c r="X326" s="357">
        <v>46247</v>
      </c>
      <c r="Y326" s="357">
        <v>46249</v>
      </c>
      <c r="Z326" s="359" t="s">
        <v>40</v>
      </c>
      <c r="AA326" s="359" t="s">
        <v>796</v>
      </c>
      <c r="AB326" s="360">
        <v>0</v>
      </c>
      <c r="AC326" s="362">
        <v>46258</v>
      </c>
      <c r="AD326" s="326">
        <v>46265</v>
      </c>
      <c r="AE326" s="327" t="s">
        <v>40</v>
      </c>
      <c r="AF326" s="365" t="s">
        <v>795</v>
      </c>
      <c r="AG326" s="366">
        <v>0</v>
      </c>
      <c r="AH326" s="368">
        <v>46266</v>
      </c>
      <c r="AI326" s="368">
        <v>46269</v>
      </c>
      <c r="AJ326" s="369" t="s">
        <v>165</v>
      </c>
      <c r="AK326" s="373" t="s">
        <v>795</v>
      </c>
      <c r="AL326" s="370">
        <v>0</v>
      </c>
    </row>
    <row r="327" spans="1:38">
      <c r="A327" s="292" t="s">
        <v>670</v>
      </c>
      <c r="B327" s="300" t="s">
        <v>1006</v>
      </c>
      <c r="C327" s="299">
        <v>1</v>
      </c>
      <c r="D327" s="149">
        <v>46195</v>
      </c>
      <c r="E327" s="149">
        <v>46200</v>
      </c>
      <c r="F327" s="341" t="s">
        <v>40</v>
      </c>
      <c r="G327" s="308" t="s">
        <v>792</v>
      </c>
      <c r="H327" s="372">
        <v>0</v>
      </c>
      <c r="I327" s="169">
        <v>46219</v>
      </c>
      <c r="J327" s="342">
        <v>46231</v>
      </c>
      <c r="K327" s="344" t="s">
        <v>40</v>
      </c>
      <c r="L327" s="344" t="s">
        <v>793</v>
      </c>
      <c r="M327" s="346">
        <v>0</v>
      </c>
      <c r="N327" s="347">
        <v>46219</v>
      </c>
      <c r="O327" s="347">
        <v>46231</v>
      </c>
      <c r="P327" s="349" t="s">
        <v>40</v>
      </c>
      <c r="Q327" s="349" t="s">
        <v>794</v>
      </c>
      <c r="R327" s="350">
        <v>0</v>
      </c>
      <c r="S327" s="352">
        <v>46239</v>
      </c>
      <c r="T327" s="352">
        <v>46246</v>
      </c>
      <c r="U327" s="354" t="s">
        <v>40</v>
      </c>
      <c r="V327" s="354" t="s">
        <v>795</v>
      </c>
      <c r="W327" s="355">
        <v>0</v>
      </c>
      <c r="X327" s="357">
        <v>46247</v>
      </c>
      <c r="Y327" s="357">
        <v>46249</v>
      </c>
      <c r="Z327" s="359" t="s">
        <v>40</v>
      </c>
      <c r="AA327" s="359" t="s">
        <v>796</v>
      </c>
      <c r="AB327" s="360">
        <v>0</v>
      </c>
      <c r="AC327" s="362">
        <v>46258</v>
      </c>
      <c r="AD327" s="326">
        <v>46265</v>
      </c>
      <c r="AE327" s="327" t="s">
        <v>40</v>
      </c>
      <c r="AF327" s="365" t="s">
        <v>795</v>
      </c>
      <c r="AG327" s="366">
        <v>0</v>
      </c>
      <c r="AH327" s="368">
        <v>46266</v>
      </c>
      <c r="AI327" s="368">
        <v>46269</v>
      </c>
      <c r="AJ327" s="369" t="s">
        <v>165</v>
      </c>
      <c r="AK327" s="373" t="s">
        <v>795</v>
      </c>
      <c r="AL327" s="370">
        <v>0</v>
      </c>
    </row>
    <row r="328" spans="1:38">
      <c r="A328" s="292" t="s">
        <v>670</v>
      </c>
      <c r="B328" s="300" t="s">
        <v>1007</v>
      </c>
      <c r="C328" s="299">
        <v>1</v>
      </c>
      <c r="D328" s="149">
        <v>46195</v>
      </c>
      <c r="E328" s="149">
        <v>46200</v>
      </c>
      <c r="F328" s="341" t="s">
        <v>40</v>
      </c>
      <c r="G328" s="308" t="s">
        <v>792</v>
      </c>
      <c r="H328" s="372">
        <v>0</v>
      </c>
      <c r="I328" s="169">
        <v>46219</v>
      </c>
      <c r="J328" s="342">
        <v>46231</v>
      </c>
      <c r="K328" s="344" t="s">
        <v>40</v>
      </c>
      <c r="L328" s="344" t="s">
        <v>793</v>
      </c>
      <c r="M328" s="346">
        <v>0</v>
      </c>
      <c r="N328" s="347">
        <v>46219</v>
      </c>
      <c r="O328" s="347">
        <v>46231</v>
      </c>
      <c r="P328" s="349" t="s">
        <v>40</v>
      </c>
      <c r="Q328" s="349" t="s">
        <v>794</v>
      </c>
      <c r="R328" s="350">
        <v>0</v>
      </c>
      <c r="S328" s="352">
        <v>46239</v>
      </c>
      <c r="T328" s="352">
        <v>46246</v>
      </c>
      <c r="U328" s="354" t="s">
        <v>40</v>
      </c>
      <c r="V328" s="354" t="s">
        <v>795</v>
      </c>
      <c r="W328" s="355">
        <v>0</v>
      </c>
      <c r="X328" s="357">
        <v>46247</v>
      </c>
      <c r="Y328" s="357">
        <v>46249</v>
      </c>
      <c r="Z328" s="359" t="s">
        <v>40</v>
      </c>
      <c r="AA328" s="359" t="s">
        <v>796</v>
      </c>
      <c r="AB328" s="360">
        <v>0</v>
      </c>
      <c r="AC328" s="362">
        <v>46258</v>
      </c>
      <c r="AD328" s="326">
        <v>46265</v>
      </c>
      <c r="AE328" s="327" t="s">
        <v>40</v>
      </c>
      <c r="AF328" s="365" t="s">
        <v>795</v>
      </c>
      <c r="AG328" s="366">
        <v>0</v>
      </c>
      <c r="AH328" s="368">
        <v>46266</v>
      </c>
      <c r="AI328" s="368">
        <v>46269</v>
      </c>
      <c r="AJ328" s="369" t="s">
        <v>165</v>
      </c>
      <c r="AK328" s="373" t="s">
        <v>795</v>
      </c>
      <c r="AL328" s="370">
        <v>0</v>
      </c>
    </row>
    <row r="329" spans="1:38">
      <c r="A329" s="292" t="s">
        <v>670</v>
      </c>
      <c r="B329" s="300" t="s">
        <v>1008</v>
      </c>
      <c r="C329" s="299">
        <v>1</v>
      </c>
      <c r="D329" s="149">
        <v>46195</v>
      </c>
      <c r="E329" s="149">
        <v>46200</v>
      </c>
      <c r="F329" s="341" t="s">
        <v>40</v>
      </c>
      <c r="G329" s="308" t="s">
        <v>792</v>
      </c>
      <c r="H329" s="372">
        <v>0</v>
      </c>
      <c r="I329" s="169">
        <v>46219</v>
      </c>
      <c r="J329" s="342">
        <v>46231</v>
      </c>
      <c r="K329" s="344" t="s">
        <v>40</v>
      </c>
      <c r="L329" s="344" t="s">
        <v>793</v>
      </c>
      <c r="M329" s="346">
        <v>0</v>
      </c>
      <c r="N329" s="347">
        <v>46219</v>
      </c>
      <c r="O329" s="347">
        <v>46231</v>
      </c>
      <c r="P329" s="349" t="s">
        <v>40</v>
      </c>
      <c r="Q329" s="349" t="s">
        <v>794</v>
      </c>
      <c r="R329" s="350">
        <v>0</v>
      </c>
      <c r="S329" s="352">
        <v>46239</v>
      </c>
      <c r="T329" s="352">
        <v>46246</v>
      </c>
      <c r="U329" s="354" t="s">
        <v>40</v>
      </c>
      <c r="V329" s="354" t="s">
        <v>795</v>
      </c>
      <c r="W329" s="355">
        <v>0</v>
      </c>
      <c r="X329" s="357">
        <v>46247</v>
      </c>
      <c r="Y329" s="357">
        <v>46249</v>
      </c>
      <c r="Z329" s="359" t="s">
        <v>40</v>
      </c>
      <c r="AA329" s="359" t="s">
        <v>796</v>
      </c>
      <c r="AB329" s="360">
        <v>0</v>
      </c>
      <c r="AC329" s="362">
        <v>46258</v>
      </c>
      <c r="AD329" s="326">
        <v>46265</v>
      </c>
      <c r="AE329" s="327" t="s">
        <v>40</v>
      </c>
      <c r="AF329" s="365" t="s">
        <v>795</v>
      </c>
      <c r="AG329" s="366">
        <v>0</v>
      </c>
      <c r="AH329" s="368">
        <v>46266</v>
      </c>
      <c r="AI329" s="368">
        <v>46269</v>
      </c>
      <c r="AJ329" s="369" t="s">
        <v>165</v>
      </c>
      <c r="AK329" s="373" t="s">
        <v>795</v>
      </c>
      <c r="AL329" s="370">
        <v>0</v>
      </c>
    </row>
    <row r="330" spans="1:38">
      <c r="A330" s="292" t="s">
        <v>670</v>
      </c>
      <c r="B330" s="300" t="s">
        <v>1009</v>
      </c>
      <c r="C330" s="299">
        <v>1</v>
      </c>
      <c r="D330" s="149">
        <v>46195</v>
      </c>
      <c r="E330" s="149">
        <v>46200</v>
      </c>
      <c r="F330" s="341" t="s">
        <v>40</v>
      </c>
      <c r="G330" s="308" t="s">
        <v>792</v>
      </c>
      <c r="H330" s="372">
        <v>0</v>
      </c>
      <c r="I330" s="169">
        <v>46219</v>
      </c>
      <c r="J330" s="342">
        <v>46231</v>
      </c>
      <c r="K330" s="344" t="s">
        <v>40</v>
      </c>
      <c r="L330" s="344" t="s">
        <v>793</v>
      </c>
      <c r="M330" s="346">
        <v>0</v>
      </c>
      <c r="N330" s="347">
        <v>46219</v>
      </c>
      <c r="O330" s="347">
        <v>46231</v>
      </c>
      <c r="P330" s="349" t="s">
        <v>40</v>
      </c>
      <c r="Q330" s="349" t="s">
        <v>794</v>
      </c>
      <c r="R330" s="350">
        <v>0</v>
      </c>
      <c r="S330" s="352">
        <v>46239</v>
      </c>
      <c r="T330" s="352">
        <v>46246</v>
      </c>
      <c r="U330" s="354" t="s">
        <v>40</v>
      </c>
      <c r="V330" s="354" t="s">
        <v>795</v>
      </c>
      <c r="W330" s="355">
        <v>0</v>
      </c>
      <c r="X330" s="357">
        <v>46247</v>
      </c>
      <c r="Y330" s="357">
        <v>46249</v>
      </c>
      <c r="Z330" s="359" t="s">
        <v>40</v>
      </c>
      <c r="AA330" s="359" t="s">
        <v>796</v>
      </c>
      <c r="AB330" s="360">
        <v>0</v>
      </c>
      <c r="AC330" s="362">
        <v>46258</v>
      </c>
      <c r="AD330" s="326">
        <v>46265</v>
      </c>
      <c r="AE330" s="327" t="s">
        <v>40</v>
      </c>
      <c r="AF330" s="365" t="s">
        <v>795</v>
      </c>
      <c r="AG330" s="366">
        <v>0</v>
      </c>
      <c r="AH330" s="368">
        <v>46266</v>
      </c>
      <c r="AI330" s="368">
        <v>46269</v>
      </c>
      <c r="AJ330" s="369" t="s">
        <v>165</v>
      </c>
      <c r="AK330" s="373" t="s">
        <v>795</v>
      </c>
      <c r="AL330" s="370">
        <v>0</v>
      </c>
    </row>
    <row r="331" spans="1:38">
      <c r="A331" s="292" t="s">
        <v>670</v>
      </c>
      <c r="B331" s="300" t="s">
        <v>1010</v>
      </c>
      <c r="C331" s="299">
        <v>1</v>
      </c>
      <c r="D331" s="149">
        <v>46195</v>
      </c>
      <c r="E331" s="149">
        <v>46200</v>
      </c>
      <c r="F331" s="341" t="s">
        <v>40</v>
      </c>
      <c r="G331" s="308" t="s">
        <v>792</v>
      </c>
      <c r="H331" s="372">
        <v>0</v>
      </c>
      <c r="I331" s="169">
        <v>46219</v>
      </c>
      <c r="J331" s="342">
        <v>46231</v>
      </c>
      <c r="K331" s="344" t="s">
        <v>40</v>
      </c>
      <c r="L331" s="344" t="s">
        <v>793</v>
      </c>
      <c r="M331" s="346">
        <v>0</v>
      </c>
      <c r="N331" s="347">
        <v>46219</v>
      </c>
      <c r="O331" s="347">
        <v>46231</v>
      </c>
      <c r="P331" s="349" t="s">
        <v>40</v>
      </c>
      <c r="Q331" s="349" t="s">
        <v>794</v>
      </c>
      <c r="R331" s="350">
        <v>0</v>
      </c>
      <c r="S331" s="352">
        <v>46239</v>
      </c>
      <c r="T331" s="352">
        <v>46246</v>
      </c>
      <c r="U331" s="354" t="s">
        <v>40</v>
      </c>
      <c r="V331" s="354" t="s">
        <v>795</v>
      </c>
      <c r="W331" s="355">
        <v>0</v>
      </c>
      <c r="X331" s="357">
        <v>46247</v>
      </c>
      <c r="Y331" s="357">
        <v>46249</v>
      </c>
      <c r="Z331" s="359" t="s">
        <v>40</v>
      </c>
      <c r="AA331" s="359" t="s">
        <v>796</v>
      </c>
      <c r="AB331" s="360">
        <v>0</v>
      </c>
      <c r="AC331" s="362">
        <v>46258</v>
      </c>
      <c r="AD331" s="326">
        <v>46265</v>
      </c>
      <c r="AE331" s="327" t="s">
        <v>40</v>
      </c>
      <c r="AF331" s="365" t="s">
        <v>795</v>
      </c>
      <c r="AG331" s="366">
        <v>0</v>
      </c>
      <c r="AH331" s="368">
        <v>46266</v>
      </c>
      <c r="AI331" s="368">
        <v>46269</v>
      </c>
      <c r="AJ331" s="369" t="s">
        <v>165</v>
      </c>
      <c r="AK331" s="373" t="s">
        <v>795</v>
      </c>
      <c r="AL331" s="370">
        <v>0</v>
      </c>
    </row>
    <row r="332" spans="1:38">
      <c r="A332" s="292" t="s">
        <v>670</v>
      </c>
      <c r="B332" s="300" t="s">
        <v>1011</v>
      </c>
      <c r="C332" s="299">
        <v>1</v>
      </c>
      <c r="D332" s="149">
        <v>46195</v>
      </c>
      <c r="E332" s="149">
        <v>46200</v>
      </c>
      <c r="F332" s="341" t="s">
        <v>40</v>
      </c>
      <c r="G332" s="308" t="s">
        <v>792</v>
      </c>
      <c r="H332" s="372">
        <v>0</v>
      </c>
      <c r="I332" s="169">
        <v>46219</v>
      </c>
      <c r="J332" s="342">
        <v>46231</v>
      </c>
      <c r="K332" s="344" t="s">
        <v>40</v>
      </c>
      <c r="L332" s="344" t="s">
        <v>793</v>
      </c>
      <c r="M332" s="346">
        <v>0</v>
      </c>
      <c r="N332" s="347">
        <v>46219</v>
      </c>
      <c r="O332" s="347">
        <v>46231</v>
      </c>
      <c r="P332" s="349" t="s">
        <v>40</v>
      </c>
      <c r="Q332" s="349" t="s">
        <v>794</v>
      </c>
      <c r="R332" s="350">
        <v>0</v>
      </c>
      <c r="S332" s="352">
        <v>46239</v>
      </c>
      <c r="T332" s="352">
        <v>46246</v>
      </c>
      <c r="U332" s="354" t="s">
        <v>40</v>
      </c>
      <c r="V332" s="354" t="s">
        <v>795</v>
      </c>
      <c r="W332" s="355">
        <v>0</v>
      </c>
      <c r="X332" s="357">
        <v>46247</v>
      </c>
      <c r="Y332" s="357">
        <v>46249</v>
      </c>
      <c r="Z332" s="359" t="s">
        <v>40</v>
      </c>
      <c r="AA332" s="359" t="s">
        <v>796</v>
      </c>
      <c r="AB332" s="360">
        <v>0</v>
      </c>
      <c r="AC332" s="362">
        <v>46258</v>
      </c>
      <c r="AD332" s="326">
        <v>46265</v>
      </c>
      <c r="AE332" s="327" t="s">
        <v>40</v>
      </c>
      <c r="AF332" s="365" t="s">
        <v>795</v>
      </c>
      <c r="AG332" s="366">
        <v>0</v>
      </c>
      <c r="AH332" s="368">
        <v>46266</v>
      </c>
      <c r="AI332" s="368">
        <v>46269</v>
      </c>
      <c r="AJ332" s="369" t="s">
        <v>165</v>
      </c>
      <c r="AK332" s="373" t="s">
        <v>795</v>
      </c>
      <c r="AL332" s="370">
        <v>0</v>
      </c>
    </row>
    <row r="333" spans="1:38">
      <c r="A333" s="292" t="s">
        <v>670</v>
      </c>
      <c r="B333" s="300" t="s">
        <v>1012</v>
      </c>
      <c r="C333" s="299">
        <v>1</v>
      </c>
      <c r="D333" s="149">
        <v>46195</v>
      </c>
      <c r="E333" s="149">
        <v>46200</v>
      </c>
      <c r="F333" s="341" t="s">
        <v>40</v>
      </c>
      <c r="G333" s="308" t="s">
        <v>792</v>
      </c>
      <c r="H333" s="372">
        <v>0</v>
      </c>
      <c r="I333" s="169">
        <v>46219</v>
      </c>
      <c r="J333" s="342">
        <v>46231</v>
      </c>
      <c r="K333" s="344" t="s">
        <v>40</v>
      </c>
      <c r="L333" s="344" t="s">
        <v>793</v>
      </c>
      <c r="M333" s="346">
        <v>0</v>
      </c>
      <c r="N333" s="347">
        <v>46219</v>
      </c>
      <c r="O333" s="347">
        <v>46231</v>
      </c>
      <c r="P333" s="349" t="s">
        <v>40</v>
      </c>
      <c r="Q333" s="349" t="s">
        <v>794</v>
      </c>
      <c r="R333" s="350">
        <v>0</v>
      </c>
      <c r="S333" s="352">
        <v>46239</v>
      </c>
      <c r="T333" s="352">
        <v>46246</v>
      </c>
      <c r="U333" s="354" t="s">
        <v>40</v>
      </c>
      <c r="V333" s="354" t="s">
        <v>795</v>
      </c>
      <c r="W333" s="355">
        <v>0</v>
      </c>
      <c r="X333" s="357">
        <v>46247</v>
      </c>
      <c r="Y333" s="357">
        <v>46249</v>
      </c>
      <c r="Z333" s="359" t="s">
        <v>40</v>
      </c>
      <c r="AA333" s="359" t="s">
        <v>796</v>
      </c>
      <c r="AB333" s="360">
        <v>0</v>
      </c>
      <c r="AC333" s="362">
        <v>46258</v>
      </c>
      <c r="AD333" s="326">
        <v>46265</v>
      </c>
      <c r="AE333" s="327" t="s">
        <v>40</v>
      </c>
      <c r="AF333" s="365" t="s">
        <v>795</v>
      </c>
      <c r="AG333" s="366">
        <v>0</v>
      </c>
      <c r="AH333" s="368">
        <v>46266</v>
      </c>
      <c r="AI333" s="368">
        <v>46269</v>
      </c>
      <c r="AJ333" s="369" t="s">
        <v>165</v>
      </c>
      <c r="AK333" s="373" t="s">
        <v>795</v>
      </c>
      <c r="AL333" s="370">
        <v>0</v>
      </c>
    </row>
    <row r="334" spans="1:38">
      <c r="A334" s="292" t="s">
        <v>670</v>
      </c>
      <c r="B334" s="300" t="s">
        <v>1013</v>
      </c>
      <c r="C334" s="299">
        <v>1</v>
      </c>
      <c r="D334" s="149">
        <v>46195</v>
      </c>
      <c r="E334" s="149">
        <v>46200</v>
      </c>
      <c r="F334" s="341" t="s">
        <v>40</v>
      </c>
      <c r="G334" s="308" t="s">
        <v>792</v>
      </c>
      <c r="H334" s="372">
        <v>0</v>
      </c>
      <c r="I334" s="169">
        <v>46219</v>
      </c>
      <c r="J334" s="342">
        <v>46231</v>
      </c>
      <c r="K334" s="344" t="s">
        <v>40</v>
      </c>
      <c r="L334" s="344" t="s">
        <v>793</v>
      </c>
      <c r="M334" s="346">
        <v>0</v>
      </c>
      <c r="N334" s="347">
        <v>46219</v>
      </c>
      <c r="O334" s="347">
        <v>46231</v>
      </c>
      <c r="P334" s="349" t="s">
        <v>40</v>
      </c>
      <c r="Q334" s="349" t="s">
        <v>794</v>
      </c>
      <c r="R334" s="350">
        <v>0</v>
      </c>
      <c r="S334" s="352">
        <v>46239</v>
      </c>
      <c r="T334" s="352">
        <v>46246</v>
      </c>
      <c r="U334" s="354" t="s">
        <v>40</v>
      </c>
      <c r="V334" s="354" t="s">
        <v>795</v>
      </c>
      <c r="W334" s="355">
        <v>0</v>
      </c>
      <c r="X334" s="357">
        <v>46247</v>
      </c>
      <c r="Y334" s="357">
        <v>46249</v>
      </c>
      <c r="Z334" s="359" t="s">
        <v>40</v>
      </c>
      <c r="AA334" s="359" t="s">
        <v>796</v>
      </c>
      <c r="AB334" s="360">
        <v>0</v>
      </c>
      <c r="AC334" s="362">
        <v>46258</v>
      </c>
      <c r="AD334" s="326">
        <v>46265</v>
      </c>
      <c r="AE334" s="327" t="s">
        <v>40</v>
      </c>
      <c r="AF334" s="365" t="s">
        <v>795</v>
      </c>
      <c r="AG334" s="366">
        <v>0</v>
      </c>
      <c r="AH334" s="368">
        <v>46266</v>
      </c>
      <c r="AI334" s="368">
        <v>46269</v>
      </c>
      <c r="AJ334" s="369" t="s">
        <v>165</v>
      </c>
      <c r="AK334" s="373" t="s">
        <v>795</v>
      </c>
      <c r="AL334" s="370">
        <v>0</v>
      </c>
    </row>
    <row r="335" spans="1:38">
      <c r="A335" s="292" t="s">
        <v>670</v>
      </c>
      <c r="B335" s="300" t="s">
        <v>1014</v>
      </c>
      <c r="C335" s="299">
        <v>1</v>
      </c>
      <c r="D335" s="149">
        <v>46195</v>
      </c>
      <c r="E335" s="149">
        <v>46200</v>
      </c>
      <c r="F335" s="341" t="s">
        <v>40</v>
      </c>
      <c r="G335" s="308" t="s">
        <v>792</v>
      </c>
      <c r="H335" s="372">
        <v>0</v>
      </c>
      <c r="I335" s="169">
        <v>46219</v>
      </c>
      <c r="J335" s="342">
        <v>46231</v>
      </c>
      <c r="K335" s="344" t="s">
        <v>40</v>
      </c>
      <c r="L335" s="344" t="s">
        <v>793</v>
      </c>
      <c r="M335" s="346">
        <v>0</v>
      </c>
      <c r="N335" s="347">
        <v>46219</v>
      </c>
      <c r="O335" s="347">
        <v>46231</v>
      </c>
      <c r="P335" s="349" t="s">
        <v>40</v>
      </c>
      <c r="Q335" s="349" t="s">
        <v>794</v>
      </c>
      <c r="R335" s="350">
        <v>0</v>
      </c>
      <c r="S335" s="352">
        <v>46239</v>
      </c>
      <c r="T335" s="352">
        <v>46246</v>
      </c>
      <c r="U335" s="354" t="s">
        <v>40</v>
      </c>
      <c r="V335" s="354" t="s">
        <v>795</v>
      </c>
      <c r="W335" s="355">
        <v>0</v>
      </c>
      <c r="X335" s="357">
        <v>46247</v>
      </c>
      <c r="Y335" s="357">
        <v>46249</v>
      </c>
      <c r="Z335" s="359" t="s">
        <v>40</v>
      </c>
      <c r="AA335" s="359" t="s">
        <v>796</v>
      </c>
      <c r="AB335" s="360">
        <v>0</v>
      </c>
      <c r="AC335" s="362">
        <v>46258</v>
      </c>
      <c r="AD335" s="326">
        <v>46265</v>
      </c>
      <c r="AE335" s="327" t="s">
        <v>40</v>
      </c>
      <c r="AF335" s="365" t="s">
        <v>795</v>
      </c>
      <c r="AG335" s="366">
        <v>0</v>
      </c>
      <c r="AH335" s="368">
        <v>46266</v>
      </c>
      <c r="AI335" s="368">
        <v>46269</v>
      </c>
      <c r="AJ335" s="369" t="s">
        <v>165</v>
      </c>
      <c r="AK335" s="373" t="s">
        <v>795</v>
      </c>
      <c r="AL335" s="370">
        <v>0</v>
      </c>
    </row>
    <row r="336" spans="1:38">
      <c r="A336" s="292" t="s">
        <v>670</v>
      </c>
      <c r="B336" s="300" t="s">
        <v>1015</v>
      </c>
      <c r="C336" s="299">
        <v>1</v>
      </c>
      <c r="D336" s="149">
        <v>46195</v>
      </c>
      <c r="E336" s="149">
        <v>46200</v>
      </c>
      <c r="F336" s="341" t="s">
        <v>40</v>
      </c>
      <c r="G336" s="308" t="s">
        <v>792</v>
      </c>
      <c r="H336" s="372">
        <v>0</v>
      </c>
      <c r="I336" s="169">
        <v>46219</v>
      </c>
      <c r="J336" s="342">
        <v>46231</v>
      </c>
      <c r="K336" s="344" t="s">
        <v>40</v>
      </c>
      <c r="L336" s="344" t="s">
        <v>793</v>
      </c>
      <c r="M336" s="346">
        <v>0</v>
      </c>
      <c r="N336" s="347">
        <v>46219</v>
      </c>
      <c r="O336" s="347">
        <v>46231</v>
      </c>
      <c r="P336" s="349" t="s">
        <v>40</v>
      </c>
      <c r="Q336" s="349" t="s">
        <v>794</v>
      </c>
      <c r="R336" s="350">
        <v>0</v>
      </c>
      <c r="S336" s="352">
        <v>46239</v>
      </c>
      <c r="T336" s="352">
        <v>46246</v>
      </c>
      <c r="U336" s="354" t="s">
        <v>40</v>
      </c>
      <c r="V336" s="354" t="s">
        <v>795</v>
      </c>
      <c r="W336" s="355">
        <v>0</v>
      </c>
      <c r="X336" s="357">
        <v>46247</v>
      </c>
      <c r="Y336" s="357">
        <v>46249</v>
      </c>
      <c r="Z336" s="359" t="s">
        <v>40</v>
      </c>
      <c r="AA336" s="359" t="s">
        <v>796</v>
      </c>
      <c r="AB336" s="360">
        <v>0</v>
      </c>
      <c r="AC336" s="362">
        <v>46258</v>
      </c>
      <c r="AD336" s="326">
        <v>46265</v>
      </c>
      <c r="AE336" s="327" t="s">
        <v>40</v>
      </c>
      <c r="AF336" s="365" t="s">
        <v>795</v>
      </c>
      <c r="AG336" s="366">
        <v>0</v>
      </c>
      <c r="AH336" s="368">
        <v>46266</v>
      </c>
      <c r="AI336" s="368">
        <v>46269</v>
      </c>
      <c r="AJ336" s="369" t="s">
        <v>165</v>
      </c>
      <c r="AK336" s="373" t="s">
        <v>795</v>
      </c>
      <c r="AL336" s="370">
        <v>0</v>
      </c>
    </row>
    <row r="337" spans="1:38">
      <c r="A337" s="292" t="s">
        <v>670</v>
      </c>
      <c r="B337" s="300" t="s">
        <v>1016</v>
      </c>
      <c r="C337" s="299">
        <v>1</v>
      </c>
      <c r="D337" s="149">
        <v>46195</v>
      </c>
      <c r="E337" s="149">
        <v>46200</v>
      </c>
      <c r="F337" s="341" t="s">
        <v>40</v>
      </c>
      <c r="G337" s="308" t="s">
        <v>792</v>
      </c>
      <c r="H337" s="372">
        <v>0</v>
      </c>
      <c r="I337" s="169">
        <v>46219</v>
      </c>
      <c r="J337" s="342">
        <v>46231</v>
      </c>
      <c r="K337" s="344" t="s">
        <v>40</v>
      </c>
      <c r="L337" s="344" t="s">
        <v>793</v>
      </c>
      <c r="M337" s="346">
        <v>0</v>
      </c>
      <c r="N337" s="347">
        <v>46219</v>
      </c>
      <c r="O337" s="347">
        <v>46231</v>
      </c>
      <c r="P337" s="349" t="s">
        <v>40</v>
      </c>
      <c r="Q337" s="349" t="s">
        <v>794</v>
      </c>
      <c r="R337" s="350">
        <v>0</v>
      </c>
      <c r="S337" s="352">
        <v>46239</v>
      </c>
      <c r="T337" s="352">
        <v>46246</v>
      </c>
      <c r="U337" s="354" t="s">
        <v>40</v>
      </c>
      <c r="V337" s="354" t="s">
        <v>795</v>
      </c>
      <c r="W337" s="355">
        <v>0</v>
      </c>
      <c r="X337" s="357">
        <v>46247</v>
      </c>
      <c r="Y337" s="357">
        <v>46249</v>
      </c>
      <c r="Z337" s="359" t="s">
        <v>40</v>
      </c>
      <c r="AA337" s="359" t="s">
        <v>796</v>
      </c>
      <c r="AB337" s="360">
        <v>0</v>
      </c>
      <c r="AC337" s="362">
        <v>46258</v>
      </c>
      <c r="AD337" s="326">
        <v>46265</v>
      </c>
      <c r="AE337" s="327" t="s">
        <v>40</v>
      </c>
      <c r="AF337" s="365" t="s">
        <v>795</v>
      </c>
      <c r="AG337" s="366">
        <v>0</v>
      </c>
      <c r="AH337" s="368">
        <v>46266</v>
      </c>
      <c r="AI337" s="368">
        <v>46269</v>
      </c>
      <c r="AJ337" s="369" t="s">
        <v>165</v>
      </c>
      <c r="AK337" s="373" t="s">
        <v>795</v>
      </c>
      <c r="AL337" s="370">
        <v>0</v>
      </c>
    </row>
    <row r="338" spans="1:38">
      <c r="A338" s="292" t="s">
        <v>670</v>
      </c>
      <c r="B338" s="300" t="s">
        <v>1017</v>
      </c>
      <c r="C338" s="299">
        <v>1</v>
      </c>
      <c r="D338" s="149">
        <v>46195</v>
      </c>
      <c r="E338" s="149">
        <v>46200</v>
      </c>
      <c r="F338" s="341" t="s">
        <v>40</v>
      </c>
      <c r="G338" s="308" t="s">
        <v>792</v>
      </c>
      <c r="H338" s="372">
        <v>0</v>
      </c>
      <c r="I338" s="169">
        <v>46219</v>
      </c>
      <c r="J338" s="342">
        <v>46231</v>
      </c>
      <c r="K338" s="344" t="s">
        <v>40</v>
      </c>
      <c r="L338" s="344" t="s">
        <v>793</v>
      </c>
      <c r="M338" s="346">
        <v>0</v>
      </c>
      <c r="N338" s="347">
        <v>46219</v>
      </c>
      <c r="O338" s="347">
        <v>46231</v>
      </c>
      <c r="P338" s="349" t="s">
        <v>40</v>
      </c>
      <c r="Q338" s="349" t="s">
        <v>794</v>
      </c>
      <c r="R338" s="350">
        <v>0</v>
      </c>
      <c r="S338" s="352">
        <v>46239</v>
      </c>
      <c r="T338" s="352">
        <v>46246</v>
      </c>
      <c r="U338" s="354" t="s">
        <v>40</v>
      </c>
      <c r="V338" s="354" t="s">
        <v>795</v>
      </c>
      <c r="W338" s="355">
        <v>0</v>
      </c>
      <c r="X338" s="357">
        <v>46247</v>
      </c>
      <c r="Y338" s="357">
        <v>46249</v>
      </c>
      <c r="Z338" s="359" t="s">
        <v>40</v>
      </c>
      <c r="AA338" s="359" t="s">
        <v>796</v>
      </c>
      <c r="AB338" s="360">
        <v>0</v>
      </c>
      <c r="AC338" s="362">
        <v>46258</v>
      </c>
      <c r="AD338" s="326">
        <v>46265</v>
      </c>
      <c r="AE338" s="327" t="s">
        <v>40</v>
      </c>
      <c r="AF338" s="365" t="s">
        <v>795</v>
      </c>
      <c r="AG338" s="366">
        <v>0</v>
      </c>
      <c r="AH338" s="368">
        <v>46266</v>
      </c>
      <c r="AI338" s="368">
        <v>46269</v>
      </c>
      <c r="AJ338" s="369" t="s">
        <v>165</v>
      </c>
      <c r="AK338" s="373" t="s">
        <v>795</v>
      </c>
      <c r="AL338" s="370">
        <v>0</v>
      </c>
    </row>
    <row r="339" spans="1:38">
      <c r="A339" s="292" t="s">
        <v>670</v>
      </c>
      <c r="B339" s="300" t="s">
        <v>1018</v>
      </c>
      <c r="C339" s="299">
        <v>1</v>
      </c>
      <c r="D339" s="149">
        <v>46195</v>
      </c>
      <c r="E339" s="149">
        <v>46200</v>
      </c>
      <c r="F339" s="341" t="s">
        <v>40</v>
      </c>
      <c r="G339" s="308" t="s">
        <v>792</v>
      </c>
      <c r="H339" s="372">
        <v>0</v>
      </c>
      <c r="I339" s="169">
        <v>46219</v>
      </c>
      <c r="J339" s="342">
        <v>46231</v>
      </c>
      <c r="K339" s="344" t="s">
        <v>40</v>
      </c>
      <c r="L339" s="344" t="s">
        <v>793</v>
      </c>
      <c r="M339" s="346">
        <v>0</v>
      </c>
      <c r="N339" s="347">
        <v>46219</v>
      </c>
      <c r="O339" s="347">
        <v>46231</v>
      </c>
      <c r="P339" s="349" t="s">
        <v>40</v>
      </c>
      <c r="Q339" s="349" t="s">
        <v>794</v>
      </c>
      <c r="R339" s="350">
        <v>0</v>
      </c>
      <c r="S339" s="352">
        <v>46239</v>
      </c>
      <c r="T339" s="352">
        <v>46246</v>
      </c>
      <c r="U339" s="354" t="s">
        <v>40</v>
      </c>
      <c r="V339" s="354" t="s">
        <v>795</v>
      </c>
      <c r="W339" s="355">
        <v>0</v>
      </c>
      <c r="X339" s="357">
        <v>46247</v>
      </c>
      <c r="Y339" s="357">
        <v>46249</v>
      </c>
      <c r="Z339" s="359" t="s">
        <v>40</v>
      </c>
      <c r="AA339" s="359" t="s">
        <v>796</v>
      </c>
      <c r="AB339" s="360">
        <v>0</v>
      </c>
      <c r="AC339" s="362">
        <v>46258</v>
      </c>
      <c r="AD339" s="326">
        <v>46265</v>
      </c>
      <c r="AE339" s="327" t="s">
        <v>40</v>
      </c>
      <c r="AF339" s="365" t="s">
        <v>795</v>
      </c>
      <c r="AG339" s="366">
        <v>0</v>
      </c>
      <c r="AH339" s="368">
        <v>46266</v>
      </c>
      <c r="AI339" s="368">
        <v>46269</v>
      </c>
      <c r="AJ339" s="369" t="s">
        <v>165</v>
      </c>
      <c r="AK339" s="373" t="s">
        <v>795</v>
      </c>
      <c r="AL339" s="370">
        <v>0</v>
      </c>
    </row>
    <row r="340" spans="1:38">
      <c r="A340" s="292" t="s">
        <v>670</v>
      </c>
      <c r="B340" s="300" t="s">
        <v>1019</v>
      </c>
      <c r="C340" s="299">
        <v>1</v>
      </c>
      <c r="D340" s="149">
        <v>46195</v>
      </c>
      <c r="E340" s="149">
        <v>46200</v>
      </c>
      <c r="F340" s="341" t="s">
        <v>40</v>
      </c>
      <c r="G340" s="308" t="s">
        <v>479</v>
      </c>
      <c r="H340" s="372">
        <v>0</v>
      </c>
      <c r="I340" s="169">
        <v>46219</v>
      </c>
      <c r="J340" s="342">
        <v>46231</v>
      </c>
      <c r="K340" s="344" t="s">
        <v>40</v>
      </c>
      <c r="L340" s="345" t="s">
        <v>679</v>
      </c>
      <c r="M340" s="346">
        <v>0</v>
      </c>
      <c r="N340" s="347">
        <v>46219</v>
      </c>
      <c r="O340" s="347">
        <v>46231</v>
      </c>
      <c r="P340" s="349" t="s">
        <v>40</v>
      </c>
      <c r="Q340" s="349" t="s">
        <v>480</v>
      </c>
      <c r="R340" s="350">
        <v>0</v>
      </c>
      <c r="S340" s="352">
        <v>46239</v>
      </c>
      <c r="T340" s="352">
        <v>46246</v>
      </c>
      <c r="U340" s="354" t="s">
        <v>40</v>
      </c>
      <c r="V340" s="354" t="s">
        <v>480</v>
      </c>
      <c r="W340" s="355">
        <v>0</v>
      </c>
      <c r="X340" s="357">
        <v>46247</v>
      </c>
      <c r="Y340" s="357">
        <v>46249</v>
      </c>
      <c r="Z340" s="359" t="s">
        <v>40</v>
      </c>
      <c r="AA340" s="359" t="s">
        <v>480</v>
      </c>
      <c r="AB340" s="360">
        <v>0</v>
      </c>
      <c r="AC340" s="362">
        <v>46258</v>
      </c>
      <c r="AD340" s="326">
        <v>46265</v>
      </c>
      <c r="AE340" s="327" t="s">
        <v>40</v>
      </c>
      <c r="AF340" s="365" t="s">
        <v>480</v>
      </c>
      <c r="AG340" s="366">
        <v>0</v>
      </c>
      <c r="AH340" s="368">
        <v>46266</v>
      </c>
      <c r="AI340" s="368">
        <v>46269</v>
      </c>
      <c r="AJ340" s="369" t="s">
        <v>165</v>
      </c>
      <c r="AK340" s="373" t="s">
        <v>40</v>
      </c>
      <c r="AL340" s="370">
        <v>0</v>
      </c>
    </row>
    <row r="341" spans="1:38">
      <c r="A341" s="292" t="s">
        <v>670</v>
      </c>
      <c r="B341" s="300" t="s">
        <v>1020</v>
      </c>
      <c r="C341" s="299">
        <v>1</v>
      </c>
      <c r="D341" s="149">
        <v>46195</v>
      </c>
      <c r="E341" s="149">
        <v>46200</v>
      </c>
      <c r="F341" s="341" t="s">
        <v>40</v>
      </c>
      <c r="G341" s="308" t="s">
        <v>479</v>
      </c>
      <c r="H341" s="372">
        <v>1</v>
      </c>
      <c r="I341" s="169">
        <v>46219</v>
      </c>
      <c r="J341" s="342">
        <v>46231</v>
      </c>
      <c r="K341" s="344" t="s">
        <v>40</v>
      </c>
      <c r="L341" s="344" t="s">
        <v>480</v>
      </c>
      <c r="M341" s="346">
        <v>1</v>
      </c>
      <c r="N341" s="347">
        <v>46219</v>
      </c>
      <c r="O341" s="347">
        <v>46231</v>
      </c>
      <c r="P341" s="349" t="s">
        <v>40</v>
      </c>
      <c r="Q341" s="349" t="s">
        <v>480</v>
      </c>
      <c r="R341" s="350">
        <v>0</v>
      </c>
      <c r="S341" s="352">
        <v>46239</v>
      </c>
      <c r="T341" s="352">
        <v>46246</v>
      </c>
      <c r="U341" s="354" t="s">
        <v>40</v>
      </c>
      <c r="V341" s="354" t="s">
        <v>480</v>
      </c>
      <c r="W341" s="355">
        <v>0</v>
      </c>
      <c r="X341" s="357">
        <v>46247</v>
      </c>
      <c r="Y341" s="357">
        <v>46249</v>
      </c>
      <c r="Z341" s="359" t="s">
        <v>40</v>
      </c>
      <c r="AA341" s="359" t="s">
        <v>480</v>
      </c>
      <c r="AB341" s="360">
        <v>0</v>
      </c>
      <c r="AC341" s="362">
        <v>46258</v>
      </c>
      <c r="AD341" s="326">
        <v>46265</v>
      </c>
      <c r="AE341" s="327" t="s">
        <v>40</v>
      </c>
      <c r="AF341" s="365" t="s">
        <v>480</v>
      </c>
      <c r="AG341" s="366">
        <v>0</v>
      </c>
      <c r="AH341" s="368">
        <v>46266</v>
      </c>
      <c r="AI341" s="368">
        <v>46269</v>
      </c>
      <c r="AJ341" s="369" t="s">
        <v>165</v>
      </c>
      <c r="AK341" s="373" t="s">
        <v>480</v>
      </c>
      <c r="AL341" s="370">
        <v>0</v>
      </c>
    </row>
    <row r="342" spans="1:38">
      <c r="A342" s="292" t="s">
        <v>670</v>
      </c>
      <c r="B342" s="300" t="s">
        <v>1021</v>
      </c>
      <c r="C342" s="299">
        <v>1</v>
      </c>
      <c r="D342" s="149">
        <v>46195</v>
      </c>
      <c r="E342" s="149">
        <v>46200</v>
      </c>
      <c r="F342" s="341" t="s">
        <v>40</v>
      </c>
      <c r="G342" s="308" t="s">
        <v>479</v>
      </c>
      <c r="H342" s="372">
        <v>0</v>
      </c>
      <c r="I342" s="169">
        <v>46219</v>
      </c>
      <c r="J342" s="342">
        <v>46231</v>
      </c>
      <c r="K342" s="344" t="s">
        <v>40</v>
      </c>
      <c r="L342" s="345" t="s">
        <v>679</v>
      </c>
      <c r="M342" s="346">
        <v>0</v>
      </c>
      <c r="N342" s="347">
        <v>46219</v>
      </c>
      <c r="O342" s="347">
        <v>46231</v>
      </c>
      <c r="P342" s="349" t="s">
        <v>40</v>
      </c>
      <c r="Q342" s="349" t="s">
        <v>480</v>
      </c>
      <c r="R342" s="350">
        <v>0</v>
      </c>
      <c r="S342" s="352">
        <v>46239</v>
      </c>
      <c r="T342" s="352">
        <v>46246</v>
      </c>
      <c r="U342" s="354" t="s">
        <v>40</v>
      </c>
      <c r="V342" s="354" t="s">
        <v>480</v>
      </c>
      <c r="W342" s="355">
        <v>0</v>
      </c>
      <c r="X342" s="357">
        <v>46247</v>
      </c>
      <c r="Y342" s="357">
        <v>46249</v>
      </c>
      <c r="Z342" s="359" t="s">
        <v>40</v>
      </c>
      <c r="AA342" s="359" t="s">
        <v>480</v>
      </c>
      <c r="AB342" s="360">
        <v>0</v>
      </c>
      <c r="AC342" s="362">
        <v>46258</v>
      </c>
      <c r="AD342" s="326">
        <v>46265</v>
      </c>
      <c r="AE342" s="327" t="s">
        <v>40</v>
      </c>
      <c r="AF342" s="365" t="s">
        <v>480</v>
      </c>
      <c r="AG342" s="366">
        <v>0</v>
      </c>
      <c r="AH342" s="368">
        <v>46266</v>
      </c>
      <c r="AI342" s="368">
        <v>46269</v>
      </c>
      <c r="AJ342" s="369" t="s">
        <v>165</v>
      </c>
      <c r="AK342" s="373" t="s">
        <v>40</v>
      </c>
      <c r="AL342" s="370">
        <v>0</v>
      </c>
    </row>
    <row r="343" spans="1:38">
      <c r="A343" s="292" t="s">
        <v>670</v>
      </c>
      <c r="B343" s="300" t="s">
        <v>1022</v>
      </c>
      <c r="C343" s="299">
        <v>1</v>
      </c>
      <c r="D343" s="149">
        <v>46195</v>
      </c>
      <c r="E343" s="149">
        <v>46200</v>
      </c>
      <c r="F343" s="341" t="s">
        <v>40</v>
      </c>
      <c r="G343" s="308" t="s">
        <v>479</v>
      </c>
      <c r="H343" s="372">
        <v>1</v>
      </c>
      <c r="I343" s="169">
        <v>46219</v>
      </c>
      <c r="J343" s="342">
        <v>46231</v>
      </c>
      <c r="K343" s="344" t="s">
        <v>40</v>
      </c>
      <c r="L343" s="344" t="s">
        <v>480</v>
      </c>
      <c r="M343" s="346">
        <v>1</v>
      </c>
      <c r="N343" s="347">
        <v>46219</v>
      </c>
      <c r="O343" s="347">
        <v>46231</v>
      </c>
      <c r="P343" s="349" t="s">
        <v>40</v>
      </c>
      <c r="Q343" s="349" t="s">
        <v>480</v>
      </c>
      <c r="R343" s="350">
        <v>0</v>
      </c>
      <c r="S343" s="352">
        <v>46239</v>
      </c>
      <c r="T343" s="352">
        <v>46246</v>
      </c>
      <c r="U343" s="354" t="s">
        <v>40</v>
      </c>
      <c r="V343" s="354" t="s">
        <v>480</v>
      </c>
      <c r="W343" s="355">
        <v>0</v>
      </c>
      <c r="X343" s="357">
        <v>46247</v>
      </c>
      <c r="Y343" s="357">
        <v>46249</v>
      </c>
      <c r="Z343" s="359" t="s">
        <v>40</v>
      </c>
      <c r="AA343" s="359" t="s">
        <v>480</v>
      </c>
      <c r="AB343" s="360">
        <v>0</v>
      </c>
      <c r="AC343" s="362">
        <v>46258</v>
      </c>
      <c r="AD343" s="326">
        <v>46265</v>
      </c>
      <c r="AE343" s="327" t="s">
        <v>40</v>
      </c>
      <c r="AF343" s="365" t="s">
        <v>480</v>
      </c>
      <c r="AG343" s="366">
        <v>0</v>
      </c>
      <c r="AH343" s="368">
        <v>46266</v>
      </c>
      <c r="AI343" s="368">
        <v>46269</v>
      </c>
      <c r="AJ343" s="369" t="s">
        <v>165</v>
      </c>
      <c r="AK343" s="373" t="s">
        <v>480</v>
      </c>
      <c r="AL343" s="370">
        <v>0</v>
      </c>
    </row>
    <row r="344" spans="1:38">
      <c r="A344" s="292" t="s">
        <v>670</v>
      </c>
      <c r="B344" s="300" t="s">
        <v>1023</v>
      </c>
      <c r="C344" s="299">
        <v>1</v>
      </c>
      <c r="D344" s="149">
        <v>46195</v>
      </c>
      <c r="E344" s="149">
        <v>46200</v>
      </c>
      <c r="F344" s="341" t="s">
        <v>40</v>
      </c>
      <c r="G344" s="308" t="s">
        <v>479</v>
      </c>
      <c r="H344" s="372">
        <v>0</v>
      </c>
      <c r="I344" s="169">
        <v>46219</v>
      </c>
      <c r="J344" s="342">
        <v>46231</v>
      </c>
      <c r="K344" s="344" t="s">
        <v>40</v>
      </c>
      <c r="L344" s="345" t="s">
        <v>679</v>
      </c>
      <c r="M344" s="346">
        <v>0</v>
      </c>
      <c r="N344" s="347">
        <v>46219</v>
      </c>
      <c r="O344" s="347">
        <v>46231</v>
      </c>
      <c r="P344" s="349" t="s">
        <v>40</v>
      </c>
      <c r="Q344" s="349" t="s">
        <v>480</v>
      </c>
      <c r="R344" s="350">
        <v>0</v>
      </c>
      <c r="S344" s="352">
        <v>46239</v>
      </c>
      <c r="T344" s="352">
        <v>46246</v>
      </c>
      <c r="U344" s="354" t="s">
        <v>40</v>
      </c>
      <c r="V344" s="354" t="s">
        <v>480</v>
      </c>
      <c r="W344" s="355">
        <v>0</v>
      </c>
      <c r="X344" s="357">
        <v>46247</v>
      </c>
      <c r="Y344" s="357">
        <v>46249</v>
      </c>
      <c r="Z344" s="359" t="s">
        <v>40</v>
      </c>
      <c r="AA344" s="359" t="s">
        <v>480</v>
      </c>
      <c r="AB344" s="360">
        <v>0</v>
      </c>
      <c r="AC344" s="362">
        <v>46258</v>
      </c>
      <c r="AD344" s="326">
        <v>46265</v>
      </c>
      <c r="AE344" s="327" t="s">
        <v>40</v>
      </c>
      <c r="AF344" s="365" t="s">
        <v>480</v>
      </c>
      <c r="AG344" s="366">
        <v>0</v>
      </c>
      <c r="AH344" s="368">
        <v>46266</v>
      </c>
      <c r="AI344" s="368">
        <v>46269</v>
      </c>
      <c r="AJ344" s="369" t="s">
        <v>165</v>
      </c>
      <c r="AK344" s="373" t="s">
        <v>40</v>
      </c>
      <c r="AL344" s="370">
        <v>0</v>
      </c>
    </row>
    <row r="345" spans="1:38">
      <c r="A345" s="292" t="s">
        <v>670</v>
      </c>
      <c r="B345" s="300" t="s">
        <v>1024</v>
      </c>
      <c r="C345" s="299">
        <v>1</v>
      </c>
      <c r="D345" s="149">
        <v>46195</v>
      </c>
      <c r="E345" s="149">
        <v>46200</v>
      </c>
      <c r="F345" s="341" t="s">
        <v>40</v>
      </c>
      <c r="G345" s="308" t="s">
        <v>479</v>
      </c>
      <c r="H345" s="372">
        <v>1</v>
      </c>
      <c r="I345" s="169">
        <v>46219</v>
      </c>
      <c r="J345" s="342">
        <v>46231</v>
      </c>
      <c r="K345" s="344" t="s">
        <v>40</v>
      </c>
      <c r="L345" s="344" t="s">
        <v>480</v>
      </c>
      <c r="M345" s="346">
        <v>1</v>
      </c>
      <c r="N345" s="347">
        <v>46219</v>
      </c>
      <c r="O345" s="347">
        <v>46231</v>
      </c>
      <c r="P345" s="349" t="s">
        <v>40</v>
      </c>
      <c r="Q345" s="349" t="s">
        <v>480</v>
      </c>
      <c r="R345" s="350">
        <v>0</v>
      </c>
      <c r="S345" s="352">
        <v>46239</v>
      </c>
      <c r="T345" s="352">
        <v>46246</v>
      </c>
      <c r="U345" s="354" t="s">
        <v>40</v>
      </c>
      <c r="V345" s="354" t="s">
        <v>480</v>
      </c>
      <c r="W345" s="355">
        <v>0</v>
      </c>
      <c r="X345" s="357">
        <v>46247</v>
      </c>
      <c r="Y345" s="357">
        <v>46249</v>
      </c>
      <c r="Z345" s="359" t="s">
        <v>40</v>
      </c>
      <c r="AA345" s="359" t="s">
        <v>480</v>
      </c>
      <c r="AB345" s="360">
        <v>0</v>
      </c>
      <c r="AC345" s="362">
        <v>46258</v>
      </c>
      <c r="AD345" s="326">
        <v>46265</v>
      </c>
      <c r="AE345" s="327" t="s">
        <v>40</v>
      </c>
      <c r="AF345" s="365" t="s">
        <v>480</v>
      </c>
      <c r="AG345" s="366">
        <v>0</v>
      </c>
      <c r="AH345" s="368">
        <v>46266</v>
      </c>
      <c r="AI345" s="368">
        <v>46269</v>
      </c>
      <c r="AJ345" s="369" t="s">
        <v>165</v>
      </c>
      <c r="AK345" s="373" t="s">
        <v>480</v>
      </c>
      <c r="AL345" s="370">
        <v>0</v>
      </c>
    </row>
    <row r="346" spans="1:38">
      <c r="A346" s="292" t="s">
        <v>670</v>
      </c>
      <c r="B346" s="300" t="s">
        <v>1025</v>
      </c>
      <c r="C346" s="299">
        <v>1</v>
      </c>
      <c r="D346" s="149">
        <v>46195</v>
      </c>
      <c r="E346" s="149">
        <v>46200</v>
      </c>
      <c r="F346" s="341" t="s">
        <v>40</v>
      </c>
      <c r="G346" s="308" t="s">
        <v>479</v>
      </c>
      <c r="H346" s="372">
        <v>0</v>
      </c>
      <c r="I346" s="169">
        <v>46219</v>
      </c>
      <c r="J346" s="342">
        <v>46231</v>
      </c>
      <c r="K346" s="344" t="s">
        <v>40</v>
      </c>
      <c r="L346" s="345" t="s">
        <v>679</v>
      </c>
      <c r="M346" s="346">
        <v>0</v>
      </c>
      <c r="N346" s="347">
        <v>46219</v>
      </c>
      <c r="O346" s="347">
        <v>46231</v>
      </c>
      <c r="P346" s="349" t="s">
        <v>40</v>
      </c>
      <c r="Q346" s="349" t="s">
        <v>480</v>
      </c>
      <c r="R346" s="350">
        <v>0</v>
      </c>
      <c r="S346" s="352">
        <v>46239</v>
      </c>
      <c r="T346" s="352">
        <v>46246</v>
      </c>
      <c r="U346" s="354" t="s">
        <v>40</v>
      </c>
      <c r="V346" s="354" t="s">
        <v>480</v>
      </c>
      <c r="W346" s="355">
        <v>0</v>
      </c>
      <c r="X346" s="357">
        <v>46247</v>
      </c>
      <c r="Y346" s="357">
        <v>46249</v>
      </c>
      <c r="Z346" s="359" t="s">
        <v>40</v>
      </c>
      <c r="AA346" s="359" t="s">
        <v>480</v>
      </c>
      <c r="AB346" s="360">
        <v>0</v>
      </c>
      <c r="AC346" s="362">
        <v>46258</v>
      </c>
      <c r="AD346" s="326">
        <v>46265</v>
      </c>
      <c r="AE346" s="327" t="s">
        <v>40</v>
      </c>
      <c r="AF346" s="365" t="s">
        <v>480</v>
      </c>
      <c r="AG346" s="366">
        <v>0</v>
      </c>
      <c r="AH346" s="368">
        <v>46266</v>
      </c>
      <c r="AI346" s="368">
        <v>46269</v>
      </c>
      <c r="AJ346" s="369" t="s">
        <v>165</v>
      </c>
      <c r="AK346" s="373" t="s">
        <v>40</v>
      </c>
      <c r="AL346" s="370">
        <v>0</v>
      </c>
    </row>
    <row r="347" spans="1:38">
      <c r="A347" s="292" t="s">
        <v>670</v>
      </c>
      <c r="B347" s="300" t="s">
        <v>1026</v>
      </c>
      <c r="C347" s="299">
        <v>1</v>
      </c>
      <c r="D347" s="149">
        <v>46195</v>
      </c>
      <c r="E347" s="149">
        <v>46200</v>
      </c>
      <c r="F347" s="341" t="s">
        <v>40</v>
      </c>
      <c r="G347" s="340" t="s">
        <v>40</v>
      </c>
      <c r="H347" s="372">
        <v>1</v>
      </c>
      <c r="I347" s="169">
        <v>46219</v>
      </c>
      <c r="J347" s="342">
        <v>46231</v>
      </c>
      <c r="K347" s="344" t="s">
        <v>40</v>
      </c>
      <c r="L347" s="345" t="s">
        <v>480</v>
      </c>
      <c r="M347" s="346">
        <v>0</v>
      </c>
      <c r="N347" s="347">
        <v>46219</v>
      </c>
      <c r="O347" s="347">
        <v>46231</v>
      </c>
      <c r="P347" s="349" t="s">
        <v>40</v>
      </c>
      <c r="Q347" s="374" t="s">
        <v>480</v>
      </c>
      <c r="R347" s="350">
        <v>0</v>
      </c>
      <c r="S347" s="352">
        <v>46239</v>
      </c>
      <c r="T347" s="352">
        <v>46246</v>
      </c>
      <c r="U347" s="354" t="s">
        <v>40</v>
      </c>
      <c r="V347" s="376" t="s">
        <v>480</v>
      </c>
      <c r="W347" s="355">
        <v>0</v>
      </c>
      <c r="X347" s="357">
        <v>46247</v>
      </c>
      <c r="Y347" s="357">
        <v>46249</v>
      </c>
      <c r="Z347" s="359" t="s">
        <v>40</v>
      </c>
      <c r="AA347" s="377" t="s">
        <v>480</v>
      </c>
      <c r="AB347" s="360">
        <v>0</v>
      </c>
      <c r="AC347" s="362">
        <v>46258</v>
      </c>
      <c r="AD347" s="326">
        <v>46265</v>
      </c>
      <c r="AE347" s="327" t="s">
        <v>40</v>
      </c>
      <c r="AF347" s="378" t="s">
        <v>480</v>
      </c>
      <c r="AG347" s="366">
        <v>0</v>
      </c>
      <c r="AH347" s="368">
        <v>46266</v>
      </c>
      <c r="AI347" s="368">
        <v>46269</v>
      </c>
      <c r="AJ347" s="369" t="s">
        <v>165</v>
      </c>
      <c r="AK347" s="373" t="s">
        <v>480</v>
      </c>
      <c r="AL347" s="370">
        <v>0</v>
      </c>
    </row>
    <row r="348" spans="1:38">
      <c r="A348" s="292" t="s">
        <v>670</v>
      </c>
      <c r="B348" s="300" t="s">
        <v>1027</v>
      </c>
      <c r="C348" s="299">
        <v>1</v>
      </c>
      <c r="D348" s="149">
        <v>46195</v>
      </c>
      <c r="E348" s="149">
        <v>46200</v>
      </c>
      <c r="F348" s="341" t="s">
        <v>40</v>
      </c>
      <c r="G348" s="308" t="s">
        <v>479</v>
      </c>
      <c r="H348" s="372">
        <v>0</v>
      </c>
      <c r="I348" s="169">
        <v>46219</v>
      </c>
      <c r="J348" s="342">
        <v>46231</v>
      </c>
      <c r="K348" s="344" t="s">
        <v>40</v>
      </c>
      <c r="L348" s="345" t="s">
        <v>679</v>
      </c>
      <c r="M348" s="346">
        <v>0</v>
      </c>
      <c r="N348" s="347">
        <v>46219</v>
      </c>
      <c r="O348" s="347">
        <v>46231</v>
      </c>
      <c r="P348" s="349" t="s">
        <v>40</v>
      </c>
      <c r="Q348" s="349" t="s">
        <v>480</v>
      </c>
      <c r="R348" s="350">
        <v>0</v>
      </c>
      <c r="S348" s="352">
        <v>46239</v>
      </c>
      <c r="T348" s="352">
        <v>46246</v>
      </c>
      <c r="U348" s="354" t="s">
        <v>40</v>
      </c>
      <c r="V348" s="354" t="s">
        <v>480</v>
      </c>
      <c r="W348" s="355">
        <v>0</v>
      </c>
      <c r="X348" s="357">
        <v>46247</v>
      </c>
      <c r="Y348" s="357">
        <v>46249</v>
      </c>
      <c r="Z348" s="359" t="s">
        <v>40</v>
      </c>
      <c r="AA348" s="359" t="s">
        <v>480</v>
      </c>
      <c r="AB348" s="360">
        <v>0</v>
      </c>
      <c r="AC348" s="362">
        <v>46258</v>
      </c>
      <c r="AD348" s="326">
        <v>46265</v>
      </c>
      <c r="AE348" s="327" t="s">
        <v>40</v>
      </c>
      <c r="AF348" s="365" t="s">
        <v>480</v>
      </c>
      <c r="AG348" s="366">
        <v>0</v>
      </c>
      <c r="AH348" s="368">
        <v>46266</v>
      </c>
      <c r="AI348" s="368">
        <v>46269</v>
      </c>
      <c r="AJ348" s="369" t="s">
        <v>165</v>
      </c>
      <c r="AK348" s="373" t="s">
        <v>40</v>
      </c>
      <c r="AL348" s="370">
        <v>0</v>
      </c>
    </row>
    <row r="349" spans="1:38">
      <c r="A349" s="292" t="s">
        <v>670</v>
      </c>
      <c r="B349" s="300" t="s">
        <v>1028</v>
      </c>
      <c r="C349" s="299">
        <v>1</v>
      </c>
      <c r="D349" s="149">
        <v>46195</v>
      </c>
      <c r="E349" s="149">
        <v>46200</v>
      </c>
      <c r="F349" s="341" t="s">
        <v>40</v>
      </c>
      <c r="G349" s="308" t="s">
        <v>34</v>
      </c>
      <c r="H349" s="372">
        <v>1</v>
      </c>
      <c r="I349" s="169">
        <v>46219</v>
      </c>
      <c r="J349" s="342">
        <v>46231</v>
      </c>
      <c r="K349" s="344" t="s">
        <v>40</v>
      </c>
      <c r="L349" s="344" t="s">
        <v>34</v>
      </c>
      <c r="M349" s="346">
        <v>1</v>
      </c>
      <c r="N349" s="347">
        <v>46219</v>
      </c>
      <c r="O349" s="347">
        <v>46231</v>
      </c>
      <c r="P349" s="349" t="s">
        <v>40</v>
      </c>
      <c r="Q349" s="349" t="s">
        <v>480</v>
      </c>
      <c r="R349" s="350">
        <v>0</v>
      </c>
      <c r="S349" s="352">
        <v>46239</v>
      </c>
      <c r="T349" s="352">
        <v>46246</v>
      </c>
      <c r="U349" s="354" t="s">
        <v>40</v>
      </c>
      <c r="V349" s="354" t="s">
        <v>480</v>
      </c>
      <c r="W349" s="355">
        <v>0</v>
      </c>
      <c r="X349" s="357">
        <v>46247</v>
      </c>
      <c r="Y349" s="357">
        <v>46249</v>
      </c>
      <c r="Z349" s="359" t="s">
        <v>40</v>
      </c>
      <c r="AA349" s="359" t="s">
        <v>480</v>
      </c>
      <c r="AB349" s="360">
        <v>0</v>
      </c>
      <c r="AC349" s="362">
        <v>46258</v>
      </c>
      <c r="AD349" s="326">
        <v>46265</v>
      </c>
      <c r="AE349" s="327" t="s">
        <v>40</v>
      </c>
      <c r="AF349" s="365" t="s">
        <v>480</v>
      </c>
      <c r="AG349" s="366">
        <v>0</v>
      </c>
      <c r="AH349" s="368">
        <v>46266</v>
      </c>
      <c r="AI349" s="368">
        <v>46269</v>
      </c>
      <c r="AJ349" s="369" t="s">
        <v>165</v>
      </c>
      <c r="AK349" s="373" t="s">
        <v>480</v>
      </c>
      <c r="AL349" s="370">
        <v>0</v>
      </c>
    </row>
    <row r="350" spans="1:38">
      <c r="A350" s="292" t="s">
        <v>670</v>
      </c>
      <c r="B350" s="300" t="s">
        <v>1029</v>
      </c>
      <c r="C350" s="299">
        <v>1</v>
      </c>
      <c r="D350" s="149">
        <v>46195</v>
      </c>
      <c r="E350" s="149">
        <v>46200</v>
      </c>
      <c r="F350" s="341" t="s">
        <v>40</v>
      </c>
      <c r="G350" s="340" t="s">
        <v>40</v>
      </c>
      <c r="H350" s="372">
        <v>0</v>
      </c>
      <c r="I350" s="169">
        <v>46219</v>
      </c>
      <c r="J350" s="342">
        <v>46231</v>
      </c>
      <c r="K350" s="344" t="s">
        <v>40</v>
      </c>
      <c r="L350" s="345" t="s">
        <v>480</v>
      </c>
      <c r="M350" s="346">
        <v>0</v>
      </c>
      <c r="N350" s="347">
        <v>46219</v>
      </c>
      <c r="O350" s="347">
        <v>46231</v>
      </c>
      <c r="P350" s="349" t="s">
        <v>40</v>
      </c>
      <c r="Q350" s="374" t="s">
        <v>480</v>
      </c>
      <c r="R350" s="350">
        <v>0</v>
      </c>
      <c r="S350" s="352">
        <v>46239</v>
      </c>
      <c r="T350" s="352">
        <v>46246</v>
      </c>
      <c r="U350" s="354" t="s">
        <v>40</v>
      </c>
      <c r="V350" s="376" t="s">
        <v>480</v>
      </c>
      <c r="W350" s="355">
        <v>0</v>
      </c>
      <c r="X350" s="357">
        <v>46247</v>
      </c>
      <c r="Y350" s="357">
        <v>46249</v>
      </c>
      <c r="Z350" s="359" t="s">
        <v>40</v>
      </c>
      <c r="AA350" s="377" t="s">
        <v>480</v>
      </c>
      <c r="AB350" s="360">
        <v>0</v>
      </c>
      <c r="AC350" s="362">
        <v>46258</v>
      </c>
      <c r="AD350" s="326">
        <v>46265</v>
      </c>
      <c r="AE350" s="327" t="s">
        <v>40</v>
      </c>
      <c r="AF350" s="378" t="s">
        <v>480</v>
      </c>
      <c r="AG350" s="366">
        <v>0</v>
      </c>
      <c r="AH350" s="368">
        <v>46266</v>
      </c>
      <c r="AI350" s="368">
        <v>46269</v>
      </c>
      <c r="AJ350" s="369" t="s">
        <v>165</v>
      </c>
      <c r="AK350" s="373" t="s">
        <v>480</v>
      </c>
      <c r="AL350" s="370">
        <v>0</v>
      </c>
    </row>
    <row r="351" spans="1:38">
      <c r="A351" s="292" t="s">
        <v>670</v>
      </c>
      <c r="B351" s="300" t="s">
        <v>1030</v>
      </c>
      <c r="C351" s="299">
        <v>1</v>
      </c>
      <c r="D351" s="149">
        <v>46195</v>
      </c>
      <c r="E351" s="149">
        <v>46200</v>
      </c>
      <c r="F351" s="341" t="s">
        <v>40</v>
      </c>
      <c r="G351" s="308" t="s">
        <v>34</v>
      </c>
      <c r="H351" s="372">
        <v>1</v>
      </c>
      <c r="I351" s="169">
        <v>46219</v>
      </c>
      <c r="J351" s="342">
        <v>46231</v>
      </c>
      <c r="K351" s="344" t="s">
        <v>40</v>
      </c>
      <c r="L351" s="344" t="s">
        <v>34</v>
      </c>
      <c r="M351" s="346">
        <v>1</v>
      </c>
      <c r="N351" s="347">
        <v>46219</v>
      </c>
      <c r="O351" s="347">
        <v>46231</v>
      </c>
      <c r="P351" s="349" t="s">
        <v>40</v>
      </c>
      <c r="Q351" s="349" t="s">
        <v>480</v>
      </c>
      <c r="R351" s="350">
        <v>0</v>
      </c>
      <c r="S351" s="352">
        <v>46239</v>
      </c>
      <c r="T351" s="352">
        <v>46246</v>
      </c>
      <c r="U351" s="354" t="s">
        <v>40</v>
      </c>
      <c r="V351" s="354" t="s">
        <v>480</v>
      </c>
      <c r="W351" s="355">
        <v>0</v>
      </c>
      <c r="X351" s="357">
        <v>46247</v>
      </c>
      <c r="Y351" s="357">
        <v>46249</v>
      </c>
      <c r="Z351" s="359" t="s">
        <v>40</v>
      </c>
      <c r="AA351" s="359" t="s">
        <v>480</v>
      </c>
      <c r="AB351" s="360">
        <v>0</v>
      </c>
      <c r="AC351" s="362">
        <v>46258</v>
      </c>
      <c r="AD351" s="326">
        <v>46265</v>
      </c>
      <c r="AE351" s="327" t="s">
        <v>40</v>
      </c>
      <c r="AF351" s="365" t="s">
        <v>480</v>
      </c>
      <c r="AG351" s="366">
        <v>0</v>
      </c>
      <c r="AH351" s="368">
        <v>46266</v>
      </c>
      <c r="AI351" s="368">
        <v>46269</v>
      </c>
      <c r="AJ351" s="369" t="s">
        <v>165</v>
      </c>
      <c r="AK351" s="373" t="s">
        <v>480</v>
      </c>
      <c r="AL351" s="370">
        <v>0</v>
      </c>
    </row>
    <row r="352" spans="1:38">
      <c r="A352" s="292" t="s">
        <v>670</v>
      </c>
      <c r="B352" s="300" t="s">
        <v>1031</v>
      </c>
      <c r="C352" s="299">
        <v>1</v>
      </c>
      <c r="D352" s="149">
        <v>46195</v>
      </c>
      <c r="E352" s="149">
        <v>46200</v>
      </c>
      <c r="F352" s="341" t="s">
        <v>40</v>
      </c>
      <c r="G352" s="308" t="s">
        <v>479</v>
      </c>
      <c r="H352" s="372">
        <v>0</v>
      </c>
      <c r="I352" s="169">
        <v>46219</v>
      </c>
      <c r="J352" s="342">
        <v>46231</v>
      </c>
      <c r="K352" s="344" t="s">
        <v>40</v>
      </c>
      <c r="L352" s="345" t="s">
        <v>679</v>
      </c>
      <c r="M352" s="346">
        <v>0</v>
      </c>
      <c r="N352" s="347">
        <v>46219</v>
      </c>
      <c r="O352" s="347">
        <v>46231</v>
      </c>
      <c r="P352" s="349" t="s">
        <v>40</v>
      </c>
      <c r="Q352" s="349" t="s">
        <v>480</v>
      </c>
      <c r="R352" s="350">
        <v>0</v>
      </c>
      <c r="S352" s="352">
        <v>46239</v>
      </c>
      <c r="T352" s="352">
        <v>46246</v>
      </c>
      <c r="U352" s="354" t="s">
        <v>40</v>
      </c>
      <c r="V352" s="354" t="s">
        <v>480</v>
      </c>
      <c r="W352" s="355">
        <v>0</v>
      </c>
      <c r="X352" s="357">
        <v>46247</v>
      </c>
      <c r="Y352" s="357">
        <v>46249</v>
      </c>
      <c r="Z352" s="359" t="s">
        <v>40</v>
      </c>
      <c r="AA352" s="359" t="s">
        <v>480</v>
      </c>
      <c r="AB352" s="360">
        <v>0</v>
      </c>
      <c r="AC352" s="362">
        <v>46258</v>
      </c>
      <c r="AD352" s="326">
        <v>46265</v>
      </c>
      <c r="AE352" s="327" t="s">
        <v>40</v>
      </c>
      <c r="AF352" s="365" t="s">
        <v>480</v>
      </c>
      <c r="AG352" s="366">
        <v>0</v>
      </c>
      <c r="AH352" s="368">
        <v>46266</v>
      </c>
      <c r="AI352" s="368">
        <v>46269</v>
      </c>
      <c r="AJ352" s="369" t="s">
        <v>165</v>
      </c>
      <c r="AK352" s="373" t="s">
        <v>40</v>
      </c>
      <c r="AL352" s="370">
        <v>0</v>
      </c>
    </row>
    <row r="353" spans="1:38">
      <c r="A353" s="292" t="s">
        <v>670</v>
      </c>
      <c r="B353" s="300" t="s">
        <v>1032</v>
      </c>
      <c r="C353" s="299">
        <v>1</v>
      </c>
      <c r="D353" s="149">
        <v>46195</v>
      </c>
      <c r="E353" s="149">
        <v>46200</v>
      </c>
      <c r="F353" s="341" t="s">
        <v>40</v>
      </c>
      <c r="G353" s="308" t="s">
        <v>34</v>
      </c>
      <c r="H353" s="372">
        <v>1</v>
      </c>
      <c r="I353" s="169">
        <v>46219</v>
      </c>
      <c r="J353" s="342">
        <v>46231</v>
      </c>
      <c r="K353" s="344" t="s">
        <v>40</v>
      </c>
      <c r="L353" s="344" t="s">
        <v>34</v>
      </c>
      <c r="M353" s="346">
        <v>1</v>
      </c>
      <c r="N353" s="347">
        <v>46219</v>
      </c>
      <c r="O353" s="347">
        <v>46231</v>
      </c>
      <c r="P353" s="349" t="s">
        <v>40</v>
      </c>
      <c r="Q353" s="349" t="s">
        <v>480</v>
      </c>
      <c r="R353" s="350">
        <v>0</v>
      </c>
      <c r="S353" s="352">
        <v>46239</v>
      </c>
      <c r="T353" s="352">
        <v>46246</v>
      </c>
      <c r="U353" s="354" t="s">
        <v>40</v>
      </c>
      <c r="V353" s="354" t="s">
        <v>480</v>
      </c>
      <c r="W353" s="355">
        <v>0</v>
      </c>
      <c r="X353" s="357">
        <v>46247</v>
      </c>
      <c r="Y353" s="357">
        <v>46249</v>
      </c>
      <c r="Z353" s="359" t="s">
        <v>40</v>
      </c>
      <c r="AA353" s="359" t="s">
        <v>480</v>
      </c>
      <c r="AB353" s="360">
        <v>0</v>
      </c>
      <c r="AC353" s="362">
        <v>46258</v>
      </c>
      <c r="AD353" s="326">
        <v>46265</v>
      </c>
      <c r="AE353" s="327" t="s">
        <v>40</v>
      </c>
      <c r="AF353" s="365" t="s">
        <v>480</v>
      </c>
      <c r="AG353" s="366">
        <v>0</v>
      </c>
      <c r="AH353" s="368">
        <v>46266</v>
      </c>
      <c r="AI353" s="368">
        <v>46269</v>
      </c>
      <c r="AJ353" s="369" t="s">
        <v>165</v>
      </c>
      <c r="AK353" s="373" t="s">
        <v>480</v>
      </c>
      <c r="AL353" s="370">
        <v>0</v>
      </c>
    </row>
    <row r="354" spans="1:38">
      <c r="A354" s="292" t="s">
        <v>670</v>
      </c>
      <c r="B354" s="300" t="s">
        <v>1033</v>
      </c>
      <c r="C354" s="299">
        <v>1</v>
      </c>
      <c r="D354" s="149">
        <v>46195</v>
      </c>
      <c r="E354" s="149">
        <v>46200</v>
      </c>
      <c r="F354" s="341" t="s">
        <v>40</v>
      </c>
      <c r="G354" s="308" t="s">
        <v>479</v>
      </c>
      <c r="H354" s="372">
        <v>0</v>
      </c>
      <c r="I354" s="169">
        <v>46219</v>
      </c>
      <c r="J354" s="342">
        <v>46231</v>
      </c>
      <c r="K354" s="344" t="s">
        <v>40</v>
      </c>
      <c r="L354" s="345" t="s">
        <v>679</v>
      </c>
      <c r="M354" s="346">
        <v>0</v>
      </c>
      <c r="N354" s="347">
        <v>46219</v>
      </c>
      <c r="O354" s="347">
        <v>46231</v>
      </c>
      <c r="P354" s="349" t="s">
        <v>40</v>
      </c>
      <c r="Q354" s="349" t="s">
        <v>480</v>
      </c>
      <c r="R354" s="350">
        <v>0</v>
      </c>
      <c r="S354" s="352">
        <v>46239</v>
      </c>
      <c r="T354" s="352">
        <v>46246</v>
      </c>
      <c r="U354" s="354" t="s">
        <v>40</v>
      </c>
      <c r="V354" s="354" t="s">
        <v>480</v>
      </c>
      <c r="W354" s="355">
        <v>0</v>
      </c>
      <c r="X354" s="357">
        <v>46247</v>
      </c>
      <c r="Y354" s="357">
        <v>46249</v>
      </c>
      <c r="Z354" s="359" t="s">
        <v>40</v>
      </c>
      <c r="AA354" s="359" t="s">
        <v>480</v>
      </c>
      <c r="AB354" s="360">
        <v>0</v>
      </c>
      <c r="AC354" s="362">
        <v>46258</v>
      </c>
      <c r="AD354" s="326">
        <v>46265</v>
      </c>
      <c r="AE354" s="327" t="s">
        <v>40</v>
      </c>
      <c r="AF354" s="365" t="s">
        <v>480</v>
      </c>
      <c r="AG354" s="366">
        <v>0</v>
      </c>
      <c r="AH354" s="368">
        <v>46266</v>
      </c>
      <c r="AI354" s="368">
        <v>46269</v>
      </c>
      <c r="AJ354" s="369" t="s">
        <v>165</v>
      </c>
      <c r="AK354" s="373" t="s">
        <v>40</v>
      </c>
      <c r="AL354" s="370">
        <v>0</v>
      </c>
    </row>
    <row r="355" spans="1:38">
      <c r="A355" s="292" t="s">
        <v>670</v>
      </c>
      <c r="B355" s="300" t="s">
        <v>1034</v>
      </c>
      <c r="C355" s="299">
        <v>1</v>
      </c>
      <c r="D355" s="149">
        <v>46195</v>
      </c>
      <c r="E355" s="149">
        <v>46200</v>
      </c>
      <c r="F355" s="341" t="s">
        <v>40</v>
      </c>
      <c r="G355" s="308" t="s">
        <v>34</v>
      </c>
      <c r="H355" s="372">
        <v>1</v>
      </c>
      <c r="I355" s="169">
        <v>46219</v>
      </c>
      <c r="J355" s="342">
        <v>46231</v>
      </c>
      <c r="K355" s="344" t="s">
        <v>40</v>
      </c>
      <c r="L355" s="344" t="s">
        <v>34</v>
      </c>
      <c r="M355" s="346">
        <v>1</v>
      </c>
      <c r="N355" s="347">
        <v>46219</v>
      </c>
      <c r="O355" s="347">
        <v>46231</v>
      </c>
      <c r="P355" s="349" t="s">
        <v>40</v>
      </c>
      <c r="Q355" s="349" t="s">
        <v>480</v>
      </c>
      <c r="R355" s="350">
        <v>0</v>
      </c>
      <c r="S355" s="352">
        <v>46239</v>
      </c>
      <c r="T355" s="352">
        <v>46246</v>
      </c>
      <c r="U355" s="354" t="s">
        <v>40</v>
      </c>
      <c r="V355" s="354" t="s">
        <v>480</v>
      </c>
      <c r="W355" s="355">
        <v>0</v>
      </c>
      <c r="X355" s="357">
        <v>46247</v>
      </c>
      <c r="Y355" s="357">
        <v>46249</v>
      </c>
      <c r="Z355" s="359" t="s">
        <v>40</v>
      </c>
      <c r="AA355" s="359" t="s">
        <v>480</v>
      </c>
      <c r="AB355" s="360">
        <v>0</v>
      </c>
      <c r="AC355" s="362">
        <v>46258</v>
      </c>
      <c r="AD355" s="326">
        <v>46265</v>
      </c>
      <c r="AE355" s="327" t="s">
        <v>40</v>
      </c>
      <c r="AF355" s="365" t="s">
        <v>480</v>
      </c>
      <c r="AG355" s="366">
        <v>0</v>
      </c>
      <c r="AH355" s="368">
        <v>46266</v>
      </c>
      <c r="AI355" s="368">
        <v>46269</v>
      </c>
      <c r="AJ355" s="369" t="s">
        <v>165</v>
      </c>
      <c r="AK355" s="373" t="s">
        <v>480</v>
      </c>
      <c r="AL355" s="370">
        <v>0</v>
      </c>
    </row>
    <row r="356" spans="1:38">
      <c r="A356" s="292" t="s">
        <v>670</v>
      </c>
      <c r="B356" s="300" t="s">
        <v>1035</v>
      </c>
      <c r="C356" s="299">
        <v>1</v>
      </c>
      <c r="D356" s="149">
        <v>46195</v>
      </c>
      <c r="E356" s="149">
        <v>46200</v>
      </c>
      <c r="F356" s="341" t="s">
        <v>40</v>
      </c>
      <c r="G356" s="308" t="s">
        <v>479</v>
      </c>
      <c r="H356" s="372">
        <v>0</v>
      </c>
      <c r="I356" s="169">
        <v>46219</v>
      </c>
      <c r="J356" s="342">
        <v>46231</v>
      </c>
      <c r="K356" s="344" t="s">
        <v>40</v>
      </c>
      <c r="L356" s="345" t="s">
        <v>679</v>
      </c>
      <c r="M356" s="346">
        <v>0</v>
      </c>
      <c r="N356" s="347">
        <v>46219</v>
      </c>
      <c r="O356" s="347">
        <v>46231</v>
      </c>
      <c r="P356" s="349" t="s">
        <v>40</v>
      </c>
      <c r="Q356" s="349" t="s">
        <v>480</v>
      </c>
      <c r="R356" s="350">
        <v>0</v>
      </c>
      <c r="S356" s="352">
        <v>46239</v>
      </c>
      <c r="T356" s="352">
        <v>46246</v>
      </c>
      <c r="U356" s="354" t="s">
        <v>40</v>
      </c>
      <c r="V356" s="354" t="s">
        <v>480</v>
      </c>
      <c r="W356" s="355">
        <v>0</v>
      </c>
      <c r="X356" s="357">
        <v>46247</v>
      </c>
      <c r="Y356" s="357">
        <v>46249</v>
      </c>
      <c r="Z356" s="359" t="s">
        <v>40</v>
      </c>
      <c r="AA356" s="359" t="s">
        <v>480</v>
      </c>
      <c r="AB356" s="360">
        <v>0</v>
      </c>
      <c r="AC356" s="362">
        <v>46258</v>
      </c>
      <c r="AD356" s="326">
        <v>46265</v>
      </c>
      <c r="AE356" s="327" t="s">
        <v>40</v>
      </c>
      <c r="AF356" s="365" t="s">
        <v>480</v>
      </c>
      <c r="AG356" s="366">
        <v>0</v>
      </c>
      <c r="AH356" s="368">
        <v>46266</v>
      </c>
      <c r="AI356" s="368">
        <v>46269</v>
      </c>
      <c r="AJ356" s="369" t="s">
        <v>165</v>
      </c>
      <c r="AK356" s="373" t="s">
        <v>40</v>
      </c>
      <c r="AL356" s="370">
        <v>0</v>
      </c>
    </row>
    <row r="357" spans="1:38">
      <c r="A357" s="292" t="s">
        <v>670</v>
      </c>
      <c r="B357" s="300" t="s">
        <v>1036</v>
      </c>
      <c r="C357" s="299">
        <v>1</v>
      </c>
      <c r="D357" s="149">
        <v>46195</v>
      </c>
      <c r="E357" s="149">
        <v>46200</v>
      </c>
      <c r="F357" s="341" t="s">
        <v>40</v>
      </c>
      <c r="G357" s="308" t="s">
        <v>34</v>
      </c>
      <c r="H357" s="372">
        <v>1</v>
      </c>
      <c r="I357" s="169">
        <v>46219</v>
      </c>
      <c r="J357" s="342">
        <v>46231</v>
      </c>
      <c r="K357" s="344" t="s">
        <v>40</v>
      </c>
      <c r="L357" s="344" t="s">
        <v>34</v>
      </c>
      <c r="M357" s="346">
        <v>1</v>
      </c>
      <c r="N357" s="347">
        <v>46219</v>
      </c>
      <c r="O357" s="347">
        <v>46231</v>
      </c>
      <c r="P357" s="349" t="s">
        <v>40</v>
      </c>
      <c r="Q357" s="349" t="s">
        <v>480</v>
      </c>
      <c r="R357" s="350">
        <v>0</v>
      </c>
      <c r="S357" s="352">
        <v>46239</v>
      </c>
      <c r="T357" s="352">
        <v>46246</v>
      </c>
      <c r="U357" s="354" t="s">
        <v>40</v>
      </c>
      <c r="V357" s="354" t="s">
        <v>480</v>
      </c>
      <c r="W357" s="355">
        <v>0</v>
      </c>
      <c r="X357" s="357">
        <v>46247</v>
      </c>
      <c r="Y357" s="357">
        <v>46249</v>
      </c>
      <c r="Z357" s="359" t="s">
        <v>40</v>
      </c>
      <c r="AA357" s="359" t="s">
        <v>480</v>
      </c>
      <c r="AB357" s="360">
        <v>0</v>
      </c>
      <c r="AC357" s="362">
        <v>46258</v>
      </c>
      <c r="AD357" s="326">
        <v>46265</v>
      </c>
      <c r="AE357" s="327" t="s">
        <v>40</v>
      </c>
      <c r="AF357" s="365" t="s">
        <v>480</v>
      </c>
      <c r="AG357" s="366">
        <v>0</v>
      </c>
      <c r="AH357" s="368">
        <v>46266</v>
      </c>
      <c r="AI357" s="368">
        <v>46269</v>
      </c>
      <c r="AJ357" s="369" t="s">
        <v>165</v>
      </c>
      <c r="AK357" s="373" t="s">
        <v>480</v>
      </c>
      <c r="AL357" s="370">
        <v>0</v>
      </c>
    </row>
    <row r="358" spans="1:38">
      <c r="A358" s="292" t="s">
        <v>670</v>
      </c>
      <c r="B358" s="300" t="s">
        <v>1037</v>
      </c>
      <c r="C358" s="299">
        <v>1</v>
      </c>
      <c r="D358" s="149">
        <v>46195</v>
      </c>
      <c r="E358" s="149">
        <v>46200</v>
      </c>
      <c r="F358" s="341" t="s">
        <v>40</v>
      </c>
      <c r="G358" s="308" t="s">
        <v>479</v>
      </c>
      <c r="H358" s="372">
        <v>0</v>
      </c>
      <c r="I358" s="169">
        <v>46219</v>
      </c>
      <c r="J358" s="342">
        <v>46231</v>
      </c>
      <c r="K358" s="344" t="s">
        <v>40</v>
      </c>
      <c r="L358" s="345" t="s">
        <v>679</v>
      </c>
      <c r="M358" s="346">
        <v>0</v>
      </c>
      <c r="N358" s="347">
        <v>46219</v>
      </c>
      <c r="O358" s="347">
        <v>46231</v>
      </c>
      <c r="P358" s="349" t="s">
        <v>40</v>
      </c>
      <c r="Q358" s="349" t="s">
        <v>480</v>
      </c>
      <c r="R358" s="350">
        <v>0</v>
      </c>
      <c r="S358" s="352">
        <v>46239</v>
      </c>
      <c r="T358" s="352">
        <v>46246</v>
      </c>
      <c r="U358" s="354" t="s">
        <v>40</v>
      </c>
      <c r="V358" s="354" t="s">
        <v>480</v>
      </c>
      <c r="W358" s="355">
        <v>0</v>
      </c>
      <c r="X358" s="357">
        <v>46247</v>
      </c>
      <c r="Y358" s="357">
        <v>46249</v>
      </c>
      <c r="Z358" s="359" t="s">
        <v>40</v>
      </c>
      <c r="AA358" s="359" t="s">
        <v>480</v>
      </c>
      <c r="AB358" s="360">
        <v>0</v>
      </c>
      <c r="AC358" s="362">
        <v>46258</v>
      </c>
      <c r="AD358" s="326">
        <v>46265</v>
      </c>
      <c r="AE358" s="327" t="s">
        <v>40</v>
      </c>
      <c r="AF358" s="365" t="s">
        <v>480</v>
      </c>
      <c r="AG358" s="366">
        <v>0</v>
      </c>
      <c r="AH358" s="368">
        <v>46266</v>
      </c>
      <c r="AI358" s="368">
        <v>46269</v>
      </c>
      <c r="AJ358" s="369" t="s">
        <v>165</v>
      </c>
      <c r="AK358" s="373" t="s">
        <v>40</v>
      </c>
      <c r="AL358" s="370">
        <v>0</v>
      </c>
    </row>
    <row r="359" spans="1:38">
      <c r="A359" s="292" t="s">
        <v>670</v>
      </c>
      <c r="B359" s="300" t="s">
        <v>1038</v>
      </c>
      <c r="C359" s="299">
        <v>1</v>
      </c>
      <c r="D359" s="149">
        <v>46195</v>
      </c>
      <c r="E359" s="149">
        <v>46200</v>
      </c>
      <c r="F359" s="341" t="s">
        <v>40</v>
      </c>
      <c r="G359" s="308" t="s">
        <v>34</v>
      </c>
      <c r="H359" s="372">
        <v>1</v>
      </c>
      <c r="I359" s="169">
        <v>46219</v>
      </c>
      <c r="J359" s="342">
        <v>46231</v>
      </c>
      <c r="K359" s="344" t="s">
        <v>40</v>
      </c>
      <c r="L359" s="344" t="s">
        <v>34</v>
      </c>
      <c r="M359" s="346">
        <v>1</v>
      </c>
      <c r="N359" s="347">
        <v>46219</v>
      </c>
      <c r="O359" s="347">
        <v>46231</v>
      </c>
      <c r="P359" s="349" t="s">
        <v>40</v>
      </c>
      <c r="Q359" s="349" t="s">
        <v>480</v>
      </c>
      <c r="R359" s="350">
        <v>0</v>
      </c>
      <c r="S359" s="352">
        <v>46239</v>
      </c>
      <c r="T359" s="352">
        <v>46246</v>
      </c>
      <c r="U359" s="354" t="s">
        <v>40</v>
      </c>
      <c r="V359" s="354" t="s">
        <v>480</v>
      </c>
      <c r="W359" s="355">
        <v>0</v>
      </c>
      <c r="X359" s="357">
        <v>46247</v>
      </c>
      <c r="Y359" s="357">
        <v>46249</v>
      </c>
      <c r="Z359" s="359" t="s">
        <v>40</v>
      </c>
      <c r="AA359" s="359" t="s">
        <v>480</v>
      </c>
      <c r="AB359" s="360">
        <v>0</v>
      </c>
      <c r="AC359" s="362">
        <v>46258</v>
      </c>
      <c r="AD359" s="326">
        <v>46265</v>
      </c>
      <c r="AE359" s="327" t="s">
        <v>40</v>
      </c>
      <c r="AF359" s="365" t="s">
        <v>480</v>
      </c>
      <c r="AG359" s="366">
        <v>0</v>
      </c>
      <c r="AH359" s="368">
        <v>46266</v>
      </c>
      <c r="AI359" s="368">
        <v>46269</v>
      </c>
      <c r="AJ359" s="369" t="s">
        <v>165</v>
      </c>
      <c r="AK359" s="373" t="s">
        <v>480</v>
      </c>
      <c r="AL359" s="370">
        <v>0</v>
      </c>
    </row>
    <row r="360" spans="1:38">
      <c r="A360" s="292" t="s">
        <v>670</v>
      </c>
      <c r="B360" s="300" t="s">
        <v>1039</v>
      </c>
      <c r="C360" s="299">
        <v>1</v>
      </c>
      <c r="D360" s="149">
        <v>46195</v>
      </c>
      <c r="E360" s="149">
        <v>46200</v>
      </c>
      <c r="F360" s="341" t="s">
        <v>40</v>
      </c>
      <c r="G360" s="308" t="s">
        <v>479</v>
      </c>
      <c r="H360" s="372">
        <v>0</v>
      </c>
      <c r="I360" s="169">
        <v>46219</v>
      </c>
      <c r="J360" s="342">
        <v>46231</v>
      </c>
      <c r="K360" s="344" t="s">
        <v>40</v>
      </c>
      <c r="L360" s="345" t="s">
        <v>679</v>
      </c>
      <c r="M360" s="346">
        <v>0</v>
      </c>
      <c r="N360" s="347">
        <v>46219</v>
      </c>
      <c r="O360" s="347">
        <v>46231</v>
      </c>
      <c r="P360" s="349" t="s">
        <v>40</v>
      </c>
      <c r="Q360" s="349" t="s">
        <v>480</v>
      </c>
      <c r="R360" s="350">
        <v>0</v>
      </c>
      <c r="S360" s="352">
        <v>46239</v>
      </c>
      <c r="T360" s="352">
        <v>46246</v>
      </c>
      <c r="U360" s="354" t="s">
        <v>40</v>
      </c>
      <c r="V360" s="354" t="s">
        <v>480</v>
      </c>
      <c r="W360" s="355">
        <v>0</v>
      </c>
      <c r="X360" s="357">
        <v>46247</v>
      </c>
      <c r="Y360" s="357">
        <v>46249</v>
      </c>
      <c r="Z360" s="359" t="s">
        <v>40</v>
      </c>
      <c r="AA360" s="359" t="s">
        <v>480</v>
      </c>
      <c r="AB360" s="360">
        <v>0</v>
      </c>
      <c r="AC360" s="362">
        <v>46258</v>
      </c>
      <c r="AD360" s="326">
        <v>46265</v>
      </c>
      <c r="AE360" s="327" t="s">
        <v>40</v>
      </c>
      <c r="AF360" s="365" t="s">
        <v>480</v>
      </c>
      <c r="AG360" s="366">
        <v>0</v>
      </c>
      <c r="AH360" s="368">
        <v>46266</v>
      </c>
      <c r="AI360" s="368">
        <v>46269</v>
      </c>
      <c r="AJ360" s="369" t="s">
        <v>165</v>
      </c>
      <c r="AK360" s="373" t="s">
        <v>40</v>
      </c>
      <c r="AL360" s="370">
        <v>0</v>
      </c>
    </row>
    <row r="361" spans="1:38">
      <c r="A361" s="292" t="s">
        <v>670</v>
      </c>
      <c r="B361" s="300" t="s">
        <v>1040</v>
      </c>
      <c r="C361" s="299">
        <v>1</v>
      </c>
      <c r="D361" s="149">
        <v>46195</v>
      </c>
      <c r="E361" s="149">
        <v>46200</v>
      </c>
      <c r="F361" s="341" t="s">
        <v>40</v>
      </c>
      <c r="G361" s="308" t="s">
        <v>34</v>
      </c>
      <c r="H361" s="372">
        <v>1</v>
      </c>
      <c r="I361" s="169">
        <v>46219</v>
      </c>
      <c r="J361" s="342">
        <v>46231</v>
      </c>
      <c r="K361" s="344" t="s">
        <v>40</v>
      </c>
      <c r="L361" s="344" t="s">
        <v>34</v>
      </c>
      <c r="M361" s="346">
        <v>1</v>
      </c>
      <c r="N361" s="347">
        <v>46219</v>
      </c>
      <c r="O361" s="347">
        <v>46231</v>
      </c>
      <c r="P361" s="349" t="s">
        <v>40</v>
      </c>
      <c r="Q361" s="349" t="s">
        <v>480</v>
      </c>
      <c r="R361" s="350">
        <v>0</v>
      </c>
      <c r="S361" s="352">
        <v>46239</v>
      </c>
      <c r="T361" s="352">
        <v>46246</v>
      </c>
      <c r="U361" s="354" t="s">
        <v>40</v>
      </c>
      <c r="V361" s="354" t="s">
        <v>480</v>
      </c>
      <c r="W361" s="355">
        <v>0</v>
      </c>
      <c r="X361" s="357">
        <v>46247</v>
      </c>
      <c r="Y361" s="357">
        <v>46249</v>
      </c>
      <c r="Z361" s="359" t="s">
        <v>40</v>
      </c>
      <c r="AA361" s="359" t="s">
        <v>480</v>
      </c>
      <c r="AB361" s="360">
        <v>0</v>
      </c>
      <c r="AC361" s="362">
        <v>46258</v>
      </c>
      <c r="AD361" s="326">
        <v>46265</v>
      </c>
      <c r="AE361" s="327" t="s">
        <v>40</v>
      </c>
      <c r="AF361" s="365" t="s">
        <v>480</v>
      </c>
      <c r="AG361" s="366">
        <v>0</v>
      </c>
      <c r="AH361" s="368">
        <v>46266</v>
      </c>
      <c r="AI361" s="368">
        <v>46269</v>
      </c>
      <c r="AJ361" s="369" t="s">
        <v>165</v>
      </c>
      <c r="AK361" s="373" t="s">
        <v>480</v>
      </c>
      <c r="AL361" s="370">
        <v>0</v>
      </c>
    </row>
    <row r="362" spans="1:38">
      <c r="A362" s="292" t="s">
        <v>670</v>
      </c>
      <c r="B362" s="300" t="s">
        <v>1041</v>
      </c>
      <c r="C362" s="299">
        <v>1</v>
      </c>
      <c r="D362" s="149">
        <v>46195</v>
      </c>
      <c r="E362" s="149">
        <v>46200</v>
      </c>
      <c r="F362" s="341" t="s">
        <v>40</v>
      </c>
      <c r="G362" s="308" t="s">
        <v>479</v>
      </c>
      <c r="H362" s="372">
        <v>0</v>
      </c>
      <c r="I362" s="169">
        <v>46219</v>
      </c>
      <c r="J362" s="342">
        <v>46231</v>
      </c>
      <c r="K362" s="344" t="s">
        <v>40</v>
      </c>
      <c r="L362" s="345" t="s">
        <v>679</v>
      </c>
      <c r="M362" s="346">
        <v>0</v>
      </c>
      <c r="N362" s="347">
        <v>46219</v>
      </c>
      <c r="O362" s="347">
        <v>46231</v>
      </c>
      <c r="P362" s="349" t="s">
        <v>40</v>
      </c>
      <c r="Q362" s="349" t="s">
        <v>480</v>
      </c>
      <c r="R362" s="350">
        <v>0</v>
      </c>
      <c r="S362" s="352">
        <v>46239</v>
      </c>
      <c r="T362" s="352">
        <v>46246</v>
      </c>
      <c r="U362" s="354" t="s">
        <v>40</v>
      </c>
      <c r="V362" s="354" t="s">
        <v>480</v>
      </c>
      <c r="W362" s="355">
        <v>0</v>
      </c>
      <c r="X362" s="357">
        <v>46247</v>
      </c>
      <c r="Y362" s="357">
        <v>46249</v>
      </c>
      <c r="Z362" s="359" t="s">
        <v>40</v>
      </c>
      <c r="AA362" s="359" t="s">
        <v>480</v>
      </c>
      <c r="AB362" s="360">
        <v>0</v>
      </c>
      <c r="AC362" s="362">
        <v>46258</v>
      </c>
      <c r="AD362" s="326">
        <v>46265</v>
      </c>
      <c r="AE362" s="327" t="s">
        <v>40</v>
      </c>
      <c r="AF362" s="365" t="s">
        <v>480</v>
      </c>
      <c r="AG362" s="366">
        <v>0</v>
      </c>
      <c r="AH362" s="368">
        <v>46266</v>
      </c>
      <c r="AI362" s="368">
        <v>46269</v>
      </c>
      <c r="AJ362" s="369" t="s">
        <v>165</v>
      </c>
      <c r="AK362" s="373" t="s">
        <v>40</v>
      </c>
      <c r="AL362" s="370">
        <v>0</v>
      </c>
    </row>
    <row r="363" spans="1:38">
      <c r="A363" s="292" t="s">
        <v>670</v>
      </c>
      <c r="B363" s="300" t="s">
        <v>1042</v>
      </c>
      <c r="C363" s="299">
        <v>1</v>
      </c>
      <c r="D363" s="149">
        <v>46195</v>
      </c>
      <c r="E363" s="149">
        <v>46200</v>
      </c>
      <c r="F363" s="341" t="s">
        <v>40</v>
      </c>
      <c r="G363" s="308" t="s">
        <v>479</v>
      </c>
      <c r="H363" s="372">
        <v>0</v>
      </c>
      <c r="I363" s="169">
        <v>46219</v>
      </c>
      <c r="J363" s="342">
        <v>46231</v>
      </c>
      <c r="K363" s="344" t="s">
        <v>40</v>
      </c>
      <c r="L363" s="345" t="s">
        <v>679</v>
      </c>
      <c r="M363" s="346">
        <v>0</v>
      </c>
      <c r="N363" s="347">
        <v>46219</v>
      </c>
      <c r="O363" s="347">
        <v>46231</v>
      </c>
      <c r="P363" s="349" t="s">
        <v>40</v>
      </c>
      <c r="Q363" s="349" t="s">
        <v>480</v>
      </c>
      <c r="R363" s="350">
        <v>0</v>
      </c>
      <c r="S363" s="352">
        <v>46239</v>
      </c>
      <c r="T363" s="352">
        <v>46246</v>
      </c>
      <c r="U363" s="354" t="s">
        <v>40</v>
      </c>
      <c r="V363" s="354" t="s">
        <v>480</v>
      </c>
      <c r="W363" s="355">
        <v>0</v>
      </c>
      <c r="X363" s="357">
        <v>46247</v>
      </c>
      <c r="Y363" s="357">
        <v>46249</v>
      </c>
      <c r="Z363" s="359" t="s">
        <v>40</v>
      </c>
      <c r="AA363" s="359" t="s">
        <v>480</v>
      </c>
      <c r="AB363" s="360">
        <v>0</v>
      </c>
      <c r="AC363" s="362">
        <v>46258</v>
      </c>
      <c r="AD363" s="326">
        <v>46265</v>
      </c>
      <c r="AE363" s="327" t="s">
        <v>40</v>
      </c>
      <c r="AF363" s="365" t="s">
        <v>480</v>
      </c>
      <c r="AG363" s="366">
        <v>0</v>
      </c>
      <c r="AH363" s="368">
        <v>46266</v>
      </c>
      <c r="AI363" s="368">
        <v>46269</v>
      </c>
      <c r="AJ363" s="369" t="s">
        <v>165</v>
      </c>
      <c r="AK363" s="373" t="s">
        <v>40</v>
      </c>
      <c r="AL363" s="370">
        <v>0</v>
      </c>
    </row>
    <row r="364" spans="1:38">
      <c r="A364" s="292" t="s">
        <v>670</v>
      </c>
      <c r="B364" s="300" t="s">
        <v>1043</v>
      </c>
      <c r="C364" s="299">
        <v>1</v>
      </c>
      <c r="D364" s="149">
        <v>46195</v>
      </c>
      <c r="E364" s="149">
        <v>46200</v>
      </c>
      <c r="F364" s="341" t="s">
        <v>40</v>
      </c>
      <c r="G364" s="308" t="s">
        <v>479</v>
      </c>
      <c r="H364" s="372">
        <v>0</v>
      </c>
      <c r="I364" s="169">
        <v>46219</v>
      </c>
      <c r="J364" s="342">
        <v>46231</v>
      </c>
      <c r="K364" s="344" t="s">
        <v>40</v>
      </c>
      <c r="L364" s="344" t="s">
        <v>480</v>
      </c>
      <c r="M364" s="346">
        <v>0</v>
      </c>
      <c r="N364" s="347">
        <v>46219</v>
      </c>
      <c r="O364" s="347">
        <v>46231</v>
      </c>
      <c r="P364" s="349" t="s">
        <v>40</v>
      </c>
      <c r="Q364" s="349" t="s">
        <v>480</v>
      </c>
      <c r="R364" s="350">
        <v>0</v>
      </c>
      <c r="S364" s="352">
        <v>46239</v>
      </c>
      <c r="T364" s="352">
        <v>46246</v>
      </c>
      <c r="U364" s="354" t="s">
        <v>40</v>
      </c>
      <c r="V364" s="354" t="s">
        <v>480</v>
      </c>
      <c r="W364" s="355">
        <v>0</v>
      </c>
      <c r="X364" s="357">
        <v>46247</v>
      </c>
      <c r="Y364" s="357">
        <v>46249</v>
      </c>
      <c r="Z364" s="359" t="s">
        <v>40</v>
      </c>
      <c r="AA364" s="359" t="s">
        <v>480</v>
      </c>
      <c r="AB364" s="360">
        <v>0</v>
      </c>
      <c r="AC364" s="362">
        <v>46258</v>
      </c>
      <c r="AD364" s="326">
        <v>46265</v>
      </c>
      <c r="AE364" s="327" t="s">
        <v>40</v>
      </c>
      <c r="AF364" s="365" t="s">
        <v>480</v>
      </c>
      <c r="AG364" s="366">
        <v>0</v>
      </c>
      <c r="AH364" s="368">
        <v>46266</v>
      </c>
      <c r="AI364" s="368">
        <v>46269</v>
      </c>
      <c r="AJ364" s="369" t="s">
        <v>165</v>
      </c>
      <c r="AK364" s="373" t="s">
        <v>480</v>
      </c>
      <c r="AL364" s="370">
        <v>0</v>
      </c>
    </row>
    <row r="365" spans="1:38">
      <c r="A365" s="292" t="s">
        <v>670</v>
      </c>
      <c r="B365" s="300" t="s">
        <v>1044</v>
      </c>
      <c r="C365" s="299">
        <v>1</v>
      </c>
      <c r="D365" s="149">
        <v>46195</v>
      </c>
      <c r="E365" s="149">
        <v>46200</v>
      </c>
      <c r="F365" s="341" t="s">
        <v>40</v>
      </c>
      <c r="G365" s="308" t="s">
        <v>479</v>
      </c>
      <c r="H365" s="372">
        <v>0</v>
      </c>
      <c r="I365" s="169">
        <v>46219</v>
      </c>
      <c r="J365" s="342">
        <v>46231</v>
      </c>
      <c r="K365" s="344" t="s">
        <v>40</v>
      </c>
      <c r="L365" s="344" t="s">
        <v>480</v>
      </c>
      <c r="M365" s="346">
        <v>0</v>
      </c>
      <c r="N365" s="347">
        <v>46219</v>
      </c>
      <c r="O365" s="347">
        <v>46231</v>
      </c>
      <c r="P365" s="349" t="s">
        <v>40</v>
      </c>
      <c r="Q365" s="349" t="s">
        <v>480</v>
      </c>
      <c r="R365" s="350">
        <v>0</v>
      </c>
      <c r="S365" s="352">
        <v>46239</v>
      </c>
      <c r="T365" s="352">
        <v>46246</v>
      </c>
      <c r="U365" s="354" t="s">
        <v>40</v>
      </c>
      <c r="V365" s="354" t="s">
        <v>480</v>
      </c>
      <c r="W365" s="355">
        <v>0</v>
      </c>
      <c r="X365" s="357">
        <v>46247</v>
      </c>
      <c r="Y365" s="357">
        <v>46249</v>
      </c>
      <c r="Z365" s="359" t="s">
        <v>40</v>
      </c>
      <c r="AA365" s="359" t="s">
        <v>480</v>
      </c>
      <c r="AB365" s="360">
        <v>0</v>
      </c>
      <c r="AC365" s="362">
        <v>46258</v>
      </c>
      <c r="AD365" s="326">
        <v>46265</v>
      </c>
      <c r="AE365" s="327" t="s">
        <v>40</v>
      </c>
      <c r="AF365" s="339" t="s">
        <v>40</v>
      </c>
      <c r="AG365" s="366">
        <v>0</v>
      </c>
      <c r="AH365" s="368">
        <v>46266</v>
      </c>
      <c r="AI365" s="368">
        <v>46269</v>
      </c>
      <c r="AJ365" s="369" t="s">
        <v>165</v>
      </c>
      <c r="AK365" s="373" t="s">
        <v>480</v>
      </c>
      <c r="AL365" s="370">
        <v>0.09</v>
      </c>
    </row>
    <row r="366" spans="1:38">
      <c r="A366" s="292" t="s">
        <v>670</v>
      </c>
      <c r="B366" s="300" t="s">
        <v>1045</v>
      </c>
      <c r="C366" s="299">
        <v>1</v>
      </c>
      <c r="D366" s="149">
        <v>46195</v>
      </c>
      <c r="E366" s="149">
        <v>46200</v>
      </c>
      <c r="F366" s="341" t="s">
        <v>40</v>
      </c>
      <c r="G366" s="308" t="s">
        <v>479</v>
      </c>
      <c r="H366" s="372">
        <v>0</v>
      </c>
      <c r="I366" s="169">
        <v>46219</v>
      </c>
      <c r="J366" s="342">
        <v>46231</v>
      </c>
      <c r="K366" s="344" t="s">
        <v>40</v>
      </c>
      <c r="L366" s="345" t="s">
        <v>679</v>
      </c>
      <c r="M366" s="346">
        <v>0</v>
      </c>
      <c r="N366" s="347">
        <v>46219</v>
      </c>
      <c r="O366" s="347">
        <v>46231</v>
      </c>
      <c r="P366" s="349" t="s">
        <v>40</v>
      </c>
      <c r="Q366" s="349" t="s">
        <v>480</v>
      </c>
      <c r="R366" s="350">
        <v>0</v>
      </c>
      <c r="S366" s="352">
        <v>46239</v>
      </c>
      <c r="T366" s="352">
        <v>46246</v>
      </c>
      <c r="U366" s="354" t="s">
        <v>40</v>
      </c>
      <c r="V366" s="354" t="s">
        <v>480</v>
      </c>
      <c r="W366" s="355">
        <v>0</v>
      </c>
      <c r="X366" s="357">
        <v>46247</v>
      </c>
      <c r="Y366" s="357">
        <v>46249</v>
      </c>
      <c r="Z366" s="359" t="s">
        <v>40</v>
      </c>
      <c r="AA366" s="359" t="s">
        <v>480</v>
      </c>
      <c r="AB366" s="360">
        <v>0</v>
      </c>
      <c r="AC366" s="362">
        <v>46258</v>
      </c>
      <c r="AD366" s="326">
        <v>46265</v>
      </c>
      <c r="AE366" s="327" t="s">
        <v>40</v>
      </c>
      <c r="AF366" s="365" t="s">
        <v>480</v>
      </c>
      <c r="AG366" s="366">
        <v>0</v>
      </c>
      <c r="AH366" s="368">
        <v>46266</v>
      </c>
      <c r="AI366" s="368">
        <v>46269</v>
      </c>
      <c r="AJ366" s="369" t="s">
        <v>165</v>
      </c>
      <c r="AK366" s="373" t="s">
        <v>40</v>
      </c>
      <c r="AL366" s="370">
        <v>0</v>
      </c>
    </row>
    <row r="367" spans="1:38">
      <c r="A367" s="292" t="s">
        <v>670</v>
      </c>
      <c r="B367" s="300" t="s">
        <v>1046</v>
      </c>
      <c r="C367" s="299">
        <v>1</v>
      </c>
      <c r="D367" s="149">
        <v>46195</v>
      </c>
      <c r="E367" s="149">
        <v>46200</v>
      </c>
      <c r="F367" s="341" t="s">
        <v>40</v>
      </c>
      <c r="G367" s="308" t="s">
        <v>479</v>
      </c>
      <c r="H367" s="372">
        <v>0</v>
      </c>
      <c r="I367" s="169">
        <v>46219</v>
      </c>
      <c r="J367" s="342">
        <v>46231</v>
      </c>
      <c r="K367" s="344" t="s">
        <v>40</v>
      </c>
      <c r="L367" s="345" t="s">
        <v>679</v>
      </c>
      <c r="M367" s="346">
        <v>0</v>
      </c>
      <c r="N367" s="347">
        <v>46219</v>
      </c>
      <c r="O367" s="347">
        <v>46231</v>
      </c>
      <c r="P367" s="349" t="s">
        <v>40</v>
      </c>
      <c r="Q367" s="349" t="s">
        <v>480</v>
      </c>
      <c r="R367" s="350">
        <v>0</v>
      </c>
      <c r="S367" s="352">
        <v>46239</v>
      </c>
      <c r="T367" s="352">
        <v>46246</v>
      </c>
      <c r="U367" s="354" t="s">
        <v>40</v>
      </c>
      <c r="V367" s="354" t="s">
        <v>480</v>
      </c>
      <c r="W367" s="355">
        <v>0</v>
      </c>
      <c r="X367" s="357">
        <v>46247</v>
      </c>
      <c r="Y367" s="357">
        <v>46249</v>
      </c>
      <c r="Z367" s="359" t="s">
        <v>40</v>
      </c>
      <c r="AA367" s="359" t="s">
        <v>480</v>
      </c>
      <c r="AB367" s="360">
        <v>0</v>
      </c>
      <c r="AC367" s="362">
        <v>46258</v>
      </c>
      <c r="AD367" s="326">
        <v>46265</v>
      </c>
      <c r="AE367" s="327" t="s">
        <v>40</v>
      </c>
      <c r="AF367" s="365" t="s">
        <v>480</v>
      </c>
      <c r="AG367" s="366">
        <v>0</v>
      </c>
      <c r="AH367" s="368">
        <v>46266</v>
      </c>
      <c r="AI367" s="368">
        <v>46269</v>
      </c>
      <c r="AJ367" s="369" t="s">
        <v>165</v>
      </c>
      <c r="AK367" s="373" t="s">
        <v>40</v>
      </c>
      <c r="AL367" s="370">
        <v>0</v>
      </c>
    </row>
    <row r="368" spans="1:38">
      <c r="A368" s="292" t="s">
        <v>670</v>
      </c>
      <c r="B368" s="300" t="s">
        <v>1047</v>
      </c>
      <c r="C368" s="299">
        <v>1</v>
      </c>
      <c r="D368" s="149">
        <v>46195</v>
      </c>
      <c r="E368" s="149">
        <v>46200</v>
      </c>
      <c r="F368" s="341" t="s">
        <v>40</v>
      </c>
      <c r="G368" s="308" t="s">
        <v>34</v>
      </c>
      <c r="H368" s="372">
        <v>1</v>
      </c>
      <c r="I368" s="169">
        <v>46219</v>
      </c>
      <c r="J368" s="342">
        <v>46231</v>
      </c>
      <c r="K368" s="344" t="s">
        <v>40</v>
      </c>
      <c r="L368" s="344" t="s">
        <v>480</v>
      </c>
      <c r="M368" s="346">
        <v>1</v>
      </c>
      <c r="N368" s="347">
        <v>46219</v>
      </c>
      <c r="O368" s="347">
        <v>46231</v>
      </c>
      <c r="P368" s="349" t="s">
        <v>40</v>
      </c>
      <c r="Q368" s="349" t="s">
        <v>480</v>
      </c>
      <c r="R368" s="350">
        <v>0</v>
      </c>
      <c r="S368" s="352">
        <v>46239</v>
      </c>
      <c r="T368" s="352">
        <v>46246</v>
      </c>
      <c r="U368" s="354" t="s">
        <v>40</v>
      </c>
      <c r="V368" s="354" t="s">
        <v>480</v>
      </c>
      <c r="W368" s="355">
        <v>1</v>
      </c>
      <c r="X368" s="357">
        <v>46247</v>
      </c>
      <c r="Y368" s="357">
        <v>46249</v>
      </c>
      <c r="Z368" s="359" t="s">
        <v>40</v>
      </c>
      <c r="AA368" s="359" t="s">
        <v>480</v>
      </c>
      <c r="AB368" s="360">
        <v>0</v>
      </c>
      <c r="AC368" s="362">
        <v>46258</v>
      </c>
      <c r="AD368" s="326">
        <v>46265</v>
      </c>
      <c r="AE368" s="327" t="s">
        <v>40</v>
      </c>
      <c r="AF368" s="339" t="s">
        <v>40</v>
      </c>
      <c r="AG368" s="366">
        <v>0</v>
      </c>
      <c r="AH368" s="368">
        <v>46266</v>
      </c>
      <c r="AI368" s="368">
        <v>46269</v>
      </c>
      <c r="AJ368" s="369" t="s">
        <v>165</v>
      </c>
      <c r="AK368" s="373" t="s">
        <v>480</v>
      </c>
      <c r="AL368" s="370">
        <v>0</v>
      </c>
    </row>
    <row r="369" spans="1:38">
      <c r="A369" s="292" t="s">
        <v>670</v>
      </c>
      <c r="B369" s="300" t="s">
        <v>1048</v>
      </c>
      <c r="C369" s="299">
        <v>1</v>
      </c>
      <c r="D369" s="149">
        <v>46195</v>
      </c>
      <c r="E369" s="149">
        <v>46200</v>
      </c>
      <c r="F369" s="341" t="s">
        <v>40</v>
      </c>
      <c r="G369" s="308" t="s">
        <v>34</v>
      </c>
      <c r="H369" s="372">
        <v>1</v>
      </c>
      <c r="I369" s="169">
        <v>46219</v>
      </c>
      <c r="J369" s="342">
        <v>46231</v>
      </c>
      <c r="K369" s="344" t="s">
        <v>40</v>
      </c>
      <c r="L369" s="344" t="s">
        <v>480</v>
      </c>
      <c r="M369" s="346">
        <v>1</v>
      </c>
      <c r="N369" s="347">
        <v>46219</v>
      </c>
      <c r="O369" s="347">
        <v>46231</v>
      </c>
      <c r="P369" s="349" t="s">
        <v>40</v>
      </c>
      <c r="Q369" s="349" t="s">
        <v>480</v>
      </c>
      <c r="R369" s="350">
        <v>0</v>
      </c>
      <c r="S369" s="352">
        <v>46239</v>
      </c>
      <c r="T369" s="352">
        <v>46246</v>
      </c>
      <c r="U369" s="354" t="s">
        <v>40</v>
      </c>
      <c r="V369" s="354" t="s">
        <v>480</v>
      </c>
      <c r="W369" s="355">
        <v>1</v>
      </c>
      <c r="X369" s="357">
        <v>46247</v>
      </c>
      <c r="Y369" s="357">
        <v>46249</v>
      </c>
      <c r="Z369" s="359" t="s">
        <v>40</v>
      </c>
      <c r="AA369" s="359" t="s">
        <v>480</v>
      </c>
      <c r="AB369" s="360">
        <v>0</v>
      </c>
      <c r="AC369" s="362">
        <v>46258</v>
      </c>
      <c r="AD369" s="326">
        <v>46265</v>
      </c>
      <c r="AE369" s="327" t="s">
        <v>40</v>
      </c>
      <c r="AF369" s="339" t="s">
        <v>40</v>
      </c>
      <c r="AG369" s="366">
        <v>0</v>
      </c>
      <c r="AH369" s="368">
        <v>46266</v>
      </c>
      <c r="AI369" s="368">
        <v>46269</v>
      </c>
      <c r="AJ369" s="369" t="s">
        <v>165</v>
      </c>
      <c r="AK369" s="373" t="s">
        <v>34</v>
      </c>
      <c r="AL369" s="370">
        <v>1</v>
      </c>
    </row>
    <row r="370" spans="1:38">
      <c r="A370" s="292" t="s">
        <v>670</v>
      </c>
      <c r="B370" s="300" t="s">
        <v>1049</v>
      </c>
      <c r="C370" s="299">
        <v>1</v>
      </c>
      <c r="D370" s="149">
        <v>46195</v>
      </c>
      <c r="E370" s="149">
        <v>46200</v>
      </c>
      <c r="F370" s="341" t="s">
        <v>40</v>
      </c>
      <c r="G370" s="308" t="s">
        <v>34</v>
      </c>
      <c r="H370" s="372">
        <v>1</v>
      </c>
      <c r="I370" s="169">
        <v>46219</v>
      </c>
      <c r="J370" s="342">
        <v>46231</v>
      </c>
      <c r="K370" s="344" t="s">
        <v>40</v>
      </c>
      <c r="L370" s="345" t="s">
        <v>679</v>
      </c>
      <c r="M370" s="346">
        <v>0.9</v>
      </c>
      <c r="N370" s="347">
        <v>46219</v>
      </c>
      <c r="O370" s="347">
        <v>46231</v>
      </c>
      <c r="P370" s="349" t="s">
        <v>40</v>
      </c>
      <c r="Q370" s="349" t="s">
        <v>480</v>
      </c>
      <c r="R370" s="350">
        <v>0</v>
      </c>
      <c r="S370" s="352">
        <v>46239</v>
      </c>
      <c r="T370" s="352">
        <v>46246</v>
      </c>
      <c r="U370" s="354" t="s">
        <v>40</v>
      </c>
      <c r="V370" s="354" t="s">
        <v>480</v>
      </c>
      <c r="W370" s="355">
        <v>0</v>
      </c>
      <c r="X370" s="357">
        <v>46247</v>
      </c>
      <c r="Y370" s="357">
        <v>46249</v>
      </c>
      <c r="Z370" s="359" t="s">
        <v>40</v>
      </c>
      <c r="AA370" s="359" t="s">
        <v>480</v>
      </c>
      <c r="AB370" s="360">
        <v>0</v>
      </c>
      <c r="AC370" s="362">
        <v>46258</v>
      </c>
      <c r="AD370" s="326">
        <v>46265</v>
      </c>
      <c r="AE370" s="327" t="s">
        <v>40</v>
      </c>
      <c r="AF370" s="365" t="s">
        <v>480</v>
      </c>
      <c r="AG370" s="366">
        <v>0</v>
      </c>
      <c r="AH370" s="368">
        <v>46266</v>
      </c>
      <c r="AI370" s="368">
        <v>46269</v>
      </c>
      <c r="AJ370" s="369" t="s">
        <v>165</v>
      </c>
      <c r="AK370" s="373" t="s">
        <v>40</v>
      </c>
      <c r="AL370" s="370">
        <v>0</v>
      </c>
    </row>
    <row r="371" spans="1:38">
      <c r="A371" s="292" t="s">
        <v>670</v>
      </c>
      <c r="B371" s="300" t="s">
        <v>1050</v>
      </c>
      <c r="C371" s="299">
        <v>1</v>
      </c>
      <c r="D371" s="149">
        <v>46195</v>
      </c>
      <c r="E371" s="149">
        <v>46200</v>
      </c>
      <c r="F371" s="341" t="s">
        <v>40</v>
      </c>
      <c r="G371" s="308" t="s">
        <v>479</v>
      </c>
      <c r="H371" s="372">
        <v>0</v>
      </c>
      <c r="I371" s="169">
        <v>46219</v>
      </c>
      <c r="J371" s="342">
        <v>46231</v>
      </c>
      <c r="K371" s="344" t="s">
        <v>40</v>
      </c>
      <c r="L371" s="345" t="s">
        <v>679</v>
      </c>
      <c r="M371" s="346">
        <v>0</v>
      </c>
      <c r="N371" s="347">
        <v>46219</v>
      </c>
      <c r="O371" s="347">
        <v>46231</v>
      </c>
      <c r="P371" s="349" t="s">
        <v>40</v>
      </c>
      <c r="Q371" s="349" t="s">
        <v>480</v>
      </c>
      <c r="R371" s="350">
        <v>0</v>
      </c>
      <c r="S371" s="352">
        <v>46239</v>
      </c>
      <c r="T371" s="352">
        <v>46246</v>
      </c>
      <c r="U371" s="354" t="s">
        <v>40</v>
      </c>
      <c r="V371" s="354" t="s">
        <v>480</v>
      </c>
      <c r="W371" s="355">
        <v>0</v>
      </c>
      <c r="X371" s="357">
        <v>46247</v>
      </c>
      <c r="Y371" s="357">
        <v>46249</v>
      </c>
      <c r="Z371" s="359" t="s">
        <v>40</v>
      </c>
      <c r="AA371" s="359" t="s">
        <v>480</v>
      </c>
      <c r="AB371" s="360">
        <v>0</v>
      </c>
      <c r="AC371" s="362">
        <v>46258</v>
      </c>
      <c r="AD371" s="326">
        <v>46265</v>
      </c>
      <c r="AE371" s="327" t="s">
        <v>40</v>
      </c>
      <c r="AF371" s="365" t="s">
        <v>480</v>
      </c>
      <c r="AG371" s="366">
        <v>0</v>
      </c>
      <c r="AH371" s="368">
        <v>46266</v>
      </c>
      <c r="AI371" s="368">
        <v>46269</v>
      </c>
      <c r="AJ371" s="369" t="s">
        <v>165</v>
      </c>
      <c r="AK371" s="373" t="s">
        <v>40</v>
      </c>
      <c r="AL371" s="370">
        <v>0</v>
      </c>
    </row>
    <row r="372" spans="1:38">
      <c r="A372" s="292" t="s">
        <v>670</v>
      </c>
      <c r="B372" s="300" t="s">
        <v>1051</v>
      </c>
      <c r="C372" s="299">
        <v>1</v>
      </c>
      <c r="D372" s="149">
        <v>46195</v>
      </c>
      <c r="E372" s="149">
        <v>46200</v>
      </c>
      <c r="F372" s="341" t="s">
        <v>40</v>
      </c>
      <c r="G372" s="308" t="s">
        <v>479</v>
      </c>
      <c r="H372" s="372">
        <v>0</v>
      </c>
      <c r="I372" s="169">
        <v>46219</v>
      </c>
      <c r="J372" s="342">
        <v>46231</v>
      </c>
      <c r="K372" s="344" t="s">
        <v>40</v>
      </c>
      <c r="L372" s="344" t="s">
        <v>480</v>
      </c>
      <c r="M372" s="346">
        <v>0</v>
      </c>
      <c r="N372" s="347">
        <v>46219</v>
      </c>
      <c r="O372" s="347">
        <v>46231</v>
      </c>
      <c r="P372" s="349" t="s">
        <v>40</v>
      </c>
      <c r="Q372" s="349" t="s">
        <v>480</v>
      </c>
      <c r="R372" s="350">
        <v>0</v>
      </c>
      <c r="S372" s="352">
        <v>46239</v>
      </c>
      <c r="T372" s="352">
        <v>46246</v>
      </c>
      <c r="U372" s="354" t="s">
        <v>40</v>
      </c>
      <c r="V372" s="354" t="s">
        <v>480</v>
      </c>
      <c r="W372" s="355">
        <v>0</v>
      </c>
      <c r="X372" s="357">
        <v>46247</v>
      </c>
      <c r="Y372" s="357">
        <v>46249</v>
      </c>
      <c r="Z372" s="359" t="s">
        <v>40</v>
      </c>
      <c r="AA372" s="359" t="s">
        <v>480</v>
      </c>
      <c r="AB372" s="360">
        <v>0</v>
      </c>
      <c r="AC372" s="362">
        <v>46258</v>
      </c>
      <c r="AD372" s="326">
        <v>46265</v>
      </c>
      <c r="AE372" s="327" t="s">
        <v>40</v>
      </c>
      <c r="AF372" s="339" t="s">
        <v>40</v>
      </c>
      <c r="AG372" s="366">
        <v>0</v>
      </c>
      <c r="AH372" s="368">
        <v>46266</v>
      </c>
      <c r="AI372" s="368">
        <v>46269</v>
      </c>
      <c r="AJ372" s="369" t="s">
        <v>165</v>
      </c>
      <c r="AK372" s="373" t="s">
        <v>480</v>
      </c>
      <c r="AL372" s="370">
        <v>0</v>
      </c>
    </row>
    <row r="373" spans="1:38">
      <c r="A373" s="292" t="s">
        <v>670</v>
      </c>
      <c r="B373" s="300" t="s">
        <v>1052</v>
      </c>
      <c r="C373" s="299">
        <v>1</v>
      </c>
      <c r="D373" s="149">
        <v>46195</v>
      </c>
      <c r="E373" s="149">
        <v>46200</v>
      </c>
      <c r="F373" s="341" t="s">
        <v>40</v>
      </c>
      <c r="G373" s="308" t="s">
        <v>479</v>
      </c>
      <c r="H373" s="372">
        <v>0</v>
      </c>
      <c r="I373" s="169">
        <v>46219</v>
      </c>
      <c r="J373" s="342">
        <v>46231</v>
      </c>
      <c r="K373" s="344" t="s">
        <v>40</v>
      </c>
      <c r="L373" s="344" t="s">
        <v>480</v>
      </c>
      <c r="M373" s="346">
        <v>0</v>
      </c>
      <c r="N373" s="347">
        <v>46219</v>
      </c>
      <c r="O373" s="347">
        <v>46231</v>
      </c>
      <c r="P373" s="349" t="s">
        <v>40</v>
      </c>
      <c r="Q373" s="349" t="s">
        <v>480</v>
      </c>
      <c r="R373" s="350">
        <v>0</v>
      </c>
      <c r="S373" s="352">
        <v>46239</v>
      </c>
      <c r="T373" s="352">
        <v>46246</v>
      </c>
      <c r="U373" s="354" t="s">
        <v>40</v>
      </c>
      <c r="V373" s="354" t="s">
        <v>480</v>
      </c>
      <c r="W373" s="355">
        <v>0</v>
      </c>
      <c r="X373" s="357">
        <v>46247</v>
      </c>
      <c r="Y373" s="357">
        <v>46249</v>
      </c>
      <c r="Z373" s="359" t="s">
        <v>40</v>
      </c>
      <c r="AA373" s="359" t="s">
        <v>480</v>
      </c>
      <c r="AB373" s="360">
        <v>0</v>
      </c>
      <c r="AC373" s="362">
        <v>46258</v>
      </c>
      <c r="AD373" s="326">
        <v>46265</v>
      </c>
      <c r="AE373" s="327" t="s">
        <v>40</v>
      </c>
      <c r="AF373" s="339" t="s">
        <v>40</v>
      </c>
      <c r="AG373" s="366">
        <v>0</v>
      </c>
      <c r="AH373" s="368">
        <v>46266</v>
      </c>
      <c r="AI373" s="368">
        <v>46269</v>
      </c>
      <c r="AJ373" s="369" t="s">
        <v>165</v>
      </c>
      <c r="AK373" s="373" t="s">
        <v>480</v>
      </c>
      <c r="AL373" s="370">
        <v>0</v>
      </c>
    </row>
    <row r="374" spans="1:38">
      <c r="A374" s="292" t="s">
        <v>670</v>
      </c>
      <c r="B374" s="300" t="s">
        <v>1053</v>
      </c>
      <c r="C374" s="299">
        <v>1</v>
      </c>
      <c r="D374" s="149">
        <v>46195</v>
      </c>
      <c r="E374" s="149">
        <v>46200</v>
      </c>
      <c r="F374" s="341" t="s">
        <v>40</v>
      </c>
      <c r="G374" s="308" t="s">
        <v>479</v>
      </c>
      <c r="H374" s="372">
        <v>0</v>
      </c>
      <c r="I374" s="169">
        <v>46219</v>
      </c>
      <c r="J374" s="342">
        <v>46231</v>
      </c>
      <c r="K374" s="344" t="s">
        <v>40</v>
      </c>
      <c r="L374" s="345" t="s">
        <v>679</v>
      </c>
      <c r="M374" s="346">
        <v>0</v>
      </c>
      <c r="N374" s="347">
        <v>46219</v>
      </c>
      <c r="O374" s="347">
        <v>46231</v>
      </c>
      <c r="P374" s="349" t="s">
        <v>40</v>
      </c>
      <c r="Q374" s="349" t="s">
        <v>480</v>
      </c>
      <c r="R374" s="350">
        <v>0</v>
      </c>
      <c r="S374" s="352">
        <v>46239</v>
      </c>
      <c r="T374" s="352">
        <v>46246</v>
      </c>
      <c r="U374" s="354" t="s">
        <v>40</v>
      </c>
      <c r="V374" s="354" t="s">
        <v>480</v>
      </c>
      <c r="W374" s="355">
        <v>0</v>
      </c>
      <c r="X374" s="357">
        <v>46247</v>
      </c>
      <c r="Y374" s="357">
        <v>46249</v>
      </c>
      <c r="Z374" s="359" t="s">
        <v>40</v>
      </c>
      <c r="AA374" s="359" t="s">
        <v>480</v>
      </c>
      <c r="AB374" s="360">
        <v>0</v>
      </c>
      <c r="AC374" s="362">
        <v>46258</v>
      </c>
      <c r="AD374" s="326">
        <v>46265</v>
      </c>
      <c r="AE374" s="327" t="s">
        <v>40</v>
      </c>
      <c r="AF374" s="365" t="s">
        <v>480</v>
      </c>
      <c r="AG374" s="366">
        <v>0</v>
      </c>
      <c r="AH374" s="368">
        <v>46266</v>
      </c>
      <c r="AI374" s="368">
        <v>46269</v>
      </c>
      <c r="AJ374" s="369" t="s">
        <v>165</v>
      </c>
      <c r="AK374" s="373" t="s">
        <v>40</v>
      </c>
      <c r="AL374" s="370">
        <v>0</v>
      </c>
    </row>
    <row r="375" spans="1:38">
      <c r="A375" s="292" t="s">
        <v>670</v>
      </c>
      <c r="B375" s="300" t="s">
        <v>1054</v>
      </c>
      <c r="C375" s="299">
        <v>1</v>
      </c>
      <c r="D375" s="149">
        <v>46195</v>
      </c>
      <c r="E375" s="149">
        <v>46200</v>
      </c>
      <c r="F375" s="341" t="s">
        <v>40</v>
      </c>
      <c r="G375" s="308" t="s">
        <v>479</v>
      </c>
      <c r="H375" s="372">
        <v>0</v>
      </c>
      <c r="I375" s="169">
        <v>46219</v>
      </c>
      <c r="J375" s="342">
        <v>46231</v>
      </c>
      <c r="K375" s="344" t="s">
        <v>40</v>
      </c>
      <c r="L375" s="345" t="s">
        <v>679</v>
      </c>
      <c r="M375" s="346">
        <v>0</v>
      </c>
      <c r="N375" s="347">
        <v>46219</v>
      </c>
      <c r="O375" s="347">
        <v>46231</v>
      </c>
      <c r="P375" s="349" t="s">
        <v>40</v>
      </c>
      <c r="Q375" s="349" t="s">
        <v>480</v>
      </c>
      <c r="R375" s="350">
        <v>0</v>
      </c>
      <c r="S375" s="352">
        <v>46239</v>
      </c>
      <c r="T375" s="352">
        <v>46246</v>
      </c>
      <c r="U375" s="354" t="s">
        <v>40</v>
      </c>
      <c r="V375" s="354" t="s">
        <v>480</v>
      </c>
      <c r="W375" s="355">
        <v>0</v>
      </c>
      <c r="X375" s="357">
        <v>46247</v>
      </c>
      <c r="Y375" s="357">
        <v>46249</v>
      </c>
      <c r="Z375" s="359" t="s">
        <v>40</v>
      </c>
      <c r="AA375" s="359" t="s">
        <v>480</v>
      </c>
      <c r="AB375" s="360">
        <v>0</v>
      </c>
      <c r="AC375" s="362">
        <v>46258</v>
      </c>
      <c r="AD375" s="326">
        <v>46265</v>
      </c>
      <c r="AE375" s="327" t="s">
        <v>40</v>
      </c>
      <c r="AF375" s="365" t="s">
        <v>480</v>
      </c>
      <c r="AG375" s="366">
        <v>0</v>
      </c>
      <c r="AH375" s="368">
        <v>46266</v>
      </c>
      <c r="AI375" s="368">
        <v>46269</v>
      </c>
      <c r="AJ375" s="369" t="s">
        <v>165</v>
      </c>
      <c r="AK375" s="373" t="s">
        <v>40</v>
      </c>
      <c r="AL375" s="370">
        <v>0</v>
      </c>
    </row>
    <row r="376" spans="1:38">
      <c r="A376" s="292" t="s">
        <v>670</v>
      </c>
      <c r="B376" s="300" t="s">
        <v>1055</v>
      </c>
      <c r="C376" s="299">
        <v>1</v>
      </c>
      <c r="D376" s="149">
        <v>46195</v>
      </c>
      <c r="E376" s="149">
        <v>46200</v>
      </c>
      <c r="F376" s="341" t="s">
        <v>40</v>
      </c>
      <c r="G376" s="340" t="s">
        <v>40</v>
      </c>
      <c r="H376" s="372">
        <v>0</v>
      </c>
      <c r="I376" s="169">
        <v>46219</v>
      </c>
      <c r="J376" s="342">
        <v>46231</v>
      </c>
      <c r="K376" s="344" t="s">
        <v>40</v>
      </c>
      <c r="L376" s="345" t="s">
        <v>480</v>
      </c>
      <c r="M376" s="346">
        <v>0</v>
      </c>
      <c r="N376" s="347">
        <v>46219</v>
      </c>
      <c r="O376" s="347">
        <v>46231</v>
      </c>
      <c r="P376" s="349" t="s">
        <v>40</v>
      </c>
      <c r="Q376" s="374" t="s">
        <v>480</v>
      </c>
      <c r="R376" s="350">
        <v>0</v>
      </c>
      <c r="S376" s="352">
        <v>46239</v>
      </c>
      <c r="T376" s="352">
        <v>46246</v>
      </c>
      <c r="U376" s="354" t="s">
        <v>40</v>
      </c>
      <c r="V376" s="376" t="s">
        <v>480</v>
      </c>
      <c r="W376" s="355">
        <v>0</v>
      </c>
      <c r="X376" s="357">
        <v>46247</v>
      </c>
      <c r="Y376" s="357">
        <v>46249</v>
      </c>
      <c r="Z376" s="359" t="s">
        <v>40</v>
      </c>
      <c r="AA376" s="377" t="s">
        <v>480</v>
      </c>
      <c r="AB376" s="360">
        <v>0</v>
      </c>
      <c r="AC376" s="362">
        <v>46258</v>
      </c>
      <c r="AD376" s="326">
        <v>46265</v>
      </c>
      <c r="AE376" s="327" t="s">
        <v>40</v>
      </c>
      <c r="AF376" s="378" t="s">
        <v>480</v>
      </c>
      <c r="AG376" s="366">
        <v>0</v>
      </c>
      <c r="AH376" s="368">
        <v>46266</v>
      </c>
      <c r="AI376" s="368">
        <v>46269</v>
      </c>
      <c r="AJ376" s="369" t="s">
        <v>165</v>
      </c>
      <c r="AK376" s="373" t="s">
        <v>480</v>
      </c>
      <c r="AL376" s="370">
        <v>0</v>
      </c>
    </row>
    <row r="377" spans="1:38">
      <c r="A377" s="292" t="s">
        <v>670</v>
      </c>
      <c r="B377" s="300" t="s">
        <v>1056</v>
      </c>
      <c r="C377" s="299">
        <v>1</v>
      </c>
      <c r="D377" s="149">
        <v>46195</v>
      </c>
      <c r="E377" s="149">
        <v>46200</v>
      </c>
      <c r="F377" s="341" t="s">
        <v>40</v>
      </c>
      <c r="G377" s="340" t="s">
        <v>40</v>
      </c>
      <c r="H377" s="372">
        <v>0</v>
      </c>
      <c r="I377" s="169">
        <v>46219</v>
      </c>
      <c r="J377" s="342">
        <v>46231</v>
      </c>
      <c r="K377" s="344" t="s">
        <v>40</v>
      </c>
      <c r="L377" s="345" t="s">
        <v>480</v>
      </c>
      <c r="M377" s="346">
        <v>0</v>
      </c>
      <c r="N377" s="347">
        <v>46219</v>
      </c>
      <c r="O377" s="347">
        <v>46231</v>
      </c>
      <c r="P377" s="349" t="s">
        <v>40</v>
      </c>
      <c r="Q377" s="374" t="s">
        <v>480</v>
      </c>
      <c r="R377" s="350">
        <v>0</v>
      </c>
      <c r="S377" s="352">
        <v>46239</v>
      </c>
      <c r="T377" s="352">
        <v>46246</v>
      </c>
      <c r="U377" s="354" t="s">
        <v>40</v>
      </c>
      <c r="V377" s="376" t="s">
        <v>480</v>
      </c>
      <c r="W377" s="355">
        <v>0</v>
      </c>
      <c r="X377" s="357">
        <v>46247</v>
      </c>
      <c r="Y377" s="357">
        <v>46249</v>
      </c>
      <c r="Z377" s="359" t="s">
        <v>40</v>
      </c>
      <c r="AA377" s="377" t="s">
        <v>480</v>
      </c>
      <c r="AB377" s="360">
        <v>0</v>
      </c>
      <c r="AC377" s="362">
        <v>46258</v>
      </c>
      <c r="AD377" s="326">
        <v>46265</v>
      </c>
      <c r="AE377" s="327" t="s">
        <v>40</v>
      </c>
      <c r="AF377" s="378" t="s">
        <v>480</v>
      </c>
      <c r="AG377" s="366">
        <v>0</v>
      </c>
      <c r="AH377" s="368">
        <v>46266</v>
      </c>
      <c r="AI377" s="368">
        <v>46269</v>
      </c>
      <c r="AJ377" s="369" t="s">
        <v>165</v>
      </c>
      <c r="AK377" s="373" t="s">
        <v>480</v>
      </c>
      <c r="AL377" s="370">
        <v>0</v>
      </c>
    </row>
    <row r="378" spans="1:38">
      <c r="A378" s="292" t="s">
        <v>670</v>
      </c>
      <c r="B378" s="300">
        <v>52225</v>
      </c>
      <c r="C378" s="299">
        <v>1</v>
      </c>
      <c r="D378" s="149">
        <v>46195</v>
      </c>
      <c r="E378" s="149">
        <v>46200</v>
      </c>
      <c r="F378" s="341" t="s">
        <v>40</v>
      </c>
      <c r="G378" s="308" t="s">
        <v>479</v>
      </c>
      <c r="H378" s="372">
        <v>1</v>
      </c>
      <c r="I378" s="169">
        <v>46219</v>
      </c>
      <c r="J378" s="342">
        <v>46231</v>
      </c>
      <c r="K378" s="344" t="s">
        <v>40</v>
      </c>
      <c r="L378" s="344" t="s">
        <v>480</v>
      </c>
      <c r="M378" s="346">
        <v>1</v>
      </c>
      <c r="N378" s="347">
        <v>46219</v>
      </c>
      <c r="O378" s="347">
        <v>46231</v>
      </c>
      <c r="P378" s="349" t="s">
        <v>40</v>
      </c>
      <c r="Q378" s="349" t="s">
        <v>480</v>
      </c>
      <c r="R378" s="350">
        <v>0</v>
      </c>
      <c r="S378" s="352">
        <v>46239</v>
      </c>
      <c r="T378" s="352">
        <v>46246</v>
      </c>
      <c r="U378" s="354" t="s">
        <v>40</v>
      </c>
      <c r="V378" s="354" t="s">
        <v>480</v>
      </c>
      <c r="W378" s="355">
        <v>0</v>
      </c>
      <c r="X378" s="357">
        <v>46247</v>
      </c>
      <c r="Y378" s="357">
        <v>46249</v>
      </c>
      <c r="Z378" s="359" t="s">
        <v>40</v>
      </c>
      <c r="AA378" s="359" t="s">
        <v>480</v>
      </c>
      <c r="AB378" s="360">
        <v>0</v>
      </c>
      <c r="AC378" s="362">
        <v>46258</v>
      </c>
      <c r="AD378" s="326">
        <v>46265</v>
      </c>
      <c r="AE378" s="327" t="s">
        <v>40</v>
      </c>
      <c r="AF378" s="339" t="s">
        <v>40</v>
      </c>
      <c r="AG378" s="366">
        <v>0</v>
      </c>
      <c r="AH378" s="368">
        <v>46266</v>
      </c>
      <c r="AI378" s="368">
        <v>46269</v>
      </c>
      <c r="AJ378" s="369" t="s">
        <v>165</v>
      </c>
      <c r="AK378" s="373" t="s">
        <v>480</v>
      </c>
      <c r="AL378" s="370">
        <v>0</v>
      </c>
    </row>
    <row r="379" spans="1:38">
      <c r="A379" s="292" t="s">
        <v>670</v>
      </c>
      <c r="B379" s="300" t="s">
        <v>1057</v>
      </c>
      <c r="C379" s="299">
        <v>1</v>
      </c>
      <c r="D379" s="149">
        <v>46195</v>
      </c>
      <c r="E379" s="149">
        <v>46200</v>
      </c>
      <c r="F379" s="341" t="s">
        <v>40</v>
      </c>
      <c r="G379" s="308" t="s">
        <v>479</v>
      </c>
      <c r="H379" s="372">
        <v>1</v>
      </c>
      <c r="I379" s="169">
        <v>46219</v>
      </c>
      <c r="J379" s="342">
        <v>46231</v>
      </c>
      <c r="K379" s="344" t="s">
        <v>40</v>
      </c>
      <c r="L379" s="344" t="s">
        <v>480</v>
      </c>
      <c r="M379" s="346">
        <v>0.9</v>
      </c>
      <c r="N379" s="347">
        <v>46219</v>
      </c>
      <c r="O379" s="347">
        <v>46231</v>
      </c>
      <c r="P379" s="349" t="s">
        <v>40</v>
      </c>
      <c r="Q379" s="349" t="s">
        <v>480</v>
      </c>
      <c r="R379" s="350">
        <v>0</v>
      </c>
      <c r="S379" s="352">
        <v>46239</v>
      </c>
      <c r="T379" s="352">
        <v>46246</v>
      </c>
      <c r="U379" s="354" t="s">
        <v>40</v>
      </c>
      <c r="V379" s="354" t="s">
        <v>480</v>
      </c>
      <c r="W379" s="355">
        <v>0</v>
      </c>
      <c r="X379" s="357">
        <v>46247</v>
      </c>
      <c r="Y379" s="357">
        <v>46249</v>
      </c>
      <c r="Z379" s="359" t="s">
        <v>40</v>
      </c>
      <c r="AA379" s="359" t="s">
        <v>480</v>
      </c>
      <c r="AB379" s="360">
        <v>0</v>
      </c>
      <c r="AC379" s="362">
        <v>46258</v>
      </c>
      <c r="AD379" s="326">
        <v>46265</v>
      </c>
      <c r="AE379" s="327" t="s">
        <v>40</v>
      </c>
      <c r="AF379" s="339" t="s">
        <v>40</v>
      </c>
      <c r="AG379" s="366">
        <v>0</v>
      </c>
      <c r="AH379" s="368">
        <v>46266</v>
      </c>
      <c r="AI379" s="368">
        <v>46269</v>
      </c>
      <c r="AJ379" s="369" t="s">
        <v>165</v>
      </c>
      <c r="AK379" s="373" t="s">
        <v>480</v>
      </c>
      <c r="AL379" s="370">
        <v>0</v>
      </c>
    </row>
    <row r="380" spans="1:38">
      <c r="A380" s="292" t="s">
        <v>670</v>
      </c>
      <c r="B380" s="300" t="s">
        <v>1058</v>
      </c>
      <c r="C380" s="299">
        <v>1</v>
      </c>
      <c r="D380" s="149">
        <v>46195</v>
      </c>
      <c r="E380" s="149">
        <v>46200</v>
      </c>
      <c r="F380" s="341" t="s">
        <v>40</v>
      </c>
      <c r="G380" s="308" t="s">
        <v>479</v>
      </c>
      <c r="H380" s="372">
        <v>1</v>
      </c>
      <c r="I380" s="169">
        <v>46219</v>
      </c>
      <c r="J380" s="342">
        <v>46231</v>
      </c>
      <c r="K380" s="344" t="s">
        <v>40</v>
      </c>
      <c r="L380" s="344" t="s">
        <v>480</v>
      </c>
      <c r="M380" s="346">
        <v>1</v>
      </c>
      <c r="N380" s="347">
        <v>46219</v>
      </c>
      <c r="O380" s="347">
        <v>46231</v>
      </c>
      <c r="P380" s="349" t="s">
        <v>40</v>
      </c>
      <c r="Q380" s="349" t="s">
        <v>480</v>
      </c>
      <c r="R380" s="350">
        <v>0</v>
      </c>
      <c r="S380" s="352">
        <v>46239</v>
      </c>
      <c r="T380" s="352">
        <v>46246</v>
      </c>
      <c r="U380" s="354" t="s">
        <v>40</v>
      </c>
      <c r="V380" s="354" t="s">
        <v>480</v>
      </c>
      <c r="W380" s="355">
        <v>0</v>
      </c>
      <c r="X380" s="357">
        <v>46247</v>
      </c>
      <c r="Y380" s="357">
        <v>46249</v>
      </c>
      <c r="Z380" s="359" t="s">
        <v>40</v>
      </c>
      <c r="AA380" s="359" t="s">
        <v>480</v>
      </c>
      <c r="AB380" s="360">
        <v>0</v>
      </c>
      <c r="AC380" s="362">
        <v>46258</v>
      </c>
      <c r="AD380" s="326">
        <v>46265</v>
      </c>
      <c r="AE380" s="327" t="s">
        <v>40</v>
      </c>
      <c r="AF380" s="339" t="s">
        <v>40</v>
      </c>
      <c r="AG380" s="366">
        <v>0</v>
      </c>
      <c r="AH380" s="368">
        <v>46266</v>
      </c>
      <c r="AI380" s="368">
        <v>46269</v>
      </c>
      <c r="AJ380" s="369" t="s">
        <v>165</v>
      </c>
      <c r="AK380" s="373" t="s">
        <v>480</v>
      </c>
      <c r="AL380" s="370">
        <v>0</v>
      </c>
    </row>
    <row r="381" spans="1:38">
      <c r="A381" s="292" t="s">
        <v>670</v>
      </c>
      <c r="B381" s="300" t="s">
        <v>1059</v>
      </c>
      <c r="C381" s="299">
        <v>1</v>
      </c>
      <c r="D381" s="149">
        <v>46195</v>
      </c>
      <c r="E381" s="149">
        <v>46200</v>
      </c>
      <c r="F381" s="341" t="s">
        <v>40</v>
      </c>
      <c r="G381" s="308" t="s">
        <v>479</v>
      </c>
      <c r="H381" s="372">
        <v>1</v>
      </c>
      <c r="I381" s="169">
        <v>46219</v>
      </c>
      <c r="J381" s="342">
        <v>46231</v>
      </c>
      <c r="K381" s="344" t="s">
        <v>40</v>
      </c>
      <c r="L381" s="344" t="s">
        <v>480</v>
      </c>
      <c r="M381" s="346">
        <v>1</v>
      </c>
      <c r="N381" s="347">
        <v>46219</v>
      </c>
      <c r="O381" s="347">
        <v>46231</v>
      </c>
      <c r="P381" s="349" t="s">
        <v>40</v>
      </c>
      <c r="Q381" s="349" t="s">
        <v>480</v>
      </c>
      <c r="R381" s="350">
        <v>0</v>
      </c>
      <c r="S381" s="352">
        <v>46239</v>
      </c>
      <c r="T381" s="352">
        <v>46246</v>
      </c>
      <c r="U381" s="354" t="s">
        <v>40</v>
      </c>
      <c r="V381" s="354" t="s">
        <v>480</v>
      </c>
      <c r="W381" s="355">
        <v>0</v>
      </c>
      <c r="X381" s="357">
        <v>46247</v>
      </c>
      <c r="Y381" s="357">
        <v>46249</v>
      </c>
      <c r="Z381" s="359" t="s">
        <v>40</v>
      </c>
      <c r="AA381" s="359" t="s">
        <v>480</v>
      </c>
      <c r="AB381" s="360">
        <v>0</v>
      </c>
      <c r="AC381" s="362">
        <v>46258</v>
      </c>
      <c r="AD381" s="326">
        <v>46265</v>
      </c>
      <c r="AE381" s="327" t="s">
        <v>40</v>
      </c>
      <c r="AF381" s="339" t="s">
        <v>40</v>
      </c>
      <c r="AG381" s="366">
        <v>0</v>
      </c>
      <c r="AH381" s="368">
        <v>46266</v>
      </c>
      <c r="AI381" s="368">
        <v>46269</v>
      </c>
      <c r="AJ381" s="369" t="s">
        <v>165</v>
      </c>
      <c r="AK381" s="373" t="s">
        <v>480</v>
      </c>
      <c r="AL381" s="370">
        <v>0</v>
      </c>
    </row>
    <row r="382" spans="1:38">
      <c r="A382" s="292" t="s">
        <v>670</v>
      </c>
      <c r="B382" s="300" t="s">
        <v>1060</v>
      </c>
      <c r="C382" s="299">
        <v>1</v>
      </c>
      <c r="D382" s="149">
        <v>46195</v>
      </c>
      <c r="E382" s="149">
        <v>46200</v>
      </c>
      <c r="F382" s="341" t="s">
        <v>40</v>
      </c>
      <c r="G382" s="308" t="s">
        <v>34</v>
      </c>
      <c r="H382" s="372">
        <v>1</v>
      </c>
      <c r="I382" s="169">
        <v>46219</v>
      </c>
      <c r="J382" s="342">
        <v>46231</v>
      </c>
      <c r="K382" s="344" t="s">
        <v>40</v>
      </c>
      <c r="L382" s="344" t="s">
        <v>34</v>
      </c>
      <c r="M382" s="346">
        <v>1</v>
      </c>
      <c r="N382" s="347">
        <v>46219</v>
      </c>
      <c r="O382" s="347">
        <v>46231</v>
      </c>
      <c r="P382" s="349" t="s">
        <v>40</v>
      </c>
      <c r="Q382" s="349" t="s">
        <v>480</v>
      </c>
      <c r="R382" s="350">
        <v>0</v>
      </c>
      <c r="S382" s="352">
        <v>46239</v>
      </c>
      <c r="T382" s="352">
        <v>46246</v>
      </c>
      <c r="U382" s="354" t="s">
        <v>40</v>
      </c>
      <c r="V382" s="354" t="s">
        <v>480</v>
      </c>
      <c r="W382" s="355">
        <v>0</v>
      </c>
      <c r="X382" s="357">
        <v>46247</v>
      </c>
      <c r="Y382" s="357">
        <v>46249</v>
      </c>
      <c r="Z382" s="359" t="s">
        <v>40</v>
      </c>
      <c r="AA382" s="359" t="s">
        <v>480</v>
      </c>
      <c r="AB382" s="360">
        <v>0</v>
      </c>
      <c r="AC382" s="362">
        <v>46258</v>
      </c>
      <c r="AD382" s="326">
        <v>46265</v>
      </c>
      <c r="AE382" s="327" t="s">
        <v>40</v>
      </c>
      <c r="AF382" s="339" t="s">
        <v>40</v>
      </c>
      <c r="AG382" s="366">
        <v>0</v>
      </c>
      <c r="AH382" s="368">
        <v>46266</v>
      </c>
      <c r="AI382" s="368">
        <v>46269</v>
      </c>
      <c r="AJ382" s="369" t="s">
        <v>165</v>
      </c>
      <c r="AK382" s="373" t="s">
        <v>480</v>
      </c>
      <c r="AL382" s="370">
        <v>0</v>
      </c>
    </row>
    <row r="383" spans="1:38">
      <c r="A383" s="292" t="s">
        <v>670</v>
      </c>
      <c r="B383" s="300" t="s">
        <v>1061</v>
      </c>
      <c r="C383" s="299">
        <v>1</v>
      </c>
      <c r="D383" s="149">
        <v>46195</v>
      </c>
      <c r="E383" s="149">
        <v>46200</v>
      </c>
      <c r="F383" s="341" t="s">
        <v>40</v>
      </c>
      <c r="G383" s="308" t="s">
        <v>34</v>
      </c>
      <c r="H383" s="372">
        <v>1</v>
      </c>
      <c r="I383" s="169">
        <v>46219</v>
      </c>
      <c r="J383" s="342">
        <v>46231</v>
      </c>
      <c r="K383" s="344" t="s">
        <v>40</v>
      </c>
      <c r="L383" s="344" t="s">
        <v>34</v>
      </c>
      <c r="M383" s="346">
        <v>1</v>
      </c>
      <c r="N383" s="347">
        <v>46219</v>
      </c>
      <c r="O383" s="347">
        <v>46231</v>
      </c>
      <c r="P383" s="349" t="s">
        <v>40</v>
      </c>
      <c r="Q383" s="349" t="s">
        <v>480</v>
      </c>
      <c r="R383" s="350">
        <v>0</v>
      </c>
      <c r="S383" s="352">
        <v>46239</v>
      </c>
      <c r="T383" s="352">
        <v>46246</v>
      </c>
      <c r="U383" s="354" t="s">
        <v>40</v>
      </c>
      <c r="V383" s="354" t="s">
        <v>480</v>
      </c>
      <c r="W383" s="355">
        <v>0</v>
      </c>
      <c r="X383" s="357">
        <v>46247</v>
      </c>
      <c r="Y383" s="357">
        <v>46249</v>
      </c>
      <c r="Z383" s="359" t="s">
        <v>40</v>
      </c>
      <c r="AA383" s="359" t="s">
        <v>480</v>
      </c>
      <c r="AB383" s="360">
        <v>0</v>
      </c>
      <c r="AC383" s="362">
        <v>46258</v>
      </c>
      <c r="AD383" s="326">
        <v>46265</v>
      </c>
      <c r="AE383" s="327" t="s">
        <v>40</v>
      </c>
      <c r="AF383" s="339" t="s">
        <v>40</v>
      </c>
      <c r="AG383" s="366">
        <v>0</v>
      </c>
      <c r="AH383" s="368">
        <v>46266</v>
      </c>
      <c r="AI383" s="368">
        <v>46269</v>
      </c>
      <c r="AJ383" s="369" t="s">
        <v>165</v>
      </c>
      <c r="AK383" s="373" t="s">
        <v>480</v>
      </c>
      <c r="AL383" s="370">
        <v>0</v>
      </c>
    </row>
    <row r="384" spans="1:38">
      <c r="A384" s="292" t="s">
        <v>670</v>
      </c>
      <c r="B384" s="300" t="s">
        <v>1062</v>
      </c>
      <c r="C384" s="299">
        <v>1</v>
      </c>
      <c r="D384" s="149">
        <v>46195</v>
      </c>
      <c r="E384" s="149">
        <v>46200</v>
      </c>
      <c r="F384" s="341" t="s">
        <v>40</v>
      </c>
      <c r="G384" s="308" t="s">
        <v>34</v>
      </c>
      <c r="H384" s="372">
        <v>1</v>
      </c>
      <c r="I384" s="169">
        <v>46219</v>
      </c>
      <c r="J384" s="342">
        <v>46231</v>
      </c>
      <c r="K384" s="344" t="s">
        <v>40</v>
      </c>
      <c r="L384" s="344" t="s">
        <v>34</v>
      </c>
      <c r="M384" s="346">
        <v>1</v>
      </c>
      <c r="N384" s="347">
        <v>46219</v>
      </c>
      <c r="O384" s="347">
        <v>46231</v>
      </c>
      <c r="P384" s="349" t="s">
        <v>40</v>
      </c>
      <c r="Q384" s="349" t="s">
        <v>480</v>
      </c>
      <c r="R384" s="350">
        <v>0</v>
      </c>
      <c r="S384" s="352">
        <v>46239</v>
      </c>
      <c r="T384" s="352">
        <v>46246</v>
      </c>
      <c r="U384" s="354" t="s">
        <v>40</v>
      </c>
      <c r="V384" s="354" t="s">
        <v>480</v>
      </c>
      <c r="W384" s="355">
        <v>0</v>
      </c>
      <c r="X384" s="357">
        <v>46247</v>
      </c>
      <c r="Y384" s="357">
        <v>46249</v>
      </c>
      <c r="Z384" s="359" t="s">
        <v>40</v>
      </c>
      <c r="AA384" s="359" t="s">
        <v>480</v>
      </c>
      <c r="AB384" s="360">
        <v>0</v>
      </c>
      <c r="AC384" s="362">
        <v>46258</v>
      </c>
      <c r="AD384" s="326">
        <v>46265</v>
      </c>
      <c r="AE384" s="327" t="s">
        <v>40</v>
      </c>
      <c r="AF384" s="339" t="s">
        <v>40</v>
      </c>
      <c r="AG384" s="366">
        <v>0</v>
      </c>
      <c r="AH384" s="368">
        <v>46266</v>
      </c>
      <c r="AI384" s="368">
        <v>46269</v>
      </c>
      <c r="AJ384" s="369" t="s">
        <v>165</v>
      </c>
      <c r="AK384" s="373" t="s">
        <v>480</v>
      </c>
      <c r="AL384" s="370">
        <v>0</v>
      </c>
    </row>
    <row r="385" spans="1:38">
      <c r="A385" s="292" t="s">
        <v>670</v>
      </c>
      <c r="B385" s="300" t="s">
        <v>1063</v>
      </c>
      <c r="C385" s="299">
        <v>1</v>
      </c>
      <c r="D385" s="149">
        <v>46195</v>
      </c>
      <c r="E385" s="149">
        <v>46200</v>
      </c>
      <c r="F385" s="341" t="s">
        <v>40</v>
      </c>
      <c r="G385" s="308" t="s">
        <v>34</v>
      </c>
      <c r="H385" s="372">
        <v>1</v>
      </c>
      <c r="I385" s="169">
        <v>46219</v>
      </c>
      <c r="J385" s="342">
        <v>46231</v>
      </c>
      <c r="K385" s="344" t="s">
        <v>40</v>
      </c>
      <c r="L385" s="344" t="s">
        <v>34</v>
      </c>
      <c r="M385" s="346">
        <v>1</v>
      </c>
      <c r="N385" s="347">
        <v>46219</v>
      </c>
      <c r="O385" s="347">
        <v>46231</v>
      </c>
      <c r="P385" s="349" t="s">
        <v>40</v>
      </c>
      <c r="Q385" s="349" t="s">
        <v>480</v>
      </c>
      <c r="R385" s="350">
        <v>0</v>
      </c>
      <c r="S385" s="352">
        <v>46239</v>
      </c>
      <c r="T385" s="352">
        <v>46246</v>
      </c>
      <c r="U385" s="354" t="s">
        <v>40</v>
      </c>
      <c r="V385" s="354" t="s">
        <v>480</v>
      </c>
      <c r="W385" s="355">
        <v>0</v>
      </c>
      <c r="X385" s="357">
        <v>46247</v>
      </c>
      <c r="Y385" s="357">
        <v>46249</v>
      </c>
      <c r="Z385" s="359" t="s">
        <v>40</v>
      </c>
      <c r="AA385" s="359" t="s">
        <v>480</v>
      </c>
      <c r="AB385" s="360">
        <v>0</v>
      </c>
      <c r="AC385" s="362">
        <v>46258</v>
      </c>
      <c r="AD385" s="326">
        <v>46265</v>
      </c>
      <c r="AE385" s="327" t="s">
        <v>40</v>
      </c>
      <c r="AF385" s="339" t="s">
        <v>40</v>
      </c>
      <c r="AG385" s="366">
        <v>0</v>
      </c>
      <c r="AH385" s="368">
        <v>46266</v>
      </c>
      <c r="AI385" s="368">
        <v>46269</v>
      </c>
      <c r="AJ385" s="369" t="s">
        <v>165</v>
      </c>
      <c r="AK385" s="373" t="s">
        <v>480</v>
      </c>
      <c r="AL385" s="370">
        <v>0</v>
      </c>
    </row>
    <row r="386" spans="1:38">
      <c r="A386" s="292" t="s">
        <v>670</v>
      </c>
      <c r="B386" s="300" t="s">
        <v>1064</v>
      </c>
      <c r="C386" s="299">
        <v>1</v>
      </c>
      <c r="D386" s="149">
        <v>46195</v>
      </c>
      <c r="E386" s="149">
        <v>46200</v>
      </c>
      <c r="F386" s="341" t="s">
        <v>40</v>
      </c>
      <c r="G386" s="308" t="s">
        <v>34</v>
      </c>
      <c r="H386" s="372">
        <v>1</v>
      </c>
      <c r="I386" s="169">
        <v>46219</v>
      </c>
      <c r="J386" s="342">
        <v>46231</v>
      </c>
      <c r="K386" s="344" t="s">
        <v>40</v>
      </c>
      <c r="L386" s="344" t="s">
        <v>34</v>
      </c>
      <c r="M386" s="346">
        <v>1</v>
      </c>
      <c r="N386" s="347">
        <v>46219</v>
      </c>
      <c r="O386" s="347">
        <v>46231</v>
      </c>
      <c r="P386" s="349" t="s">
        <v>40</v>
      </c>
      <c r="Q386" s="349" t="s">
        <v>480</v>
      </c>
      <c r="R386" s="350">
        <v>0</v>
      </c>
      <c r="S386" s="352">
        <v>46239</v>
      </c>
      <c r="T386" s="352">
        <v>46246</v>
      </c>
      <c r="U386" s="354" t="s">
        <v>40</v>
      </c>
      <c r="V386" s="354" t="s">
        <v>480</v>
      </c>
      <c r="W386" s="355">
        <v>0</v>
      </c>
      <c r="X386" s="357">
        <v>46247</v>
      </c>
      <c r="Y386" s="357">
        <v>46249</v>
      </c>
      <c r="Z386" s="359" t="s">
        <v>40</v>
      </c>
      <c r="AA386" s="359" t="s">
        <v>480</v>
      </c>
      <c r="AB386" s="360">
        <v>0</v>
      </c>
      <c r="AC386" s="362">
        <v>46258</v>
      </c>
      <c r="AD386" s="326">
        <v>46265</v>
      </c>
      <c r="AE386" s="327" t="s">
        <v>40</v>
      </c>
      <c r="AF386" s="339" t="s">
        <v>40</v>
      </c>
      <c r="AG386" s="366">
        <v>0</v>
      </c>
      <c r="AH386" s="368">
        <v>46266</v>
      </c>
      <c r="AI386" s="368">
        <v>46269</v>
      </c>
      <c r="AJ386" s="369" t="s">
        <v>165</v>
      </c>
      <c r="AK386" s="373" t="s">
        <v>480</v>
      </c>
      <c r="AL386" s="370">
        <v>0</v>
      </c>
    </row>
    <row r="387" spans="1:38">
      <c r="A387" s="292" t="s">
        <v>670</v>
      </c>
      <c r="B387" s="300" t="s">
        <v>1065</v>
      </c>
      <c r="C387" s="299">
        <v>1</v>
      </c>
      <c r="D387" s="149">
        <v>46195</v>
      </c>
      <c r="E387" s="149">
        <v>46200</v>
      </c>
      <c r="F387" s="341" t="s">
        <v>40</v>
      </c>
      <c r="G387" s="308" t="s">
        <v>34</v>
      </c>
      <c r="H387" s="372">
        <v>1</v>
      </c>
      <c r="I387" s="169">
        <v>46219</v>
      </c>
      <c r="J387" s="342">
        <v>46231</v>
      </c>
      <c r="K387" s="344" t="s">
        <v>40</v>
      </c>
      <c r="L387" s="344" t="s">
        <v>34</v>
      </c>
      <c r="M387" s="346">
        <v>1</v>
      </c>
      <c r="N387" s="347">
        <v>46219</v>
      </c>
      <c r="O387" s="347">
        <v>46231</v>
      </c>
      <c r="P387" s="349" t="s">
        <v>40</v>
      </c>
      <c r="Q387" s="349" t="s">
        <v>480</v>
      </c>
      <c r="R387" s="350">
        <v>0</v>
      </c>
      <c r="S387" s="352">
        <v>46239</v>
      </c>
      <c r="T387" s="352">
        <v>46246</v>
      </c>
      <c r="U387" s="354" t="s">
        <v>40</v>
      </c>
      <c r="V387" s="354" t="s">
        <v>480</v>
      </c>
      <c r="W387" s="355">
        <v>0</v>
      </c>
      <c r="X387" s="357">
        <v>46247</v>
      </c>
      <c r="Y387" s="357">
        <v>46249</v>
      </c>
      <c r="Z387" s="359" t="s">
        <v>40</v>
      </c>
      <c r="AA387" s="359" t="s">
        <v>480</v>
      </c>
      <c r="AB387" s="360">
        <v>0</v>
      </c>
      <c r="AC387" s="362">
        <v>46258</v>
      </c>
      <c r="AD387" s="326">
        <v>46265</v>
      </c>
      <c r="AE387" s="327" t="s">
        <v>40</v>
      </c>
      <c r="AF387" s="339" t="s">
        <v>40</v>
      </c>
      <c r="AG387" s="366">
        <v>0</v>
      </c>
      <c r="AH387" s="368">
        <v>46266</v>
      </c>
      <c r="AI387" s="368">
        <v>46269</v>
      </c>
      <c r="AJ387" s="369" t="s">
        <v>165</v>
      </c>
      <c r="AK387" s="373" t="s">
        <v>480</v>
      </c>
      <c r="AL387" s="370">
        <v>0</v>
      </c>
    </row>
    <row r="388" spans="1:38">
      <c r="A388" s="292" t="s">
        <v>670</v>
      </c>
      <c r="B388" s="300" t="s">
        <v>1066</v>
      </c>
      <c r="C388" s="299">
        <v>1</v>
      </c>
      <c r="D388" s="149">
        <v>46195</v>
      </c>
      <c r="E388" s="149">
        <v>46200</v>
      </c>
      <c r="F388" s="341" t="s">
        <v>40</v>
      </c>
      <c r="G388" s="308" t="s">
        <v>34</v>
      </c>
      <c r="H388" s="372">
        <v>1</v>
      </c>
      <c r="I388" s="169">
        <v>46219</v>
      </c>
      <c r="J388" s="342">
        <v>46231</v>
      </c>
      <c r="K388" s="344" t="s">
        <v>40</v>
      </c>
      <c r="L388" s="344" t="s">
        <v>34</v>
      </c>
      <c r="M388" s="346">
        <v>1</v>
      </c>
      <c r="N388" s="347">
        <v>46219</v>
      </c>
      <c r="O388" s="347">
        <v>46231</v>
      </c>
      <c r="P388" s="349" t="s">
        <v>40</v>
      </c>
      <c r="Q388" s="349" t="s">
        <v>480</v>
      </c>
      <c r="R388" s="350">
        <v>0</v>
      </c>
      <c r="S388" s="352">
        <v>46239</v>
      </c>
      <c r="T388" s="352">
        <v>46246</v>
      </c>
      <c r="U388" s="354" t="s">
        <v>40</v>
      </c>
      <c r="V388" s="354" t="s">
        <v>480</v>
      </c>
      <c r="W388" s="355">
        <v>0</v>
      </c>
      <c r="X388" s="357">
        <v>46247</v>
      </c>
      <c r="Y388" s="357">
        <v>46249</v>
      </c>
      <c r="Z388" s="359" t="s">
        <v>40</v>
      </c>
      <c r="AA388" s="359" t="s">
        <v>480</v>
      </c>
      <c r="AB388" s="360">
        <v>0</v>
      </c>
      <c r="AC388" s="362">
        <v>46258</v>
      </c>
      <c r="AD388" s="326">
        <v>46265</v>
      </c>
      <c r="AE388" s="327" t="s">
        <v>40</v>
      </c>
      <c r="AF388" s="339" t="s">
        <v>40</v>
      </c>
      <c r="AG388" s="366">
        <v>0</v>
      </c>
      <c r="AH388" s="368">
        <v>46266</v>
      </c>
      <c r="AI388" s="368">
        <v>46269</v>
      </c>
      <c r="AJ388" s="369" t="s">
        <v>165</v>
      </c>
      <c r="AK388" s="373" t="s">
        <v>480</v>
      </c>
      <c r="AL388" s="370">
        <v>0</v>
      </c>
    </row>
    <row r="389" spans="1:38">
      <c r="A389" s="292" t="s">
        <v>670</v>
      </c>
      <c r="B389" s="300" t="s">
        <v>1067</v>
      </c>
      <c r="C389" s="299">
        <v>1</v>
      </c>
      <c r="D389" s="149">
        <v>46195</v>
      </c>
      <c r="E389" s="149">
        <v>46200</v>
      </c>
      <c r="F389" s="341" t="s">
        <v>40</v>
      </c>
      <c r="G389" s="308" t="s">
        <v>34</v>
      </c>
      <c r="H389" s="372">
        <v>1</v>
      </c>
      <c r="I389" s="169">
        <v>46219</v>
      </c>
      <c r="J389" s="342">
        <v>46231</v>
      </c>
      <c r="K389" s="344" t="s">
        <v>40</v>
      </c>
      <c r="L389" s="344" t="s">
        <v>34</v>
      </c>
      <c r="M389" s="346">
        <v>1</v>
      </c>
      <c r="N389" s="347">
        <v>46219</v>
      </c>
      <c r="O389" s="347">
        <v>46231</v>
      </c>
      <c r="P389" s="349" t="s">
        <v>40</v>
      </c>
      <c r="Q389" s="349" t="s">
        <v>480</v>
      </c>
      <c r="R389" s="350">
        <v>0</v>
      </c>
      <c r="S389" s="352">
        <v>46239</v>
      </c>
      <c r="T389" s="352">
        <v>46246</v>
      </c>
      <c r="U389" s="354" t="s">
        <v>40</v>
      </c>
      <c r="V389" s="354" t="s">
        <v>480</v>
      </c>
      <c r="W389" s="355">
        <v>0</v>
      </c>
      <c r="X389" s="357">
        <v>46247</v>
      </c>
      <c r="Y389" s="357">
        <v>46249</v>
      </c>
      <c r="Z389" s="359" t="s">
        <v>40</v>
      </c>
      <c r="AA389" s="359" t="s">
        <v>480</v>
      </c>
      <c r="AB389" s="360">
        <v>0</v>
      </c>
      <c r="AC389" s="362">
        <v>46258</v>
      </c>
      <c r="AD389" s="326">
        <v>46265</v>
      </c>
      <c r="AE389" s="327" t="s">
        <v>40</v>
      </c>
      <c r="AF389" s="339" t="s">
        <v>40</v>
      </c>
      <c r="AG389" s="366">
        <v>0</v>
      </c>
      <c r="AH389" s="368">
        <v>46266</v>
      </c>
      <c r="AI389" s="368">
        <v>46269</v>
      </c>
      <c r="AJ389" s="369" t="s">
        <v>165</v>
      </c>
      <c r="AK389" s="373" t="s">
        <v>480</v>
      </c>
      <c r="AL389" s="370">
        <v>0</v>
      </c>
    </row>
    <row r="390" spans="1:38">
      <c r="A390" s="292" t="s">
        <v>670</v>
      </c>
      <c r="B390" s="300" t="s">
        <v>1068</v>
      </c>
      <c r="C390" s="299">
        <v>1</v>
      </c>
      <c r="D390" s="149">
        <v>46195</v>
      </c>
      <c r="E390" s="149">
        <v>46200</v>
      </c>
      <c r="F390" s="341" t="s">
        <v>40</v>
      </c>
      <c r="G390" s="308" t="s">
        <v>34</v>
      </c>
      <c r="H390" s="372">
        <v>1</v>
      </c>
      <c r="I390" s="169">
        <v>46219</v>
      </c>
      <c r="J390" s="342">
        <v>46231</v>
      </c>
      <c r="K390" s="344" t="s">
        <v>40</v>
      </c>
      <c r="L390" s="344" t="s">
        <v>34</v>
      </c>
      <c r="M390" s="346">
        <v>1</v>
      </c>
      <c r="N390" s="347">
        <v>46219</v>
      </c>
      <c r="O390" s="347">
        <v>46231</v>
      </c>
      <c r="P390" s="349" t="s">
        <v>40</v>
      </c>
      <c r="Q390" s="349" t="s">
        <v>480</v>
      </c>
      <c r="R390" s="350">
        <v>0</v>
      </c>
      <c r="S390" s="352">
        <v>46239</v>
      </c>
      <c r="T390" s="352">
        <v>46246</v>
      </c>
      <c r="U390" s="354" t="s">
        <v>40</v>
      </c>
      <c r="V390" s="354" t="s">
        <v>480</v>
      </c>
      <c r="W390" s="355">
        <v>0</v>
      </c>
      <c r="X390" s="357">
        <v>46247</v>
      </c>
      <c r="Y390" s="357">
        <v>46249</v>
      </c>
      <c r="Z390" s="359" t="s">
        <v>40</v>
      </c>
      <c r="AA390" s="359" t="s">
        <v>480</v>
      </c>
      <c r="AB390" s="360">
        <v>0</v>
      </c>
      <c r="AC390" s="362">
        <v>46258</v>
      </c>
      <c r="AD390" s="326">
        <v>46265</v>
      </c>
      <c r="AE390" s="327" t="s">
        <v>40</v>
      </c>
      <c r="AF390" s="339" t="s">
        <v>40</v>
      </c>
      <c r="AG390" s="366">
        <v>0</v>
      </c>
      <c r="AH390" s="368">
        <v>46266</v>
      </c>
      <c r="AI390" s="368">
        <v>46269</v>
      </c>
      <c r="AJ390" s="369" t="s">
        <v>165</v>
      </c>
      <c r="AK390" s="373" t="s">
        <v>480</v>
      </c>
      <c r="AL390" s="370">
        <v>0</v>
      </c>
    </row>
    <row r="391" spans="1:38">
      <c r="A391" s="292" t="s">
        <v>670</v>
      </c>
      <c r="B391" s="300" t="s">
        <v>1069</v>
      </c>
      <c r="C391" s="299">
        <v>1</v>
      </c>
      <c r="D391" s="149">
        <v>46195</v>
      </c>
      <c r="E391" s="149">
        <v>46200</v>
      </c>
      <c r="F391" s="341" t="s">
        <v>40</v>
      </c>
      <c r="G391" s="308" t="s">
        <v>34</v>
      </c>
      <c r="H391" s="372">
        <v>1</v>
      </c>
      <c r="I391" s="169">
        <v>46219</v>
      </c>
      <c r="J391" s="342">
        <v>46231</v>
      </c>
      <c r="K391" s="344" t="s">
        <v>40</v>
      </c>
      <c r="L391" s="344" t="s">
        <v>34</v>
      </c>
      <c r="M391" s="346">
        <v>1</v>
      </c>
      <c r="N391" s="347">
        <v>46219</v>
      </c>
      <c r="O391" s="347">
        <v>46231</v>
      </c>
      <c r="P391" s="349" t="s">
        <v>40</v>
      </c>
      <c r="Q391" s="349" t="s">
        <v>480</v>
      </c>
      <c r="R391" s="350">
        <v>0</v>
      </c>
      <c r="S391" s="352">
        <v>46239</v>
      </c>
      <c r="T391" s="352">
        <v>46246</v>
      </c>
      <c r="U391" s="354" t="s">
        <v>40</v>
      </c>
      <c r="V391" s="354" t="s">
        <v>480</v>
      </c>
      <c r="W391" s="355">
        <v>0</v>
      </c>
      <c r="X391" s="357">
        <v>46247</v>
      </c>
      <c r="Y391" s="357">
        <v>46249</v>
      </c>
      <c r="Z391" s="359" t="s">
        <v>40</v>
      </c>
      <c r="AA391" s="359" t="s">
        <v>480</v>
      </c>
      <c r="AB391" s="360">
        <v>0</v>
      </c>
      <c r="AC391" s="362">
        <v>46258</v>
      </c>
      <c r="AD391" s="326">
        <v>46265</v>
      </c>
      <c r="AE391" s="327" t="s">
        <v>40</v>
      </c>
      <c r="AF391" s="339" t="s">
        <v>40</v>
      </c>
      <c r="AG391" s="366">
        <v>0</v>
      </c>
      <c r="AH391" s="368">
        <v>46266</v>
      </c>
      <c r="AI391" s="368">
        <v>46269</v>
      </c>
      <c r="AJ391" s="369" t="s">
        <v>165</v>
      </c>
      <c r="AK391" s="373" t="s">
        <v>480</v>
      </c>
      <c r="AL391" s="370">
        <v>0</v>
      </c>
    </row>
    <row r="392" spans="1:38">
      <c r="A392" s="292" t="s">
        <v>670</v>
      </c>
      <c r="B392" s="300" t="s">
        <v>1070</v>
      </c>
      <c r="C392" s="299">
        <v>1</v>
      </c>
      <c r="D392" s="149">
        <v>46195</v>
      </c>
      <c r="E392" s="149">
        <v>46200</v>
      </c>
      <c r="F392" s="308" t="s">
        <v>40</v>
      </c>
      <c r="G392" s="340" t="s">
        <v>40</v>
      </c>
      <c r="H392" s="372">
        <v>0</v>
      </c>
      <c r="I392" s="169">
        <v>46219</v>
      </c>
      <c r="J392" s="311">
        <v>46231</v>
      </c>
      <c r="K392" s="310" t="s">
        <v>40</v>
      </c>
      <c r="L392" s="345" t="s">
        <v>40</v>
      </c>
      <c r="M392" s="312">
        <v>0</v>
      </c>
      <c r="N392" s="314">
        <v>46219</v>
      </c>
      <c r="O392" s="314">
        <v>46231</v>
      </c>
      <c r="P392" s="315" t="s">
        <v>40</v>
      </c>
      <c r="Q392" s="336" t="s">
        <v>40</v>
      </c>
      <c r="R392" s="316">
        <v>0</v>
      </c>
      <c r="S392" s="318">
        <v>46239</v>
      </c>
      <c r="T392" s="318">
        <v>46246</v>
      </c>
      <c r="U392" s="319" t="s">
        <v>40</v>
      </c>
      <c r="V392" s="337" t="s">
        <v>40</v>
      </c>
      <c r="W392" s="320">
        <v>0</v>
      </c>
      <c r="X392" s="322">
        <v>46247</v>
      </c>
      <c r="Y392" s="322">
        <v>46249</v>
      </c>
      <c r="Z392" s="323" t="s">
        <v>40</v>
      </c>
      <c r="AA392" s="338" t="s">
        <v>40</v>
      </c>
      <c r="AB392" s="324">
        <v>0</v>
      </c>
      <c r="AC392" s="326">
        <v>46258</v>
      </c>
      <c r="AD392" s="326">
        <v>46265</v>
      </c>
      <c r="AE392" s="327" t="s">
        <v>40</v>
      </c>
      <c r="AF392" s="339" t="s">
        <v>40</v>
      </c>
      <c r="AG392" s="328">
        <v>0</v>
      </c>
      <c r="AH392" s="330">
        <v>46266</v>
      </c>
      <c r="AI392" s="330">
        <v>46269</v>
      </c>
      <c r="AJ392" s="331" t="s">
        <v>165</v>
      </c>
      <c r="AK392" s="333" t="s">
        <v>40</v>
      </c>
      <c r="AL392" s="332">
        <v>0</v>
      </c>
    </row>
    <row r="393" spans="1:38">
      <c r="A393" s="292" t="s">
        <v>670</v>
      </c>
      <c r="B393" s="300" t="s">
        <v>1071</v>
      </c>
      <c r="C393" s="299">
        <v>1</v>
      </c>
      <c r="D393" s="149">
        <v>46195</v>
      </c>
      <c r="E393" s="149">
        <v>46200</v>
      </c>
      <c r="F393" s="308" t="s">
        <v>40</v>
      </c>
      <c r="G393" s="340" t="s">
        <v>1072</v>
      </c>
      <c r="H393" s="372">
        <v>1</v>
      </c>
      <c r="I393" s="169">
        <v>46219</v>
      </c>
      <c r="J393" s="311">
        <v>46231</v>
      </c>
      <c r="K393" s="310" t="s">
        <v>40</v>
      </c>
      <c r="L393" s="345" t="s">
        <v>34</v>
      </c>
      <c r="M393" s="312">
        <v>1</v>
      </c>
      <c r="N393" s="314">
        <v>46219</v>
      </c>
      <c r="O393" s="314">
        <v>46231</v>
      </c>
      <c r="P393" s="315" t="s">
        <v>40</v>
      </c>
      <c r="Q393" s="336" t="s">
        <v>40</v>
      </c>
      <c r="R393" s="316">
        <v>0</v>
      </c>
      <c r="S393" s="318">
        <v>46239</v>
      </c>
      <c r="T393" s="318">
        <v>46246</v>
      </c>
      <c r="U393" s="319" t="s">
        <v>40</v>
      </c>
      <c r="V393" s="337"/>
      <c r="W393" s="320">
        <v>0.2</v>
      </c>
      <c r="X393" s="322">
        <v>46247</v>
      </c>
      <c r="Y393" s="322">
        <v>46249</v>
      </c>
      <c r="Z393" s="323" t="s">
        <v>40</v>
      </c>
      <c r="AA393" s="338" t="s">
        <v>40</v>
      </c>
      <c r="AB393" s="324">
        <v>0</v>
      </c>
      <c r="AC393" s="326">
        <v>46258</v>
      </c>
      <c r="AD393" s="326">
        <v>46265</v>
      </c>
      <c r="AE393" s="327" t="s">
        <v>40</v>
      </c>
      <c r="AF393" s="339" t="s">
        <v>40</v>
      </c>
      <c r="AG393" s="328">
        <v>0</v>
      </c>
      <c r="AH393" s="330">
        <v>46266</v>
      </c>
      <c r="AI393" s="330">
        <v>46269</v>
      </c>
      <c r="AJ393" s="331" t="s">
        <v>165</v>
      </c>
      <c r="AK393" s="333" t="s">
        <v>40</v>
      </c>
      <c r="AL393" s="332">
        <v>0</v>
      </c>
    </row>
    <row r="394" spans="1:38">
      <c r="A394" s="292" t="s">
        <v>670</v>
      </c>
      <c r="B394" s="300" t="s">
        <v>1073</v>
      </c>
      <c r="C394" s="299">
        <v>1</v>
      </c>
      <c r="D394" s="149">
        <v>46195</v>
      </c>
      <c r="E394" s="149">
        <v>46200</v>
      </c>
      <c r="F394" s="308" t="s">
        <v>40</v>
      </c>
      <c r="G394" s="340" t="s">
        <v>709</v>
      </c>
      <c r="H394" s="372">
        <v>0</v>
      </c>
      <c r="I394" s="169">
        <v>46219</v>
      </c>
      <c r="J394" s="311">
        <v>46231</v>
      </c>
      <c r="K394" s="310" t="s">
        <v>40</v>
      </c>
      <c r="L394" s="345" t="s">
        <v>40</v>
      </c>
      <c r="M394" s="312">
        <v>0</v>
      </c>
      <c r="N394" s="314">
        <v>46219</v>
      </c>
      <c r="O394" s="314">
        <v>46231</v>
      </c>
      <c r="P394" s="315" t="s">
        <v>40</v>
      </c>
      <c r="Q394" s="336" t="s">
        <v>40</v>
      </c>
      <c r="R394" s="316">
        <v>0</v>
      </c>
      <c r="S394" s="318">
        <v>46239</v>
      </c>
      <c r="T394" s="318">
        <v>46246</v>
      </c>
      <c r="U394" s="319" t="s">
        <v>40</v>
      </c>
      <c r="V394" s="337" t="s">
        <v>40</v>
      </c>
      <c r="W394" s="320">
        <v>0</v>
      </c>
      <c r="X394" s="322">
        <v>46247</v>
      </c>
      <c r="Y394" s="322">
        <v>46249</v>
      </c>
      <c r="Z394" s="323" t="s">
        <v>40</v>
      </c>
      <c r="AA394" s="338" t="s">
        <v>40</v>
      </c>
      <c r="AB394" s="324">
        <v>0</v>
      </c>
      <c r="AC394" s="326">
        <v>46258</v>
      </c>
      <c r="AD394" s="326">
        <v>46265</v>
      </c>
      <c r="AE394" s="327" t="s">
        <v>40</v>
      </c>
      <c r="AF394" s="339" t="s">
        <v>40</v>
      </c>
      <c r="AG394" s="328">
        <v>0</v>
      </c>
      <c r="AH394" s="330">
        <v>46266</v>
      </c>
      <c r="AI394" s="330">
        <v>46269</v>
      </c>
      <c r="AJ394" s="331" t="s">
        <v>165</v>
      </c>
      <c r="AK394" s="333" t="s">
        <v>40</v>
      </c>
      <c r="AL394" s="332">
        <v>0</v>
      </c>
    </row>
    <row r="395" spans="1:38">
      <c r="A395" s="292" t="s">
        <v>670</v>
      </c>
      <c r="B395" s="300" t="s">
        <v>1074</v>
      </c>
      <c r="C395" s="299">
        <v>1</v>
      </c>
      <c r="D395" s="149">
        <v>46195</v>
      </c>
      <c r="E395" s="149">
        <v>46200</v>
      </c>
      <c r="F395" s="341" t="s">
        <v>40</v>
      </c>
      <c r="G395" s="340" t="s">
        <v>1075</v>
      </c>
      <c r="H395" s="372">
        <v>0</v>
      </c>
      <c r="I395" s="169">
        <v>46219</v>
      </c>
      <c r="J395" s="342">
        <v>46231</v>
      </c>
      <c r="K395" s="344" t="s">
        <v>40</v>
      </c>
      <c r="L395" s="345" t="s">
        <v>1076</v>
      </c>
      <c r="M395" s="346">
        <v>0</v>
      </c>
      <c r="N395" s="347">
        <v>46219</v>
      </c>
      <c r="O395" s="347">
        <v>46231</v>
      </c>
      <c r="P395" s="349" t="s">
        <v>40</v>
      </c>
      <c r="Q395" s="374" t="s">
        <v>1076</v>
      </c>
      <c r="R395" s="350">
        <v>0</v>
      </c>
      <c r="S395" s="352">
        <v>46239</v>
      </c>
      <c r="T395" s="352">
        <v>46246</v>
      </c>
      <c r="U395" s="354" t="s">
        <v>40</v>
      </c>
      <c r="V395" s="376" t="s">
        <v>1076</v>
      </c>
      <c r="W395" s="355">
        <v>0</v>
      </c>
      <c r="X395" s="357">
        <v>46247</v>
      </c>
      <c r="Y395" s="357">
        <v>46249</v>
      </c>
      <c r="Z395" s="359" t="s">
        <v>40</v>
      </c>
      <c r="AA395" s="377" t="s">
        <v>1076</v>
      </c>
      <c r="AB395" s="360">
        <v>0</v>
      </c>
      <c r="AC395" s="362">
        <v>46258</v>
      </c>
      <c r="AD395" s="326">
        <v>46265</v>
      </c>
      <c r="AE395" s="327" t="s">
        <v>40</v>
      </c>
      <c r="AF395" s="378" t="s">
        <v>1077</v>
      </c>
      <c r="AG395" s="366">
        <v>0</v>
      </c>
      <c r="AH395" s="368">
        <v>46266</v>
      </c>
      <c r="AI395" s="368">
        <v>46269</v>
      </c>
      <c r="AJ395" s="369" t="s">
        <v>165</v>
      </c>
      <c r="AK395" s="373" t="s">
        <v>1076</v>
      </c>
      <c r="AL395" s="370">
        <v>0</v>
      </c>
    </row>
    <row r="396" spans="1:38">
      <c r="A396" s="292" t="s">
        <v>670</v>
      </c>
      <c r="B396" s="300" t="s">
        <v>1078</v>
      </c>
      <c r="C396" s="299">
        <v>1</v>
      </c>
      <c r="D396" s="149">
        <v>46195</v>
      </c>
      <c r="E396" s="149">
        <v>46200</v>
      </c>
      <c r="F396" s="341" t="s">
        <v>40</v>
      </c>
      <c r="G396" s="340" t="s">
        <v>1075</v>
      </c>
      <c r="H396" s="372">
        <v>0</v>
      </c>
      <c r="I396" s="169">
        <v>46219</v>
      </c>
      <c r="J396" s="342">
        <v>46231</v>
      </c>
      <c r="K396" s="344" t="s">
        <v>40</v>
      </c>
      <c r="L396" s="345" t="s">
        <v>1076</v>
      </c>
      <c r="M396" s="346">
        <v>0</v>
      </c>
      <c r="N396" s="347">
        <v>46219</v>
      </c>
      <c r="O396" s="347">
        <v>46231</v>
      </c>
      <c r="P396" s="349" t="s">
        <v>40</v>
      </c>
      <c r="Q396" s="374" t="s">
        <v>1076</v>
      </c>
      <c r="R396" s="350">
        <v>0</v>
      </c>
      <c r="S396" s="352">
        <v>46239</v>
      </c>
      <c r="T396" s="352">
        <v>46246</v>
      </c>
      <c r="U396" s="354" t="s">
        <v>40</v>
      </c>
      <c r="V396" s="376" t="s">
        <v>1076</v>
      </c>
      <c r="W396" s="355">
        <v>0</v>
      </c>
      <c r="X396" s="357">
        <v>46247</v>
      </c>
      <c r="Y396" s="357">
        <v>46249</v>
      </c>
      <c r="Z396" s="359" t="s">
        <v>40</v>
      </c>
      <c r="AA396" s="377" t="s">
        <v>1076</v>
      </c>
      <c r="AB396" s="360">
        <v>0</v>
      </c>
      <c r="AC396" s="362">
        <v>46258</v>
      </c>
      <c r="AD396" s="326">
        <v>46265</v>
      </c>
      <c r="AE396" s="327" t="s">
        <v>40</v>
      </c>
      <c r="AF396" s="378" t="s">
        <v>1076</v>
      </c>
      <c r="AG396" s="366">
        <v>0</v>
      </c>
      <c r="AH396" s="368">
        <v>46266</v>
      </c>
      <c r="AI396" s="368">
        <v>46269</v>
      </c>
      <c r="AJ396" s="369" t="s">
        <v>165</v>
      </c>
      <c r="AK396" s="373" t="s">
        <v>1076</v>
      </c>
      <c r="AL396" s="370">
        <v>0</v>
      </c>
    </row>
    <row r="397" spans="1:38">
      <c r="A397" s="292" t="s">
        <v>670</v>
      </c>
      <c r="B397" s="300" t="s">
        <v>1079</v>
      </c>
      <c r="C397" s="299">
        <v>1</v>
      </c>
      <c r="D397" s="149">
        <v>46195</v>
      </c>
      <c r="E397" s="149">
        <v>46200</v>
      </c>
      <c r="F397" s="341" t="s">
        <v>40</v>
      </c>
      <c r="G397" s="340" t="s">
        <v>1075</v>
      </c>
      <c r="H397" s="372">
        <v>0</v>
      </c>
      <c r="I397" s="169">
        <v>46219</v>
      </c>
      <c r="J397" s="342">
        <v>46231</v>
      </c>
      <c r="K397" s="344" t="s">
        <v>40</v>
      </c>
      <c r="L397" s="345" t="s">
        <v>1076</v>
      </c>
      <c r="M397" s="346">
        <v>0</v>
      </c>
      <c r="N397" s="347">
        <v>46219</v>
      </c>
      <c r="O397" s="347">
        <v>46231</v>
      </c>
      <c r="P397" s="349" t="s">
        <v>40</v>
      </c>
      <c r="Q397" s="374" t="s">
        <v>1076</v>
      </c>
      <c r="R397" s="350">
        <v>0</v>
      </c>
      <c r="S397" s="352">
        <v>46239</v>
      </c>
      <c r="T397" s="352">
        <v>46246</v>
      </c>
      <c r="U397" s="354" t="s">
        <v>40</v>
      </c>
      <c r="V397" s="376" t="s">
        <v>1076</v>
      </c>
      <c r="W397" s="355">
        <v>0</v>
      </c>
      <c r="X397" s="357">
        <v>46247</v>
      </c>
      <c r="Y397" s="357">
        <v>46249</v>
      </c>
      <c r="Z397" s="359" t="s">
        <v>40</v>
      </c>
      <c r="AA397" s="377" t="s">
        <v>1076</v>
      </c>
      <c r="AB397" s="360">
        <v>0</v>
      </c>
      <c r="AC397" s="362">
        <v>46258</v>
      </c>
      <c r="AD397" s="326">
        <v>46265</v>
      </c>
      <c r="AE397" s="327" t="s">
        <v>40</v>
      </c>
      <c r="AF397" s="378" t="s">
        <v>1076</v>
      </c>
      <c r="AG397" s="366">
        <v>0</v>
      </c>
      <c r="AH397" s="368">
        <v>46266</v>
      </c>
      <c r="AI397" s="368">
        <v>46269</v>
      </c>
      <c r="AJ397" s="369" t="s">
        <v>165</v>
      </c>
      <c r="AK397" s="373" t="s">
        <v>1076</v>
      </c>
      <c r="AL397" s="370">
        <v>0</v>
      </c>
    </row>
    <row r="398" spans="1:38">
      <c r="A398" s="292" t="s">
        <v>670</v>
      </c>
      <c r="B398" s="300" t="s">
        <v>1080</v>
      </c>
      <c r="C398" s="299">
        <v>1</v>
      </c>
      <c r="D398" s="149">
        <v>46195</v>
      </c>
      <c r="E398" s="149">
        <v>46200</v>
      </c>
      <c r="F398" s="341" t="s">
        <v>40</v>
      </c>
      <c r="G398" s="340" t="s">
        <v>1075</v>
      </c>
      <c r="H398" s="372">
        <v>0</v>
      </c>
      <c r="I398" s="169">
        <v>46219</v>
      </c>
      <c r="J398" s="342">
        <v>46231</v>
      </c>
      <c r="K398" s="344" t="s">
        <v>40</v>
      </c>
      <c r="L398" s="345" t="s">
        <v>1076</v>
      </c>
      <c r="M398" s="346">
        <v>0</v>
      </c>
      <c r="N398" s="347">
        <v>46219</v>
      </c>
      <c r="O398" s="347">
        <v>46231</v>
      </c>
      <c r="P398" s="349" t="s">
        <v>40</v>
      </c>
      <c r="Q398" s="374" t="s">
        <v>1076</v>
      </c>
      <c r="R398" s="350">
        <v>0</v>
      </c>
      <c r="S398" s="352">
        <v>46239</v>
      </c>
      <c r="T398" s="352">
        <v>46246</v>
      </c>
      <c r="U398" s="354" t="s">
        <v>40</v>
      </c>
      <c r="V398" s="376" t="s">
        <v>1076</v>
      </c>
      <c r="W398" s="355">
        <v>0</v>
      </c>
      <c r="X398" s="357">
        <v>46247</v>
      </c>
      <c r="Y398" s="357">
        <v>46249</v>
      </c>
      <c r="Z398" s="359" t="s">
        <v>40</v>
      </c>
      <c r="AA398" s="377" t="s">
        <v>1076</v>
      </c>
      <c r="AB398" s="360">
        <v>0</v>
      </c>
      <c r="AC398" s="362">
        <v>46258</v>
      </c>
      <c r="AD398" s="326">
        <v>46265</v>
      </c>
      <c r="AE398" s="327" t="s">
        <v>40</v>
      </c>
      <c r="AF398" s="378" t="s">
        <v>1076</v>
      </c>
      <c r="AG398" s="366">
        <v>0</v>
      </c>
      <c r="AH398" s="368">
        <v>46266</v>
      </c>
      <c r="AI398" s="368">
        <v>46269</v>
      </c>
      <c r="AJ398" s="369" t="s">
        <v>165</v>
      </c>
      <c r="AK398" s="373" t="s">
        <v>1076</v>
      </c>
      <c r="AL398" s="370">
        <v>0</v>
      </c>
    </row>
    <row r="399" spans="1:38">
      <c r="A399" s="292" t="s">
        <v>670</v>
      </c>
      <c r="B399" s="300" t="s">
        <v>1081</v>
      </c>
      <c r="C399" s="299">
        <v>1</v>
      </c>
      <c r="D399" s="149">
        <v>46195</v>
      </c>
      <c r="E399" s="149">
        <v>46200</v>
      </c>
      <c r="F399" s="341" t="s">
        <v>40</v>
      </c>
      <c r="G399" s="308" t="s">
        <v>479</v>
      </c>
      <c r="H399" s="372">
        <v>0</v>
      </c>
      <c r="I399" s="169">
        <v>46219</v>
      </c>
      <c r="J399" s="342">
        <v>46231</v>
      </c>
      <c r="K399" s="344" t="s">
        <v>40</v>
      </c>
      <c r="L399" s="344" t="s">
        <v>480</v>
      </c>
      <c r="M399" s="346">
        <v>0</v>
      </c>
      <c r="N399" s="347">
        <v>46219</v>
      </c>
      <c r="O399" s="347">
        <v>46231</v>
      </c>
      <c r="P399" s="349" t="s">
        <v>40</v>
      </c>
      <c r="Q399" s="349" t="s">
        <v>480</v>
      </c>
      <c r="R399" s="350">
        <v>0</v>
      </c>
      <c r="S399" s="352">
        <v>46239</v>
      </c>
      <c r="T399" s="352">
        <v>46246</v>
      </c>
      <c r="U399" s="354" t="s">
        <v>40</v>
      </c>
      <c r="V399" s="354" t="s">
        <v>480</v>
      </c>
      <c r="W399" s="355">
        <v>0</v>
      </c>
      <c r="X399" s="357">
        <v>46247</v>
      </c>
      <c r="Y399" s="357">
        <v>46249</v>
      </c>
      <c r="Z399" s="359" t="s">
        <v>40</v>
      </c>
      <c r="AA399" s="359" t="s">
        <v>480</v>
      </c>
      <c r="AB399" s="360">
        <v>0</v>
      </c>
      <c r="AC399" s="362">
        <v>46258</v>
      </c>
      <c r="AD399" s="326">
        <v>46265</v>
      </c>
      <c r="AE399" s="327" t="s">
        <v>40</v>
      </c>
      <c r="AF399" s="339" t="s">
        <v>40</v>
      </c>
      <c r="AG399" s="366">
        <v>0</v>
      </c>
      <c r="AH399" s="368">
        <v>46266</v>
      </c>
      <c r="AI399" s="368">
        <v>46269</v>
      </c>
      <c r="AJ399" s="369" t="s">
        <v>165</v>
      </c>
      <c r="AK399" s="373" t="s">
        <v>480</v>
      </c>
      <c r="AL399" s="370">
        <v>0</v>
      </c>
    </row>
    <row r="400" spans="1:38">
      <c r="A400" s="292" t="s">
        <v>670</v>
      </c>
      <c r="B400" s="300" t="s">
        <v>1082</v>
      </c>
      <c r="C400" s="299">
        <v>1</v>
      </c>
      <c r="D400" s="149">
        <v>46195</v>
      </c>
      <c r="E400" s="149">
        <v>46200</v>
      </c>
      <c r="F400" s="308" t="s">
        <v>40</v>
      </c>
      <c r="G400" s="340" t="s">
        <v>40</v>
      </c>
      <c r="H400" s="372">
        <v>0</v>
      </c>
      <c r="I400" s="169">
        <v>46219</v>
      </c>
      <c r="J400" s="311">
        <v>46231</v>
      </c>
      <c r="K400" s="310" t="s">
        <v>40</v>
      </c>
      <c r="L400" s="345" t="s">
        <v>40</v>
      </c>
      <c r="M400" s="312">
        <v>0</v>
      </c>
      <c r="N400" s="314">
        <v>46219</v>
      </c>
      <c r="O400" s="314">
        <v>46231</v>
      </c>
      <c r="P400" s="315" t="s">
        <v>40</v>
      </c>
      <c r="Q400" s="336" t="s">
        <v>40</v>
      </c>
      <c r="R400" s="316">
        <v>0</v>
      </c>
      <c r="S400" s="318">
        <v>46239</v>
      </c>
      <c r="T400" s="318">
        <v>46246</v>
      </c>
      <c r="U400" s="319" t="s">
        <v>40</v>
      </c>
      <c r="V400" s="337" t="s">
        <v>40</v>
      </c>
      <c r="W400" s="320">
        <v>0</v>
      </c>
      <c r="X400" s="322">
        <v>46247</v>
      </c>
      <c r="Y400" s="322">
        <v>46249</v>
      </c>
      <c r="Z400" s="323" t="s">
        <v>40</v>
      </c>
      <c r="AA400" s="338" t="s">
        <v>40</v>
      </c>
      <c r="AB400" s="324">
        <v>0</v>
      </c>
      <c r="AC400" s="326">
        <v>46258</v>
      </c>
      <c r="AD400" s="326">
        <v>46265</v>
      </c>
      <c r="AE400" s="327" t="s">
        <v>40</v>
      </c>
      <c r="AF400" s="339" t="s">
        <v>40</v>
      </c>
      <c r="AG400" s="328">
        <v>0</v>
      </c>
      <c r="AH400" s="330">
        <v>46266</v>
      </c>
      <c r="AI400" s="330">
        <v>46269</v>
      </c>
      <c r="AJ400" s="331" t="s">
        <v>165</v>
      </c>
      <c r="AK400" s="333" t="s">
        <v>40</v>
      </c>
      <c r="AL400" s="332">
        <v>0</v>
      </c>
    </row>
    <row r="401" spans="1:38">
      <c r="A401" s="137" t="s">
        <v>10</v>
      </c>
      <c r="B401" s="298" t="s">
        <v>422</v>
      </c>
      <c r="C401" s="298">
        <f>SUM(C3:C400)</f>
        <v>398</v>
      </c>
      <c r="D401" s="150" t="s">
        <v>422</v>
      </c>
      <c r="E401" s="150" t="s">
        <v>422</v>
      </c>
      <c r="F401" s="341"/>
      <c r="G401" s="379" t="s">
        <v>422</v>
      </c>
      <c r="H401" s="372">
        <f>AVERAGE(H3:H400)</f>
        <v>0.16570351758793972</v>
      </c>
      <c r="I401" s="178" t="s">
        <v>422</v>
      </c>
      <c r="J401" s="343" t="s">
        <v>422</v>
      </c>
      <c r="K401" s="344"/>
      <c r="L401" s="344" t="s">
        <v>422</v>
      </c>
      <c r="M401" s="346">
        <f>AVERAGE(M3:M400)</f>
        <v>0.15351758793969844</v>
      </c>
      <c r="N401" s="348" t="s">
        <v>422</v>
      </c>
      <c r="O401" s="348" t="s">
        <v>422</v>
      </c>
      <c r="P401" s="349"/>
      <c r="Q401" s="349" t="s">
        <v>422</v>
      </c>
      <c r="R401" s="351">
        <f>AVERAGE(R3:R400)</f>
        <v>4.1457286432160803E-2</v>
      </c>
      <c r="S401" s="353" t="s">
        <v>422</v>
      </c>
      <c r="T401" s="353" t="s">
        <v>422</v>
      </c>
      <c r="U401" s="354"/>
      <c r="V401" s="354"/>
      <c r="W401" s="356">
        <f>AVERAGE(W3:W400)</f>
        <v>3.0402010050251258E-2</v>
      </c>
      <c r="X401" s="358"/>
      <c r="Y401" s="358"/>
      <c r="Z401" s="359"/>
      <c r="AA401" s="359"/>
      <c r="AB401" s="361">
        <f>AVERAGE(AB3:AB400)</f>
        <v>0</v>
      </c>
      <c r="AC401" s="363"/>
      <c r="AD401" s="364"/>
      <c r="AE401" s="327"/>
      <c r="AF401" s="365"/>
      <c r="AG401" s="367">
        <f>AVERAGE(AG3:AG400)</f>
        <v>0</v>
      </c>
      <c r="AH401" s="369"/>
      <c r="AI401" s="369"/>
      <c r="AJ401" s="369"/>
      <c r="AK401" s="369"/>
      <c r="AL401" s="371">
        <f>AVERAGE(AL3:AL400)</f>
        <v>2.3090452261306536E-2</v>
      </c>
    </row>
    <row r="404" spans="1:38" ht="18.600000000000001">
      <c r="A404" s="180" t="s">
        <v>228</v>
      </c>
      <c r="B404" s="301"/>
      <c r="C404" s="301"/>
      <c r="D404"/>
      <c r="E404"/>
    </row>
    <row r="405" spans="1:38">
      <c r="A405" s="181" t="s">
        <v>172</v>
      </c>
      <c r="B405" s="302" t="s">
        <v>173</v>
      </c>
      <c r="C405" s="302" t="s">
        <v>174</v>
      </c>
      <c r="D405" s="182" t="s">
        <v>34</v>
      </c>
      <c r="E405" s="182" t="s">
        <v>175</v>
      </c>
      <c r="AL405" s="127" t="s">
        <v>1083</v>
      </c>
    </row>
    <row r="406" spans="1:38">
      <c r="A406" s="146" t="s">
        <v>176</v>
      </c>
      <c r="B406" s="303">
        <v>0.1</v>
      </c>
      <c r="C406" s="305">
        <f>398*B406</f>
        <v>39.800000000000004</v>
      </c>
      <c r="D406" s="147">
        <f>SUM(H203:H401)*0.1</f>
        <v>2.9165703517587942</v>
      </c>
      <c r="E406" s="183">
        <f>D406/C406</f>
        <v>7.3280662104492314E-2</v>
      </c>
    </row>
    <row r="407" spans="1:38">
      <c r="A407" s="284" t="s">
        <v>177</v>
      </c>
      <c r="B407" s="303">
        <v>0.3</v>
      </c>
      <c r="C407" s="305">
        <f t="shared" ref="C407:C412" si="0">398*B407</f>
        <v>119.39999999999999</v>
      </c>
      <c r="D407" s="147">
        <f>SUM(M203:M401)*0.3</f>
        <v>8.3860552763819101</v>
      </c>
      <c r="E407" s="183">
        <f t="shared" ref="E407:E412" si="1">D407/C407</f>
        <v>7.0234968813918844E-2</v>
      </c>
    </row>
    <row r="408" spans="1:38">
      <c r="A408" s="146" t="s">
        <v>178</v>
      </c>
      <c r="B408" s="303">
        <v>0.1</v>
      </c>
      <c r="C408" s="305">
        <f t="shared" si="0"/>
        <v>39.800000000000004</v>
      </c>
      <c r="D408" s="147">
        <f>SUM(R203:R401)*0.1</f>
        <v>4.1457286432160807E-3</v>
      </c>
      <c r="E408" s="183">
        <f t="shared" si="1"/>
        <v>1.0416403626171055E-4</v>
      </c>
    </row>
    <row r="409" spans="1:38">
      <c r="A409" s="146" t="s">
        <v>161</v>
      </c>
      <c r="B409" s="303">
        <v>0.2</v>
      </c>
      <c r="C409" s="305">
        <f t="shared" si="0"/>
        <v>79.600000000000009</v>
      </c>
      <c r="D409" s="147">
        <f>SUM(W203:W401)*0.2</f>
        <v>0.44608040201005034</v>
      </c>
      <c r="E409" s="183">
        <f t="shared" si="1"/>
        <v>5.6040251508800284E-3</v>
      </c>
    </row>
    <row r="410" spans="1:38">
      <c r="A410" s="146" t="s">
        <v>162</v>
      </c>
      <c r="B410" s="303">
        <v>0.05</v>
      </c>
      <c r="C410" s="305">
        <f t="shared" si="0"/>
        <v>19.900000000000002</v>
      </c>
      <c r="D410" s="147">
        <f>SUM(AB203:AB401)*0.05</f>
        <v>0</v>
      </c>
      <c r="E410" s="183">
        <f t="shared" si="1"/>
        <v>0</v>
      </c>
    </row>
    <row r="411" spans="1:38">
      <c r="A411" s="146" t="s">
        <v>163</v>
      </c>
      <c r="B411" s="303">
        <v>0.2</v>
      </c>
      <c r="C411" s="305">
        <f t="shared" si="0"/>
        <v>79.600000000000009</v>
      </c>
      <c r="D411" s="147">
        <f>SUM(AG203:AG401)*0.2</f>
        <v>0</v>
      </c>
      <c r="E411" s="183">
        <f t="shared" si="1"/>
        <v>0</v>
      </c>
    </row>
    <row r="412" spans="1:38">
      <c r="A412" s="146" t="s">
        <v>164</v>
      </c>
      <c r="B412" s="303">
        <v>0.05</v>
      </c>
      <c r="C412" s="305">
        <f t="shared" si="0"/>
        <v>19.900000000000002</v>
      </c>
      <c r="D412" s="147">
        <f>SUM(AL203:AL401)*0.05</f>
        <v>5.5654522613065333E-2</v>
      </c>
      <c r="E412" s="183">
        <f t="shared" si="1"/>
        <v>2.7967096790485089E-3</v>
      </c>
    </row>
    <row r="413" spans="1:38">
      <c r="A413" s="137" t="s">
        <v>179</v>
      </c>
      <c r="B413" s="304">
        <f>SUM(B406:B412)</f>
        <v>1</v>
      </c>
      <c r="C413" s="298">
        <f>SUM(C406:C412)</f>
        <v>398</v>
      </c>
      <c r="D413" s="138">
        <f>SUM(D406:D412)</f>
        <v>11.808506281407036</v>
      </c>
      <c r="E413" s="184">
        <f>D413/C413</f>
        <v>2.9669613772379488E-2</v>
      </c>
    </row>
  </sheetData>
  <autoFilter ref="A2:AQ401" xr:uid="{E0B31793-63D4-4EFE-838E-1A4CA4CFF3A6}"/>
  <mergeCells count="8">
    <mergeCell ref="AH1:AL1"/>
    <mergeCell ref="AM1:AP1"/>
    <mergeCell ref="D1:H1"/>
    <mergeCell ref="I1:M1"/>
    <mergeCell ref="N1:R1"/>
    <mergeCell ref="S1:W1"/>
    <mergeCell ref="X1:AB1"/>
    <mergeCell ref="AC1:A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5BB7-347C-4647-A451-8F6909F98C19}">
  <dimension ref="A1:AQ37"/>
  <sheetViews>
    <sheetView workbookViewId="0">
      <selection activeCell="G31" sqref="G31"/>
    </sheetView>
  </sheetViews>
  <sheetFormatPr defaultRowHeight="15"/>
  <cols>
    <col min="1" max="1" width="20.85546875" customWidth="1"/>
    <col min="4" max="4" width="12.5703125" customWidth="1"/>
    <col min="5" max="5" width="11.42578125" customWidth="1"/>
    <col min="6" max="6" width="14.7109375" customWidth="1"/>
    <col min="7" max="7" width="31" customWidth="1"/>
    <col min="8" max="8" width="13.5703125" customWidth="1"/>
    <col min="9" max="9" width="15.28515625" customWidth="1"/>
    <col min="10" max="10" width="12" customWidth="1"/>
    <col min="11" max="11" width="13.85546875" customWidth="1"/>
    <col min="12" max="12" width="42.42578125" customWidth="1"/>
    <col min="13" max="13" width="12.7109375" customWidth="1"/>
    <col min="14" max="15" width="12" customWidth="1"/>
    <col min="16" max="16" width="19.28515625" customWidth="1"/>
    <col min="17" max="17" width="34.28515625" customWidth="1"/>
    <col min="18" max="18" width="14.28515625" customWidth="1"/>
    <col min="19" max="20" width="12.28515625" customWidth="1"/>
    <col min="21" max="21" width="18.140625" customWidth="1"/>
    <col min="22" max="22" width="33.85546875" customWidth="1"/>
    <col min="23" max="23" width="12.7109375" customWidth="1"/>
    <col min="24" max="25" width="12.42578125" customWidth="1"/>
    <col min="26" max="26" width="14.85546875" customWidth="1"/>
    <col min="27" max="27" width="30" customWidth="1"/>
    <col min="28" max="28" width="14.85546875" customWidth="1"/>
    <col min="29" max="30" width="12.42578125" customWidth="1"/>
    <col min="31" max="31" width="15.5703125" customWidth="1"/>
    <col min="32" max="32" width="34.7109375" customWidth="1"/>
    <col min="33" max="33" width="15.5703125" customWidth="1"/>
    <col min="34" max="35" width="13.7109375" customWidth="1"/>
    <col min="36" max="36" width="19.5703125" customWidth="1"/>
    <col min="37" max="37" width="31.7109375" customWidth="1"/>
    <col min="38" max="38" width="14" customWidth="1"/>
    <col min="39" max="40" width="14.85546875" customWidth="1"/>
    <col min="41" max="41" width="29.28515625" customWidth="1"/>
    <col min="42" max="42" width="14.5703125" customWidth="1"/>
  </cols>
  <sheetData>
    <row r="1" spans="1:43" ht="18.75">
      <c r="A1" s="135" t="s">
        <v>1</v>
      </c>
      <c r="B1" s="297" t="s">
        <v>25</v>
      </c>
      <c r="C1" s="297" t="s">
        <v>26</v>
      </c>
      <c r="D1" s="530" t="s">
        <v>180</v>
      </c>
      <c r="E1" s="531"/>
      <c r="F1" s="481"/>
      <c r="G1" s="531"/>
      <c r="H1" s="532"/>
      <c r="I1" s="502" t="s">
        <v>181</v>
      </c>
      <c r="J1" s="498"/>
      <c r="K1" s="498"/>
      <c r="L1" s="503"/>
      <c r="M1" s="499"/>
      <c r="N1" s="483" t="s">
        <v>182</v>
      </c>
      <c r="O1" s="484"/>
      <c r="P1" s="484"/>
      <c r="Q1" s="484"/>
      <c r="R1" s="485"/>
      <c r="S1" s="486" t="s">
        <v>183</v>
      </c>
      <c r="T1" s="486"/>
      <c r="U1" s="486"/>
      <c r="V1" s="486"/>
      <c r="W1" s="487"/>
      <c r="X1" s="488" t="s">
        <v>184</v>
      </c>
      <c r="Y1" s="489"/>
      <c r="Z1" s="489"/>
      <c r="AA1" s="489"/>
      <c r="AB1" s="490"/>
      <c r="AC1" s="491" t="s">
        <v>421</v>
      </c>
      <c r="AD1" s="492"/>
      <c r="AE1" s="492"/>
      <c r="AF1" s="492"/>
      <c r="AG1" s="493"/>
      <c r="AH1" s="494" t="s">
        <v>229</v>
      </c>
      <c r="AI1" s="495"/>
      <c r="AJ1" s="495"/>
      <c r="AK1" s="529"/>
      <c r="AL1" s="496"/>
      <c r="AM1" s="544" t="s">
        <v>166</v>
      </c>
      <c r="AN1" s="544"/>
      <c r="AO1" s="544"/>
      <c r="AP1" s="545"/>
      <c r="AQ1" s="1"/>
    </row>
    <row r="2" spans="1:43" ht="15.75">
      <c r="A2" s="137" t="s">
        <v>422</v>
      </c>
      <c r="B2" s="298" t="s">
        <v>422</v>
      </c>
      <c r="C2" s="298" t="s">
        <v>422</v>
      </c>
      <c r="D2" s="285"/>
      <c r="E2" s="285"/>
      <c r="F2" s="307" t="s">
        <v>30</v>
      </c>
      <c r="G2" s="307" t="s">
        <v>187</v>
      </c>
      <c r="H2" s="285" t="s">
        <v>31</v>
      </c>
      <c r="I2" s="286" t="s">
        <v>28</v>
      </c>
      <c r="J2" s="309" t="s">
        <v>29</v>
      </c>
      <c r="K2" s="309" t="s">
        <v>30</v>
      </c>
      <c r="L2" s="286" t="s">
        <v>187</v>
      </c>
      <c r="M2" s="309" t="s">
        <v>31</v>
      </c>
      <c r="N2" s="313" t="s">
        <v>28</v>
      </c>
      <c r="O2" s="313" t="s">
        <v>29</v>
      </c>
      <c r="P2" s="313" t="s">
        <v>30</v>
      </c>
      <c r="Q2" s="313" t="s">
        <v>187</v>
      </c>
      <c r="R2" s="313" t="s">
        <v>31</v>
      </c>
      <c r="S2" s="317" t="s">
        <v>28</v>
      </c>
      <c r="T2" s="317" t="s">
        <v>29</v>
      </c>
      <c r="U2" s="317" t="s">
        <v>30</v>
      </c>
      <c r="V2" s="317" t="s">
        <v>187</v>
      </c>
      <c r="W2" s="317" t="s">
        <v>31</v>
      </c>
      <c r="X2" s="321" t="s">
        <v>28</v>
      </c>
      <c r="Y2" s="321" t="s">
        <v>29</v>
      </c>
      <c r="Z2" s="321" t="s">
        <v>30</v>
      </c>
      <c r="AA2" s="321" t="s">
        <v>187</v>
      </c>
      <c r="AB2" s="321" t="s">
        <v>31</v>
      </c>
      <c r="AC2" s="325" t="s">
        <v>28</v>
      </c>
      <c r="AD2" s="325" t="s">
        <v>29</v>
      </c>
      <c r="AE2" s="325" t="s">
        <v>30</v>
      </c>
      <c r="AF2" s="325" t="s">
        <v>187</v>
      </c>
      <c r="AG2" s="325" t="s">
        <v>31</v>
      </c>
      <c r="AH2" s="329" t="s">
        <v>28</v>
      </c>
      <c r="AI2" s="329" t="s">
        <v>29</v>
      </c>
      <c r="AJ2" s="329" t="s">
        <v>30</v>
      </c>
      <c r="AK2" s="329" t="s">
        <v>187</v>
      </c>
      <c r="AL2" s="329" t="s">
        <v>31</v>
      </c>
      <c r="AM2" s="145" t="s">
        <v>28</v>
      </c>
      <c r="AN2" s="145" t="s">
        <v>29</v>
      </c>
      <c r="AO2" s="145" t="s">
        <v>30</v>
      </c>
      <c r="AP2" s="145" t="s">
        <v>31</v>
      </c>
      <c r="AQ2" s="1"/>
    </row>
    <row r="3" spans="1:43">
      <c r="A3" s="292" t="s">
        <v>1084</v>
      </c>
      <c r="B3" s="443">
        <v>9005</v>
      </c>
      <c r="C3" s="299">
        <v>1</v>
      </c>
      <c r="D3" s="149"/>
      <c r="E3" s="149"/>
      <c r="F3" s="308" t="s">
        <v>40</v>
      </c>
      <c r="G3" s="340" t="s">
        <v>479</v>
      </c>
      <c r="H3" s="372">
        <v>0</v>
      </c>
      <c r="I3" s="169"/>
      <c r="J3" s="311"/>
      <c r="K3" s="335" t="s">
        <v>40</v>
      </c>
      <c r="L3" s="345" t="s">
        <v>40</v>
      </c>
      <c r="M3" s="312">
        <v>0</v>
      </c>
      <c r="N3" s="314">
        <v>46219</v>
      </c>
      <c r="O3" s="314">
        <v>46231</v>
      </c>
      <c r="P3" s="315" t="s">
        <v>40</v>
      </c>
      <c r="Q3" s="336" t="s">
        <v>40</v>
      </c>
      <c r="R3" s="316">
        <v>0</v>
      </c>
      <c r="S3" s="318">
        <v>46232</v>
      </c>
      <c r="T3" s="318">
        <v>46238</v>
      </c>
      <c r="U3" s="319" t="s">
        <v>40</v>
      </c>
      <c r="V3" s="337" t="s">
        <v>40</v>
      </c>
      <c r="W3" s="320">
        <v>0</v>
      </c>
      <c r="X3" s="322">
        <v>46247</v>
      </c>
      <c r="Y3" s="322">
        <v>46249</v>
      </c>
      <c r="Z3" s="323" t="s">
        <v>40</v>
      </c>
      <c r="AA3" s="338" t="s">
        <v>40</v>
      </c>
      <c r="AB3" s="324">
        <v>0</v>
      </c>
      <c r="AC3" s="326">
        <v>46250</v>
      </c>
      <c r="AD3" s="326">
        <v>46257</v>
      </c>
      <c r="AE3" s="327" t="s">
        <v>40</v>
      </c>
      <c r="AF3" s="339" t="s">
        <v>40</v>
      </c>
      <c r="AG3" s="328">
        <v>0</v>
      </c>
      <c r="AH3" s="330">
        <v>46266</v>
      </c>
      <c r="AI3" s="330">
        <v>46269</v>
      </c>
      <c r="AJ3" s="331" t="s">
        <v>165</v>
      </c>
      <c r="AK3" s="333" t="s">
        <v>40</v>
      </c>
      <c r="AL3" s="332">
        <v>0</v>
      </c>
      <c r="AM3" s="169">
        <v>46332</v>
      </c>
      <c r="AN3" s="169">
        <v>46338</v>
      </c>
      <c r="AO3" s="168" t="s">
        <v>40</v>
      </c>
      <c r="AP3" s="170">
        <v>0</v>
      </c>
    </row>
    <row r="4" spans="1:43">
      <c r="A4" s="292" t="s">
        <v>1084</v>
      </c>
      <c r="B4" s="444">
        <v>9010</v>
      </c>
      <c r="C4" s="299">
        <v>1</v>
      </c>
      <c r="D4" s="149"/>
      <c r="E4" s="149"/>
      <c r="F4" s="308" t="s">
        <v>40</v>
      </c>
      <c r="G4" s="340" t="s">
        <v>479</v>
      </c>
      <c r="H4" s="372">
        <v>0</v>
      </c>
      <c r="I4" s="169"/>
      <c r="J4" s="311"/>
      <c r="K4" s="310" t="s">
        <v>40</v>
      </c>
      <c r="L4" s="345" t="s">
        <v>40</v>
      </c>
      <c r="M4" s="312">
        <v>0</v>
      </c>
      <c r="N4" s="314">
        <v>46219</v>
      </c>
      <c r="O4" s="314">
        <v>46231</v>
      </c>
      <c r="P4" s="315" t="s">
        <v>40</v>
      </c>
      <c r="Q4" s="336" t="s">
        <v>40</v>
      </c>
      <c r="R4" s="316">
        <v>0</v>
      </c>
      <c r="S4" s="318">
        <v>46232</v>
      </c>
      <c r="T4" s="318">
        <v>46238</v>
      </c>
      <c r="U4" s="319" t="s">
        <v>40</v>
      </c>
      <c r="V4" s="337" t="s">
        <v>40</v>
      </c>
      <c r="W4" s="320">
        <v>0</v>
      </c>
      <c r="X4" s="322">
        <v>46247</v>
      </c>
      <c r="Y4" s="322">
        <v>46249</v>
      </c>
      <c r="Z4" s="323" t="s">
        <v>40</v>
      </c>
      <c r="AA4" s="338" t="s">
        <v>40</v>
      </c>
      <c r="AB4" s="324">
        <v>0</v>
      </c>
      <c r="AC4" s="326">
        <v>46250</v>
      </c>
      <c r="AD4" s="326">
        <v>46257</v>
      </c>
      <c r="AE4" s="327" t="s">
        <v>40</v>
      </c>
      <c r="AF4" s="339" t="s">
        <v>40</v>
      </c>
      <c r="AG4" s="328">
        <v>0</v>
      </c>
      <c r="AH4" s="330">
        <v>46266</v>
      </c>
      <c r="AI4" s="330">
        <v>46269</v>
      </c>
      <c r="AJ4" s="331" t="s">
        <v>165</v>
      </c>
      <c r="AK4" s="333" t="s">
        <v>40</v>
      </c>
      <c r="AL4" s="332">
        <v>0</v>
      </c>
      <c r="AM4" s="169">
        <v>46332</v>
      </c>
      <c r="AN4" s="169">
        <v>46338</v>
      </c>
      <c r="AO4" s="168" t="s">
        <v>40</v>
      </c>
      <c r="AP4" s="170">
        <v>0</v>
      </c>
    </row>
    <row r="5" spans="1:43">
      <c r="A5" s="292" t="s">
        <v>1084</v>
      </c>
      <c r="B5" s="444">
        <v>9015</v>
      </c>
      <c r="C5" s="299">
        <v>1</v>
      </c>
      <c r="D5" s="149"/>
      <c r="E5" s="149"/>
      <c r="F5" s="341" t="s">
        <v>40</v>
      </c>
      <c r="G5" s="340" t="s">
        <v>479</v>
      </c>
      <c r="H5" s="372">
        <v>0</v>
      </c>
      <c r="I5" s="169"/>
      <c r="J5" s="342"/>
      <c r="K5" s="344" t="s">
        <v>40</v>
      </c>
      <c r="L5" s="345" t="s">
        <v>40</v>
      </c>
      <c r="M5" s="346">
        <v>0</v>
      </c>
      <c r="N5" s="347">
        <v>46219</v>
      </c>
      <c r="O5" s="347">
        <v>46231</v>
      </c>
      <c r="P5" s="349" t="s">
        <v>40</v>
      </c>
      <c r="Q5" s="374" t="s">
        <v>676</v>
      </c>
      <c r="R5" s="350">
        <v>0</v>
      </c>
      <c r="S5" s="352">
        <v>46232</v>
      </c>
      <c r="T5" s="352">
        <v>46238</v>
      </c>
      <c r="U5" s="354" t="s">
        <v>40</v>
      </c>
      <c r="V5" s="376" t="s">
        <v>676</v>
      </c>
      <c r="W5" s="355">
        <v>0</v>
      </c>
      <c r="X5" s="357">
        <v>46247</v>
      </c>
      <c r="Y5" s="357">
        <v>46249</v>
      </c>
      <c r="Z5" s="359" t="s">
        <v>40</v>
      </c>
      <c r="AA5" s="377" t="s">
        <v>676</v>
      </c>
      <c r="AB5" s="360">
        <v>0</v>
      </c>
      <c r="AC5" s="362">
        <v>46250</v>
      </c>
      <c r="AD5" s="326">
        <v>46257</v>
      </c>
      <c r="AE5" s="327" t="s">
        <v>40</v>
      </c>
      <c r="AF5" s="339" t="s">
        <v>40</v>
      </c>
      <c r="AG5" s="366">
        <v>0</v>
      </c>
      <c r="AH5" s="368">
        <v>46266</v>
      </c>
      <c r="AI5" s="368">
        <v>46269</v>
      </c>
      <c r="AJ5" s="369" t="s">
        <v>165</v>
      </c>
      <c r="AK5" s="333" t="s">
        <v>40</v>
      </c>
      <c r="AL5" s="370">
        <v>0</v>
      </c>
      <c r="AM5" s="169">
        <v>46332</v>
      </c>
      <c r="AN5" s="169">
        <v>46338</v>
      </c>
      <c r="AO5" s="168" t="s">
        <v>40</v>
      </c>
      <c r="AP5" s="170">
        <v>0</v>
      </c>
    </row>
    <row r="6" spans="1:43">
      <c r="A6" s="292" t="s">
        <v>1084</v>
      </c>
      <c r="B6" s="444">
        <v>9018</v>
      </c>
      <c r="C6" s="299">
        <v>1</v>
      </c>
      <c r="D6" s="149"/>
      <c r="E6" s="149"/>
      <c r="F6" s="341" t="s">
        <v>40</v>
      </c>
      <c r="G6" s="340" t="s">
        <v>479</v>
      </c>
      <c r="H6" s="372">
        <v>0</v>
      </c>
      <c r="I6" s="169"/>
      <c r="J6" s="342"/>
      <c r="K6" s="344" t="s">
        <v>40</v>
      </c>
      <c r="L6" s="345" t="s">
        <v>40</v>
      </c>
      <c r="M6" s="346">
        <v>0</v>
      </c>
      <c r="N6" s="347">
        <v>46219</v>
      </c>
      <c r="O6" s="347">
        <v>46231</v>
      </c>
      <c r="P6" s="349" t="s">
        <v>40</v>
      </c>
      <c r="Q6" s="374" t="s">
        <v>676</v>
      </c>
      <c r="R6" s="350">
        <v>0</v>
      </c>
      <c r="S6" s="352">
        <v>46232</v>
      </c>
      <c r="T6" s="352">
        <v>46238</v>
      </c>
      <c r="U6" s="354" t="s">
        <v>40</v>
      </c>
      <c r="V6" s="376" t="s">
        <v>676</v>
      </c>
      <c r="W6" s="355">
        <v>0</v>
      </c>
      <c r="X6" s="357">
        <v>46247</v>
      </c>
      <c r="Y6" s="357">
        <v>46249</v>
      </c>
      <c r="Z6" s="359" t="s">
        <v>40</v>
      </c>
      <c r="AA6" s="377" t="s">
        <v>676</v>
      </c>
      <c r="AB6" s="360">
        <v>0</v>
      </c>
      <c r="AC6" s="362">
        <v>46250</v>
      </c>
      <c r="AD6" s="326">
        <v>46257</v>
      </c>
      <c r="AE6" s="327" t="s">
        <v>40</v>
      </c>
      <c r="AF6" s="339" t="s">
        <v>40</v>
      </c>
      <c r="AG6" s="366">
        <v>0</v>
      </c>
      <c r="AH6" s="368">
        <v>46266</v>
      </c>
      <c r="AI6" s="368">
        <v>46269</v>
      </c>
      <c r="AJ6" s="369" t="s">
        <v>165</v>
      </c>
      <c r="AK6" s="333" t="s">
        <v>40</v>
      </c>
      <c r="AL6" s="370">
        <v>0</v>
      </c>
      <c r="AM6" s="169">
        <v>46332</v>
      </c>
      <c r="AN6" s="169">
        <v>46338</v>
      </c>
      <c r="AO6" s="168" t="s">
        <v>40</v>
      </c>
      <c r="AP6" s="170">
        <v>0</v>
      </c>
    </row>
    <row r="7" spans="1:43">
      <c r="A7" s="292" t="s">
        <v>1084</v>
      </c>
      <c r="B7" s="444">
        <v>9020</v>
      </c>
      <c r="C7" s="299">
        <v>1</v>
      </c>
      <c r="D7" s="149"/>
      <c r="E7" s="149"/>
      <c r="F7" s="341" t="s">
        <v>40</v>
      </c>
      <c r="G7" s="340" t="s">
        <v>479</v>
      </c>
      <c r="H7" s="372">
        <v>0</v>
      </c>
      <c r="I7" s="169"/>
      <c r="J7" s="342"/>
      <c r="K7" s="344" t="s">
        <v>40</v>
      </c>
      <c r="L7" s="345" t="s">
        <v>40</v>
      </c>
      <c r="M7" s="346">
        <v>0</v>
      </c>
      <c r="N7" s="347">
        <v>46219</v>
      </c>
      <c r="O7" s="347">
        <v>46231</v>
      </c>
      <c r="P7" s="349" t="s">
        <v>40</v>
      </c>
      <c r="Q7" s="349" t="s">
        <v>480</v>
      </c>
      <c r="R7" s="350">
        <v>0</v>
      </c>
      <c r="S7" s="352">
        <v>46232</v>
      </c>
      <c r="T7" s="352">
        <v>46238</v>
      </c>
      <c r="U7" s="354" t="s">
        <v>40</v>
      </c>
      <c r="V7" s="354" t="s">
        <v>480</v>
      </c>
      <c r="W7" s="355">
        <v>0</v>
      </c>
      <c r="X7" s="357">
        <v>46247</v>
      </c>
      <c r="Y7" s="357">
        <v>46249</v>
      </c>
      <c r="Z7" s="359" t="s">
        <v>40</v>
      </c>
      <c r="AA7" s="359" t="s">
        <v>480</v>
      </c>
      <c r="AB7" s="360">
        <v>0</v>
      </c>
      <c r="AC7" s="362">
        <v>46250</v>
      </c>
      <c r="AD7" s="326">
        <v>46257</v>
      </c>
      <c r="AE7" s="327" t="s">
        <v>40</v>
      </c>
      <c r="AF7" s="339" t="s">
        <v>40</v>
      </c>
      <c r="AG7" s="366">
        <v>0</v>
      </c>
      <c r="AH7" s="368">
        <v>46266</v>
      </c>
      <c r="AI7" s="368">
        <v>46269</v>
      </c>
      <c r="AJ7" s="369" t="s">
        <v>165</v>
      </c>
      <c r="AK7" s="333" t="s">
        <v>40</v>
      </c>
      <c r="AL7" s="370">
        <v>0</v>
      </c>
      <c r="AM7" s="169">
        <v>46332</v>
      </c>
      <c r="AN7" s="169">
        <v>46338</v>
      </c>
      <c r="AO7" s="168" t="s">
        <v>40</v>
      </c>
      <c r="AP7" s="170">
        <v>0</v>
      </c>
    </row>
    <row r="8" spans="1:43">
      <c r="A8" s="292" t="s">
        <v>1084</v>
      </c>
      <c r="B8" s="444">
        <v>9025</v>
      </c>
      <c r="C8" s="299">
        <v>1</v>
      </c>
      <c r="D8" s="149"/>
      <c r="E8" s="149"/>
      <c r="F8" s="375" t="s">
        <v>34</v>
      </c>
      <c r="G8" s="340" t="s">
        <v>479</v>
      </c>
      <c r="H8" s="372">
        <v>0</v>
      </c>
      <c r="I8" s="169"/>
      <c r="J8" s="342"/>
      <c r="K8" s="344" t="s">
        <v>681</v>
      </c>
      <c r="L8" s="345" t="s">
        <v>40</v>
      </c>
      <c r="M8" s="346">
        <v>0</v>
      </c>
      <c r="N8" s="347">
        <v>46219</v>
      </c>
      <c r="O8" s="347">
        <v>46231</v>
      </c>
      <c r="P8" s="374" t="s">
        <v>682</v>
      </c>
      <c r="Q8" s="374" t="s">
        <v>683</v>
      </c>
      <c r="R8" s="350">
        <v>0</v>
      </c>
      <c r="S8" s="352">
        <v>46232</v>
      </c>
      <c r="T8" s="352">
        <v>46238</v>
      </c>
      <c r="U8" s="354" t="s">
        <v>40</v>
      </c>
      <c r="V8" s="354" t="s">
        <v>480</v>
      </c>
      <c r="W8" s="355">
        <v>0</v>
      </c>
      <c r="X8" s="357">
        <v>46247</v>
      </c>
      <c r="Y8" s="357">
        <v>46249</v>
      </c>
      <c r="Z8" s="359" t="s">
        <v>40</v>
      </c>
      <c r="AA8" s="359" t="s">
        <v>480</v>
      </c>
      <c r="AB8" s="360">
        <v>0</v>
      </c>
      <c r="AC8" s="362">
        <v>46250</v>
      </c>
      <c r="AD8" s="326">
        <v>46257</v>
      </c>
      <c r="AE8" s="327" t="s">
        <v>40</v>
      </c>
      <c r="AF8" s="339" t="s">
        <v>40</v>
      </c>
      <c r="AG8" s="366">
        <v>0</v>
      </c>
      <c r="AH8" s="368">
        <v>46266</v>
      </c>
      <c r="AI8" s="368">
        <v>46269</v>
      </c>
      <c r="AJ8" s="369" t="s">
        <v>165</v>
      </c>
      <c r="AK8" s="333" t="s">
        <v>40</v>
      </c>
      <c r="AL8" s="370">
        <v>0</v>
      </c>
      <c r="AM8" s="169">
        <v>46332</v>
      </c>
      <c r="AN8" s="169">
        <v>46338</v>
      </c>
      <c r="AO8" s="168" t="s">
        <v>40</v>
      </c>
      <c r="AP8" s="170">
        <v>0</v>
      </c>
    </row>
    <row r="9" spans="1:43">
      <c r="A9" s="292" t="s">
        <v>1084</v>
      </c>
      <c r="B9" s="444">
        <v>9030</v>
      </c>
      <c r="C9" s="299">
        <v>1</v>
      </c>
      <c r="D9" s="149"/>
      <c r="E9" s="149"/>
      <c r="F9" s="341" t="s">
        <v>34</v>
      </c>
      <c r="G9" s="340" t="s">
        <v>479</v>
      </c>
      <c r="H9" s="372">
        <v>0</v>
      </c>
      <c r="I9" s="169"/>
      <c r="J9" s="342"/>
      <c r="K9" s="344" t="s">
        <v>681</v>
      </c>
      <c r="L9" s="345" t="s">
        <v>40</v>
      </c>
      <c r="M9" s="346">
        <v>0</v>
      </c>
      <c r="N9" s="347">
        <v>46219</v>
      </c>
      <c r="O9" s="347">
        <v>46231</v>
      </c>
      <c r="P9" s="374" t="s">
        <v>682</v>
      </c>
      <c r="Q9" s="374" t="s">
        <v>683</v>
      </c>
      <c r="R9" s="350">
        <v>0</v>
      </c>
      <c r="S9" s="352">
        <v>46232</v>
      </c>
      <c r="T9" s="352">
        <v>46238</v>
      </c>
      <c r="U9" s="354" t="s">
        <v>40</v>
      </c>
      <c r="V9" s="354" t="s">
        <v>480</v>
      </c>
      <c r="W9" s="355">
        <v>0</v>
      </c>
      <c r="X9" s="357">
        <v>46247</v>
      </c>
      <c r="Y9" s="357">
        <v>46249</v>
      </c>
      <c r="Z9" s="359" t="s">
        <v>40</v>
      </c>
      <c r="AA9" s="359" t="s">
        <v>480</v>
      </c>
      <c r="AB9" s="360">
        <v>0</v>
      </c>
      <c r="AC9" s="362">
        <v>46250</v>
      </c>
      <c r="AD9" s="326">
        <v>46257</v>
      </c>
      <c r="AE9" s="327" t="s">
        <v>40</v>
      </c>
      <c r="AF9" s="339" t="s">
        <v>40</v>
      </c>
      <c r="AG9" s="366">
        <v>0</v>
      </c>
      <c r="AH9" s="368">
        <v>46266</v>
      </c>
      <c r="AI9" s="368">
        <v>46269</v>
      </c>
      <c r="AJ9" s="369" t="s">
        <v>165</v>
      </c>
      <c r="AK9" s="333" t="s">
        <v>40</v>
      </c>
      <c r="AL9" s="370">
        <v>0</v>
      </c>
      <c r="AM9" s="169">
        <v>46332</v>
      </c>
      <c r="AN9" s="169">
        <v>46338</v>
      </c>
      <c r="AO9" s="168" t="s">
        <v>40</v>
      </c>
      <c r="AP9" s="170">
        <v>0</v>
      </c>
    </row>
    <row r="10" spans="1:43">
      <c r="A10" s="446" t="s">
        <v>1084</v>
      </c>
      <c r="B10" s="447">
        <v>9035</v>
      </c>
      <c r="C10" s="299">
        <v>1</v>
      </c>
      <c r="D10" s="149"/>
      <c r="E10" s="149"/>
      <c r="F10" s="341" t="s">
        <v>40</v>
      </c>
      <c r="G10" s="340" t="s">
        <v>479</v>
      </c>
      <c r="H10" s="372">
        <v>1</v>
      </c>
      <c r="I10" s="169"/>
      <c r="J10" s="342"/>
      <c r="K10" s="344" t="s">
        <v>40</v>
      </c>
      <c r="L10" s="345" t="s">
        <v>40</v>
      </c>
      <c r="M10" s="346">
        <v>0.8</v>
      </c>
      <c r="N10" s="347">
        <v>46219</v>
      </c>
      <c r="O10" s="347">
        <v>46231</v>
      </c>
      <c r="P10" s="349" t="s">
        <v>40</v>
      </c>
      <c r="Q10" s="349" t="s">
        <v>480</v>
      </c>
      <c r="R10" s="350">
        <v>0.8</v>
      </c>
      <c r="S10" s="352">
        <v>46232</v>
      </c>
      <c r="T10" s="352">
        <v>46238</v>
      </c>
      <c r="U10" s="354" t="s">
        <v>40</v>
      </c>
      <c r="V10" s="354" t="s">
        <v>480</v>
      </c>
      <c r="W10" s="355">
        <v>0</v>
      </c>
      <c r="X10" s="357">
        <v>46247</v>
      </c>
      <c r="Y10" s="357">
        <v>46249</v>
      </c>
      <c r="Z10" s="359" t="s">
        <v>40</v>
      </c>
      <c r="AA10" s="359" t="s">
        <v>480</v>
      </c>
      <c r="AB10" s="360">
        <v>0</v>
      </c>
      <c r="AC10" s="362">
        <v>46250</v>
      </c>
      <c r="AD10" s="326">
        <v>46257</v>
      </c>
      <c r="AE10" s="327" t="s">
        <v>40</v>
      </c>
      <c r="AF10" s="365" t="s">
        <v>480</v>
      </c>
      <c r="AG10" s="366">
        <v>0</v>
      </c>
      <c r="AH10" s="368">
        <v>46266</v>
      </c>
      <c r="AI10" s="368">
        <v>46269</v>
      </c>
      <c r="AJ10" s="369" t="s">
        <v>165</v>
      </c>
      <c r="AK10" s="333" t="s">
        <v>40</v>
      </c>
      <c r="AL10" s="370">
        <v>0</v>
      </c>
      <c r="AM10" s="169">
        <v>46332</v>
      </c>
      <c r="AN10" s="169">
        <v>46338</v>
      </c>
      <c r="AO10" s="168" t="s">
        <v>40</v>
      </c>
      <c r="AP10" s="170">
        <v>0</v>
      </c>
    </row>
    <row r="11" spans="1:43">
      <c r="A11" s="292" t="s">
        <v>1084</v>
      </c>
      <c r="B11" s="444">
        <v>9040</v>
      </c>
      <c r="C11" s="299">
        <v>1</v>
      </c>
      <c r="D11" s="149"/>
      <c r="E11" s="149"/>
      <c r="F11" s="341" t="s">
        <v>34</v>
      </c>
      <c r="G11" s="340" t="s">
        <v>479</v>
      </c>
      <c r="H11" s="372">
        <v>0</v>
      </c>
      <c r="I11" s="169"/>
      <c r="J11" s="342"/>
      <c r="K11" s="344" t="s">
        <v>681</v>
      </c>
      <c r="L11" s="345" t="s">
        <v>40</v>
      </c>
      <c r="M11" s="346">
        <v>0</v>
      </c>
      <c r="N11" s="347">
        <v>46219</v>
      </c>
      <c r="O11" s="347">
        <v>46231</v>
      </c>
      <c r="P11" s="374" t="s">
        <v>682</v>
      </c>
      <c r="Q11" s="374" t="s">
        <v>683</v>
      </c>
      <c r="R11" s="350">
        <v>0</v>
      </c>
      <c r="S11" s="352">
        <v>46232</v>
      </c>
      <c r="T11" s="352">
        <v>46238</v>
      </c>
      <c r="U11" s="354" t="s">
        <v>40</v>
      </c>
      <c r="V11" s="354" t="s">
        <v>480</v>
      </c>
      <c r="W11" s="355">
        <v>0</v>
      </c>
      <c r="X11" s="357">
        <v>46247</v>
      </c>
      <c r="Y11" s="357">
        <v>46249</v>
      </c>
      <c r="Z11" s="359" t="s">
        <v>40</v>
      </c>
      <c r="AA11" s="359" t="s">
        <v>480</v>
      </c>
      <c r="AB11" s="360">
        <v>0</v>
      </c>
      <c r="AC11" s="362">
        <v>46250</v>
      </c>
      <c r="AD11" s="326">
        <v>46257</v>
      </c>
      <c r="AE11" s="327" t="s">
        <v>40</v>
      </c>
      <c r="AF11" s="365" t="s">
        <v>40</v>
      </c>
      <c r="AG11" s="366">
        <v>0</v>
      </c>
      <c r="AH11" s="368">
        <v>46266</v>
      </c>
      <c r="AI11" s="368">
        <v>46269</v>
      </c>
      <c r="AJ11" s="369" t="s">
        <v>165</v>
      </c>
      <c r="AK11" s="333" t="s">
        <v>40</v>
      </c>
      <c r="AL11" s="370">
        <v>0</v>
      </c>
      <c r="AM11" s="169">
        <v>46332</v>
      </c>
      <c r="AN11" s="169">
        <v>46338</v>
      </c>
      <c r="AO11" s="168" t="s">
        <v>40</v>
      </c>
      <c r="AP11" s="170">
        <v>0</v>
      </c>
    </row>
    <row r="12" spans="1:43">
      <c r="A12" s="292" t="s">
        <v>1084</v>
      </c>
      <c r="B12" s="444">
        <v>9045</v>
      </c>
      <c r="C12" s="299">
        <v>1</v>
      </c>
      <c r="D12" s="149"/>
      <c r="E12" s="149"/>
      <c r="F12" s="341" t="s">
        <v>34</v>
      </c>
      <c r="G12" s="340" t="s">
        <v>479</v>
      </c>
      <c r="H12" s="372">
        <v>0</v>
      </c>
      <c r="I12" s="169"/>
      <c r="J12" s="342"/>
      <c r="K12" s="344" t="s">
        <v>681</v>
      </c>
      <c r="L12" s="345" t="s">
        <v>40</v>
      </c>
      <c r="M12" s="346">
        <v>0</v>
      </c>
      <c r="N12" s="347">
        <v>46219</v>
      </c>
      <c r="O12" s="347">
        <v>46231</v>
      </c>
      <c r="P12" s="374" t="s">
        <v>682</v>
      </c>
      <c r="Q12" s="374" t="s">
        <v>683</v>
      </c>
      <c r="R12" s="350">
        <v>0</v>
      </c>
      <c r="S12" s="352">
        <v>46232</v>
      </c>
      <c r="T12" s="352">
        <v>46238</v>
      </c>
      <c r="U12" s="354" t="s">
        <v>40</v>
      </c>
      <c r="V12" s="354" t="s">
        <v>480</v>
      </c>
      <c r="W12" s="355">
        <v>0</v>
      </c>
      <c r="X12" s="357">
        <v>46247</v>
      </c>
      <c r="Y12" s="357">
        <v>46249</v>
      </c>
      <c r="Z12" s="359" t="s">
        <v>40</v>
      </c>
      <c r="AA12" s="359" t="s">
        <v>480</v>
      </c>
      <c r="AB12" s="360">
        <v>0</v>
      </c>
      <c r="AC12" s="362">
        <v>46250</v>
      </c>
      <c r="AD12" s="326">
        <v>46257</v>
      </c>
      <c r="AE12" s="327" t="s">
        <v>40</v>
      </c>
      <c r="AF12" s="365" t="s">
        <v>40</v>
      </c>
      <c r="AG12" s="366">
        <v>0</v>
      </c>
      <c r="AH12" s="368">
        <v>46266</v>
      </c>
      <c r="AI12" s="368">
        <v>46269</v>
      </c>
      <c r="AJ12" s="369" t="s">
        <v>165</v>
      </c>
      <c r="AK12" s="333" t="s">
        <v>40</v>
      </c>
      <c r="AL12" s="370">
        <v>0</v>
      </c>
      <c r="AM12" s="169">
        <v>46332</v>
      </c>
      <c r="AN12" s="169">
        <v>46338</v>
      </c>
      <c r="AO12" s="168" t="s">
        <v>40</v>
      </c>
      <c r="AP12" s="170">
        <v>0</v>
      </c>
    </row>
    <row r="13" spans="1:43">
      <c r="A13" s="292" t="s">
        <v>1084</v>
      </c>
      <c r="B13" s="444">
        <v>9815</v>
      </c>
      <c r="C13" s="299">
        <v>1</v>
      </c>
      <c r="D13" s="149"/>
      <c r="E13" s="149"/>
      <c r="F13" s="341" t="s">
        <v>40</v>
      </c>
      <c r="G13" s="340" t="s">
        <v>479</v>
      </c>
      <c r="H13" s="372">
        <v>1</v>
      </c>
      <c r="I13" s="169"/>
      <c r="J13" s="342"/>
      <c r="K13" s="344" t="s">
        <v>40</v>
      </c>
      <c r="L13" s="345" t="s">
        <v>40</v>
      </c>
      <c r="M13" s="346">
        <v>0</v>
      </c>
      <c r="N13" s="347">
        <v>46219</v>
      </c>
      <c r="O13" s="347">
        <v>46231</v>
      </c>
      <c r="P13" s="349" t="s">
        <v>40</v>
      </c>
      <c r="Q13" s="349" t="s">
        <v>480</v>
      </c>
      <c r="R13" s="350">
        <v>0</v>
      </c>
      <c r="S13" s="352">
        <v>46232</v>
      </c>
      <c r="T13" s="352">
        <v>46238</v>
      </c>
      <c r="U13" s="354" t="s">
        <v>40</v>
      </c>
      <c r="V13" s="354" t="s">
        <v>480</v>
      </c>
      <c r="W13" s="355">
        <v>0</v>
      </c>
      <c r="X13" s="357">
        <v>46247</v>
      </c>
      <c r="Y13" s="357">
        <v>46249</v>
      </c>
      <c r="Z13" s="359" t="s">
        <v>40</v>
      </c>
      <c r="AA13" s="359" t="s">
        <v>480</v>
      </c>
      <c r="AB13" s="360">
        <v>0</v>
      </c>
      <c r="AC13" s="362">
        <v>46250</v>
      </c>
      <c r="AD13" s="326">
        <v>46257</v>
      </c>
      <c r="AE13" s="327" t="s">
        <v>40</v>
      </c>
      <c r="AF13" s="365" t="s">
        <v>480</v>
      </c>
      <c r="AG13" s="366">
        <v>0</v>
      </c>
      <c r="AH13" s="368">
        <v>46266</v>
      </c>
      <c r="AI13" s="368">
        <v>46269</v>
      </c>
      <c r="AJ13" s="369" t="s">
        <v>165</v>
      </c>
      <c r="AK13" s="373" t="s">
        <v>40</v>
      </c>
      <c r="AL13" s="370">
        <v>0</v>
      </c>
      <c r="AM13" s="169">
        <v>46332</v>
      </c>
      <c r="AN13" s="169">
        <v>46338</v>
      </c>
      <c r="AO13" s="168" t="s">
        <v>40</v>
      </c>
      <c r="AP13" s="170">
        <v>0</v>
      </c>
    </row>
    <row r="14" spans="1:43">
      <c r="A14" s="292" t="s">
        <v>1084</v>
      </c>
      <c r="B14" s="444">
        <v>9825</v>
      </c>
      <c r="C14" s="299">
        <v>1</v>
      </c>
      <c r="D14" s="149"/>
      <c r="E14" s="149"/>
      <c r="F14" s="341" t="s">
        <v>34</v>
      </c>
      <c r="G14" s="340" t="s">
        <v>479</v>
      </c>
      <c r="H14" s="372">
        <v>1</v>
      </c>
      <c r="I14" s="169"/>
      <c r="J14" s="342"/>
      <c r="K14" s="344" t="s">
        <v>681</v>
      </c>
      <c r="L14" s="345" t="s">
        <v>40</v>
      </c>
      <c r="M14" s="346">
        <v>0</v>
      </c>
      <c r="N14" s="347">
        <v>46219</v>
      </c>
      <c r="O14" s="347">
        <v>46231</v>
      </c>
      <c r="P14" s="374" t="s">
        <v>682</v>
      </c>
      <c r="Q14" s="374" t="s">
        <v>683</v>
      </c>
      <c r="R14" s="350">
        <v>0</v>
      </c>
      <c r="S14" s="352">
        <v>46232</v>
      </c>
      <c r="T14" s="352">
        <v>46238</v>
      </c>
      <c r="U14" s="354" t="s">
        <v>40</v>
      </c>
      <c r="V14" s="354" t="s">
        <v>480</v>
      </c>
      <c r="W14" s="355">
        <v>0</v>
      </c>
      <c r="X14" s="357">
        <v>46247</v>
      </c>
      <c r="Y14" s="357">
        <v>46249</v>
      </c>
      <c r="Z14" s="359" t="s">
        <v>40</v>
      </c>
      <c r="AA14" s="359" t="s">
        <v>480</v>
      </c>
      <c r="AB14" s="360">
        <v>0</v>
      </c>
      <c r="AC14" s="362">
        <v>46250</v>
      </c>
      <c r="AD14" s="326">
        <v>46257</v>
      </c>
      <c r="AE14" s="327" t="s">
        <v>40</v>
      </c>
      <c r="AF14" s="365" t="s">
        <v>40</v>
      </c>
      <c r="AG14" s="366">
        <v>0</v>
      </c>
      <c r="AH14" s="368">
        <v>46266</v>
      </c>
      <c r="AI14" s="368">
        <v>46269</v>
      </c>
      <c r="AJ14" s="369" t="s">
        <v>165</v>
      </c>
      <c r="AK14" s="373" t="s">
        <v>40</v>
      </c>
      <c r="AL14" s="370">
        <v>0</v>
      </c>
      <c r="AM14" s="169">
        <v>46332</v>
      </c>
      <c r="AN14" s="169">
        <v>46338</v>
      </c>
      <c r="AO14" s="168" t="s">
        <v>40</v>
      </c>
      <c r="AP14" s="170">
        <v>0</v>
      </c>
    </row>
    <row r="15" spans="1:43">
      <c r="A15" s="446" t="s">
        <v>1084</v>
      </c>
      <c r="B15" s="447">
        <v>9915</v>
      </c>
      <c r="C15" s="299">
        <v>1</v>
      </c>
      <c r="D15" s="149"/>
      <c r="E15" s="149"/>
      <c r="F15" s="341" t="s">
        <v>34</v>
      </c>
      <c r="G15" s="340" t="s">
        <v>479</v>
      </c>
      <c r="H15" s="372">
        <v>1</v>
      </c>
      <c r="I15" s="169"/>
      <c r="J15" s="342"/>
      <c r="K15" s="344" t="s">
        <v>681</v>
      </c>
      <c r="L15" s="344" t="s">
        <v>679</v>
      </c>
      <c r="M15" s="346">
        <v>0.8</v>
      </c>
      <c r="N15" s="347">
        <v>46219</v>
      </c>
      <c r="O15" s="347">
        <v>46231</v>
      </c>
      <c r="P15" s="374" t="s">
        <v>682</v>
      </c>
      <c r="Q15" s="374" t="s">
        <v>683</v>
      </c>
      <c r="R15" s="350">
        <v>0.8</v>
      </c>
      <c r="S15" s="352">
        <v>46232</v>
      </c>
      <c r="T15" s="352">
        <v>46238</v>
      </c>
      <c r="U15" s="354" t="s">
        <v>40</v>
      </c>
      <c r="V15" s="354" t="s">
        <v>480</v>
      </c>
      <c r="W15" s="355">
        <v>0</v>
      </c>
      <c r="X15" s="357">
        <v>46247</v>
      </c>
      <c r="Y15" s="357">
        <v>46249</v>
      </c>
      <c r="Z15" s="359" t="s">
        <v>40</v>
      </c>
      <c r="AA15" s="359" t="s">
        <v>480</v>
      </c>
      <c r="AB15" s="360">
        <v>0</v>
      </c>
      <c r="AC15" s="362">
        <v>46250</v>
      </c>
      <c r="AD15" s="326">
        <v>46257</v>
      </c>
      <c r="AE15" s="327" t="s">
        <v>40</v>
      </c>
      <c r="AF15" s="365" t="s">
        <v>40</v>
      </c>
      <c r="AG15" s="366">
        <v>0</v>
      </c>
      <c r="AH15" s="368">
        <v>46266</v>
      </c>
      <c r="AI15" s="368">
        <v>46269</v>
      </c>
      <c r="AJ15" s="369" t="s">
        <v>165</v>
      </c>
      <c r="AK15" s="373" t="s">
        <v>40</v>
      </c>
      <c r="AL15" s="370">
        <v>0</v>
      </c>
      <c r="AM15" s="169">
        <v>46332</v>
      </c>
      <c r="AN15" s="169">
        <v>46338</v>
      </c>
      <c r="AO15" s="168" t="s">
        <v>40</v>
      </c>
      <c r="AP15" s="170">
        <v>0</v>
      </c>
    </row>
    <row r="16" spans="1:43">
      <c r="A16" s="446" t="s">
        <v>1084</v>
      </c>
      <c r="B16" s="447">
        <v>9925</v>
      </c>
      <c r="C16" s="299">
        <v>1</v>
      </c>
      <c r="D16" s="149"/>
      <c r="E16" s="149"/>
      <c r="F16" s="341" t="s">
        <v>34</v>
      </c>
      <c r="G16" s="340" t="s">
        <v>479</v>
      </c>
      <c r="H16" s="372">
        <v>1</v>
      </c>
      <c r="I16" s="169"/>
      <c r="J16" s="342"/>
      <c r="K16" s="344" t="s">
        <v>681</v>
      </c>
      <c r="L16" s="345" t="s">
        <v>679</v>
      </c>
      <c r="M16" s="346">
        <v>0.8</v>
      </c>
      <c r="N16" s="347">
        <v>46219</v>
      </c>
      <c r="O16" s="347">
        <v>46231</v>
      </c>
      <c r="P16" s="374" t="s">
        <v>682</v>
      </c>
      <c r="Q16" s="374" t="s">
        <v>683</v>
      </c>
      <c r="R16" s="350">
        <v>0.8</v>
      </c>
      <c r="S16" s="352">
        <v>46232</v>
      </c>
      <c r="T16" s="352">
        <v>46238</v>
      </c>
      <c r="U16" s="354" t="s">
        <v>40</v>
      </c>
      <c r="V16" s="354" t="s">
        <v>480</v>
      </c>
      <c r="W16" s="355">
        <v>0</v>
      </c>
      <c r="X16" s="357">
        <v>46247</v>
      </c>
      <c r="Y16" s="357">
        <v>46249</v>
      </c>
      <c r="Z16" s="359" t="s">
        <v>40</v>
      </c>
      <c r="AA16" s="359" t="s">
        <v>480</v>
      </c>
      <c r="AB16" s="360">
        <v>0</v>
      </c>
      <c r="AC16" s="362">
        <v>46250</v>
      </c>
      <c r="AD16" s="326">
        <v>46257</v>
      </c>
      <c r="AE16" s="327" t="s">
        <v>40</v>
      </c>
      <c r="AF16" s="365" t="s">
        <v>40</v>
      </c>
      <c r="AG16" s="366">
        <v>0</v>
      </c>
      <c r="AH16" s="368">
        <v>46266</v>
      </c>
      <c r="AI16" s="368">
        <v>46269</v>
      </c>
      <c r="AJ16" s="369" t="s">
        <v>165</v>
      </c>
      <c r="AK16" s="373" t="s">
        <v>40</v>
      </c>
      <c r="AL16" s="370">
        <v>0</v>
      </c>
      <c r="AM16" s="169">
        <v>46332</v>
      </c>
      <c r="AN16" s="169">
        <v>46338</v>
      </c>
      <c r="AO16" s="168" t="s">
        <v>40</v>
      </c>
      <c r="AP16" s="170">
        <v>0</v>
      </c>
    </row>
    <row r="17" spans="1:43">
      <c r="A17" s="292" t="s">
        <v>1084</v>
      </c>
      <c r="B17" s="444">
        <v>9935</v>
      </c>
      <c r="C17" s="299">
        <v>1</v>
      </c>
      <c r="D17" s="149"/>
      <c r="E17" s="149"/>
      <c r="F17" s="341" t="s">
        <v>34</v>
      </c>
      <c r="G17" s="340" t="s">
        <v>479</v>
      </c>
      <c r="H17" s="372">
        <v>1</v>
      </c>
      <c r="I17" s="169"/>
      <c r="J17" s="342"/>
      <c r="K17" s="344" t="s">
        <v>681</v>
      </c>
      <c r="L17" s="345" t="s">
        <v>679</v>
      </c>
      <c r="M17" s="346">
        <v>0.9</v>
      </c>
      <c r="N17" s="347">
        <v>46219</v>
      </c>
      <c r="O17" s="347">
        <v>46231</v>
      </c>
      <c r="P17" s="374" t="s">
        <v>682</v>
      </c>
      <c r="Q17" s="374" t="s">
        <v>683</v>
      </c>
      <c r="R17" s="350">
        <v>0</v>
      </c>
      <c r="S17" s="352">
        <v>46232</v>
      </c>
      <c r="T17" s="352">
        <v>46238</v>
      </c>
      <c r="U17" s="354" t="s">
        <v>40</v>
      </c>
      <c r="V17" s="354" t="s">
        <v>480</v>
      </c>
      <c r="W17" s="355">
        <v>0</v>
      </c>
      <c r="X17" s="357">
        <v>46247</v>
      </c>
      <c r="Y17" s="357">
        <v>46249</v>
      </c>
      <c r="Z17" s="359" t="s">
        <v>40</v>
      </c>
      <c r="AA17" s="359" t="s">
        <v>480</v>
      </c>
      <c r="AB17" s="360">
        <v>0</v>
      </c>
      <c r="AC17" s="362">
        <v>46250</v>
      </c>
      <c r="AD17" s="326">
        <v>46257</v>
      </c>
      <c r="AE17" s="327" t="s">
        <v>40</v>
      </c>
      <c r="AF17" s="365" t="s">
        <v>40</v>
      </c>
      <c r="AG17" s="366">
        <v>0</v>
      </c>
      <c r="AH17" s="368">
        <v>46266</v>
      </c>
      <c r="AI17" s="368">
        <v>46269</v>
      </c>
      <c r="AJ17" s="369" t="s">
        <v>165</v>
      </c>
      <c r="AK17" s="373" t="s">
        <v>40</v>
      </c>
      <c r="AL17" s="370">
        <v>0</v>
      </c>
      <c r="AM17" s="169">
        <v>46332</v>
      </c>
      <c r="AN17" s="169">
        <v>46338</v>
      </c>
      <c r="AO17" s="168" t="s">
        <v>40</v>
      </c>
      <c r="AP17" s="170">
        <v>0</v>
      </c>
    </row>
    <row r="18" spans="1:43">
      <c r="A18" s="446" t="s">
        <v>1084</v>
      </c>
      <c r="B18" s="447">
        <v>9945</v>
      </c>
      <c r="C18" s="299">
        <v>1</v>
      </c>
      <c r="D18" s="149"/>
      <c r="E18" s="149"/>
      <c r="F18" s="341" t="s">
        <v>34</v>
      </c>
      <c r="G18" s="340" t="s">
        <v>479</v>
      </c>
      <c r="H18" s="372">
        <v>1</v>
      </c>
      <c r="I18" s="169"/>
      <c r="J18" s="342"/>
      <c r="K18" s="344" t="s">
        <v>681</v>
      </c>
      <c r="L18" s="345" t="s">
        <v>679</v>
      </c>
      <c r="M18" s="346">
        <v>0.8</v>
      </c>
      <c r="N18" s="347">
        <v>46219</v>
      </c>
      <c r="O18" s="347">
        <v>46231</v>
      </c>
      <c r="P18" s="374" t="s">
        <v>682</v>
      </c>
      <c r="Q18" s="374" t="s">
        <v>683</v>
      </c>
      <c r="R18" s="350">
        <v>0.8</v>
      </c>
      <c r="S18" s="352">
        <v>46232</v>
      </c>
      <c r="T18" s="352">
        <v>46238</v>
      </c>
      <c r="U18" s="354" t="s">
        <v>40</v>
      </c>
      <c r="V18" s="354" t="s">
        <v>480</v>
      </c>
      <c r="W18" s="355">
        <v>0</v>
      </c>
      <c r="X18" s="357">
        <v>46247</v>
      </c>
      <c r="Y18" s="357">
        <v>46249</v>
      </c>
      <c r="Z18" s="359" t="s">
        <v>40</v>
      </c>
      <c r="AA18" s="359" t="s">
        <v>480</v>
      </c>
      <c r="AB18" s="360">
        <v>0</v>
      </c>
      <c r="AC18" s="362">
        <v>46250</v>
      </c>
      <c r="AD18" s="326">
        <v>46257</v>
      </c>
      <c r="AE18" s="327" t="s">
        <v>40</v>
      </c>
      <c r="AF18" s="365" t="s">
        <v>40</v>
      </c>
      <c r="AG18" s="366">
        <v>0</v>
      </c>
      <c r="AH18" s="368">
        <v>46266</v>
      </c>
      <c r="AI18" s="368">
        <v>46269</v>
      </c>
      <c r="AJ18" s="369" t="s">
        <v>165</v>
      </c>
      <c r="AK18" s="373" t="s">
        <v>40</v>
      </c>
      <c r="AL18" s="370">
        <v>0</v>
      </c>
      <c r="AM18" s="169">
        <v>46332</v>
      </c>
      <c r="AN18" s="169">
        <v>46338</v>
      </c>
      <c r="AO18" s="168" t="s">
        <v>40</v>
      </c>
      <c r="AP18" s="170">
        <v>0</v>
      </c>
    </row>
    <row r="19" spans="1:43">
      <c r="A19" s="446" t="s">
        <v>1084</v>
      </c>
      <c r="B19" s="447">
        <v>9955</v>
      </c>
      <c r="C19" s="299">
        <v>1</v>
      </c>
      <c r="D19" s="149"/>
      <c r="E19" s="149"/>
      <c r="F19" s="341" t="s">
        <v>34</v>
      </c>
      <c r="G19" s="340" t="s">
        <v>479</v>
      </c>
      <c r="H19" s="372">
        <v>1</v>
      </c>
      <c r="I19" s="169"/>
      <c r="J19" s="342"/>
      <c r="K19" s="344" t="s">
        <v>681</v>
      </c>
      <c r="L19" s="345" t="s">
        <v>679</v>
      </c>
      <c r="M19" s="346">
        <v>0.8</v>
      </c>
      <c r="N19" s="347">
        <v>46219</v>
      </c>
      <c r="O19" s="347">
        <v>46231</v>
      </c>
      <c r="P19" s="374" t="s">
        <v>682</v>
      </c>
      <c r="Q19" s="374" t="s">
        <v>683</v>
      </c>
      <c r="R19" s="350">
        <v>0.8</v>
      </c>
      <c r="S19" s="352">
        <v>46232</v>
      </c>
      <c r="T19" s="352">
        <v>46238</v>
      </c>
      <c r="U19" s="354" t="s">
        <v>40</v>
      </c>
      <c r="V19" s="354" t="s">
        <v>480</v>
      </c>
      <c r="W19" s="355">
        <v>0</v>
      </c>
      <c r="X19" s="357">
        <v>46247</v>
      </c>
      <c r="Y19" s="357">
        <v>46249</v>
      </c>
      <c r="Z19" s="359" t="s">
        <v>40</v>
      </c>
      <c r="AA19" s="359" t="s">
        <v>480</v>
      </c>
      <c r="AB19" s="360">
        <v>0</v>
      </c>
      <c r="AC19" s="362">
        <v>46250</v>
      </c>
      <c r="AD19" s="326">
        <v>46257</v>
      </c>
      <c r="AE19" s="327" t="s">
        <v>40</v>
      </c>
      <c r="AF19" s="365" t="s">
        <v>40</v>
      </c>
      <c r="AG19" s="366">
        <v>0</v>
      </c>
      <c r="AH19" s="368">
        <v>46266</v>
      </c>
      <c r="AI19" s="368">
        <v>46269</v>
      </c>
      <c r="AJ19" s="369" t="s">
        <v>165</v>
      </c>
      <c r="AK19" s="373" t="s">
        <v>40</v>
      </c>
      <c r="AL19" s="370">
        <v>0</v>
      </c>
      <c r="AM19" s="169">
        <v>46332</v>
      </c>
      <c r="AN19" s="169">
        <v>46338</v>
      </c>
      <c r="AO19" s="168" t="s">
        <v>40</v>
      </c>
      <c r="AP19" s="170">
        <v>0</v>
      </c>
    </row>
    <row r="20" spans="1:43">
      <c r="A20" s="446" t="s">
        <v>1084</v>
      </c>
      <c r="B20" s="447">
        <v>9965</v>
      </c>
      <c r="C20" s="299">
        <v>1</v>
      </c>
      <c r="D20" s="149"/>
      <c r="E20" s="149"/>
      <c r="F20" s="341" t="s">
        <v>34</v>
      </c>
      <c r="G20" s="340" t="s">
        <v>479</v>
      </c>
      <c r="H20" s="372">
        <v>1</v>
      </c>
      <c r="I20" s="169"/>
      <c r="J20" s="342"/>
      <c r="K20" s="344" t="s">
        <v>681</v>
      </c>
      <c r="L20" s="345" t="s">
        <v>679</v>
      </c>
      <c r="M20" s="346">
        <v>0.8</v>
      </c>
      <c r="N20" s="347">
        <v>46219</v>
      </c>
      <c r="O20" s="347">
        <v>46231</v>
      </c>
      <c r="P20" s="374" t="s">
        <v>682</v>
      </c>
      <c r="Q20" s="374" t="s">
        <v>683</v>
      </c>
      <c r="R20" s="350">
        <v>0.8</v>
      </c>
      <c r="S20" s="352">
        <v>46232</v>
      </c>
      <c r="T20" s="352">
        <v>46238</v>
      </c>
      <c r="U20" s="354" t="s">
        <v>40</v>
      </c>
      <c r="V20" s="354" t="s">
        <v>480</v>
      </c>
      <c r="W20" s="355">
        <v>0</v>
      </c>
      <c r="X20" s="357">
        <v>46247</v>
      </c>
      <c r="Y20" s="357">
        <v>46249</v>
      </c>
      <c r="Z20" s="359" t="s">
        <v>40</v>
      </c>
      <c r="AA20" s="359" t="s">
        <v>480</v>
      </c>
      <c r="AB20" s="360">
        <v>0</v>
      </c>
      <c r="AC20" s="362">
        <v>46250</v>
      </c>
      <c r="AD20" s="326">
        <v>46257</v>
      </c>
      <c r="AE20" s="327" t="s">
        <v>40</v>
      </c>
      <c r="AF20" s="365" t="s">
        <v>40</v>
      </c>
      <c r="AG20" s="366">
        <v>0</v>
      </c>
      <c r="AH20" s="368">
        <v>46266</v>
      </c>
      <c r="AI20" s="368">
        <v>46269</v>
      </c>
      <c r="AJ20" s="369" t="s">
        <v>165</v>
      </c>
      <c r="AK20" s="373" t="s">
        <v>40</v>
      </c>
      <c r="AL20" s="370">
        <v>0</v>
      </c>
      <c r="AM20" s="169">
        <v>46332</v>
      </c>
      <c r="AN20" s="169">
        <v>46338</v>
      </c>
      <c r="AO20" s="168" t="s">
        <v>40</v>
      </c>
      <c r="AP20" s="170">
        <v>0</v>
      </c>
    </row>
    <row r="21" spans="1:43">
      <c r="A21" s="446" t="s">
        <v>1084</v>
      </c>
      <c r="B21" s="447">
        <v>9975</v>
      </c>
      <c r="C21" s="299">
        <v>1</v>
      </c>
      <c r="D21" s="149"/>
      <c r="E21" s="149"/>
      <c r="F21" s="341" t="s">
        <v>34</v>
      </c>
      <c r="G21" s="340" t="s">
        <v>34</v>
      </c>
      <c r="H21" s="372">
        <v>1</v>
      </c>
      <c r="I21" s="169"/>
      <c r="J21" s="342"/>
      <c r="K21" s="344" t="s">
        <v>681</v>
      </c>
      <c r="L21" s="345" t="s">
        <v>679</v>
      </c>
      <c r="M21" s="346">
        <v>0.8</v>
      </c>
      <c r="N21" s="347">
        <v>46219</v>
      </c>
      <c r="O21" s="347">
        <v>46231</v>
      </c>
      <c r="P21" s="374" t="s">
        <v>682</v>
      </c>
      <c r="Q21" s="374" t="s">
        <v>683</v>
      </c>
      <c r="R21" s="350">
        <v>0.8</v>
      </c>
      <c r="S21" s="352">
        <v>46232</v>
      </c>
      <c r="T21" s="352">
        <v>46238</v>
      </c>
      <c r="U21" s="354" t="s">
        <v>40</v>
      </c>
      <c r="V21" s="354" t="s">
        <v>480</v>
      </c>
      <c r="W21" s="355">
        <v>0</v>
      </c>
      <c r="X21" s="357">
        <v>46247</v>
      </c>
      <c r="Y21" s="357">
        <v>46249</v>
      </c>
      <c r="Z21" s="359" t="s">
        <v>40</v>
      </c>
      <c r="AA21" s="359" t="s">
        <v>480</v>
      </c>
      <c r="AB21" s="360">
        <v>0</v>
      </c>
      <c r="AC21" s="362">
        <v>46250</v>
      </c>
      <c r="AD21" s="326">
        <v>46257</v>
      </c>
      <c r="AE21" s="327" t="s">
        <v>40</v>
      </c>
      <c r="AF21" s="365" t="s">
        <v>40</v>
      </c>
      <c r="AG21" s="366">
        <v>0</v>
      </c>
      <c r="AH21" s="368">
        <v>46266</v>
      </c>
      <c r="AI21" s="368">
        <v>46269</v>
      </c>
      <c r="AJ21" s="369" t="s">
        <v>165</v>
      </c>
      <c r="AK21" s="373" t="s">
        <v>40</v>
      </c>
      <c r="AL21" s="370">
        <v>0</v>
      </c>
      <c r="AM21" s="169">
        <v>46332</v>
      </c>
      <c r="AN21" s="169">
        <v>46338</v>
      </c>
      <c r="AO21" s="168" t="s">
        <v>40</v>
      </c>
      <c r="AP21" s="170">
        <v>0</v>
      </c>
    </row>
    <row r="22" spans="1:43">
      <c r="A22" s="446" t="s">
        <v>1084</v>
      </c>
      <c r="B22" s="447">
        <v>9985</v>
      </c>
      <c r="C22" s="299">
        <v>1</v>
      </c>
      <c r="D22" s="149"/>
      <c r="E22" s="149"/>
      <c r="F22" s="341" t="s">
        <v>34</v>
      </c>
      <c r="G22" s="340" t="s">
        <v>34</v>
      </c>
      <c r="H22" s="372">
        <v>1</v>
      </c>
      <c r="I22" s="169"/>
      <c r="J22" s="342"/>
      <c r="K22" s="344" t="s">
        <v>681</v>
      </c>
      <c r="L22" s="345" t="s">
        <v>679</v>
      </c>
      <c r="M22" s="346">
        <v>0.8</v>
      </c>
      <c r="N22" s="347">
        <v>46219</v>
      </c>
      <c r="O22" s="347">
        <v>46231</v>
      </c>
      <c r="P22" s="374" t="s">
        <v>682</v>
      </c>
      <c r="Q22" s="374" t="s">
        <v>683</v>
      </c>
      <c r="R22" s="350">
        <v>0.8</v>
      </c>
      <c r="S22" s="352">
        <v>46232</v>
      </c>
      <c r="T22" s="352">
        <v>46238</v>
      </c>
      <c r="U22" s="354" t="s">
        <v>40</v>
      </c>
      <c r="V22" s="354" t="s">
        <v>480</v>
      </c>
      <c r="W22" s="355">
        <v>0</v>
      </c>
      <c r="X22" s="357">
        <v>46247</v>
      </c>
      <c r="Y22" s="357">
        <v>46249</v>
      </c>
      <c r="Z22" s="359" t="s">
        <v>40</v>
      </c>
      <c r="AA22" s="359" t="s">
        <v>480</v>
      </c>
      <c r="AB22" s="360">
        <v>0</v>
      </c>
      <c r="AC22" s="362">
        <v>46250</v>
      </c>
      <c r="AD22" s="326">
        <v>46257</v>
      </c>
      <c r="AE22" s="327" t="s">
        <v>40</v>
      </c>
      <c r="AF22" s="365" t="s">
        <v>40</v>
      </c>
      <c r="AG22" s="366">
        <v>0</v>
      </c>
      <c r="AH22" s="368">
        <v>46266</v>
      </c>
      <c r="AI22" s="368">
        <v>46269</v>
      </c>
      <c r="AJ22" s="369" t="s">
        <v>165</v>
      </c>
      <c r="AK22" s="373" t="s">
        <v>40</v>
      </c>
      <c r="AL22" s="370">
        <v>0</v>
      </c>
      <c r="AM22" s="169">
        <v>46332</v>
      </c>
      <c r="AN22" s="169">
        <v>46338</v>
      </c>
      <c r="AO22" s="168" t="s">
        <v>40</v>
      </c>
      <c r="AP22" s="170">
        <v>0</v>
      </c>
    </row>
    <row r="23" spans="1:43">
      <c r="A23" s="292" t="s">
        <v>1084</v>
      </c>
      <c r="B23" s="444">
        <v>9992</v>
      </c>
      <c r="C23" s="299">
        <v>1</v>
      </c>
      <c r="D23" s="149"/>
      <c r="E23" s="149"/>
      <c r="F23" s="341" t="s">
        <v>34</v>
      </c>
      <c r="G23" s="340" t="s">
        <v>479</v>
      </c>
      <c r="H23" s="372">
        <v>0</v>
      </c>
      <c r="I23" s="169"/>
      <c r="J23" s="342"/>
      <c r="K23" s="344" t="s">
        <v>681</v>
      </c>
      <c r="L23" s="345" t="s">
        <v>40</v>
      </c>
      <c r="M23" s="346">
        <v>0</v>
      </c>
      <c r="N23" s="347">
        <v>46219</v>
      </c>
      <c r="O23" s="347">
        <v>46231</v>
      </c>
      <c r="P23" s="374" t="s">
        <v>682</v>
      </c>
      <c r="Q23" s="374" t="s">
        <v>683</v>
      </c>
      <c r="R23" s="350">
        <v>0</v>
      </c>
      <c r="S23" s="352">
        <v>46232</v>
      </c>
      <c r="T23" s="352">
        <v>46238</v>
      </c>
      <c r="U23" s="354" t="s">
        <v>40</v>
      </c>
      <c r="V23" s="354" t="s">
        <v>480</v>
      </c>
      <c r="W23" s="355">
        <v>0</v>
      </c>
      <c r="X23" s="357">
        <v>46247</v>
      </c>
      <c r="Y23" s="357">
        <v>46249</v>
      </c>
      <c r="Z23" s="359" t="s">
        <v>40</v>
      </c>
      <c r="AA23" s="359" t="s">
        <v>480</v>
      </c>
      <c r="AB23" s="360">
        <v>0</v>
      </c>
      <c r="AC23" s="362">
        <v>46250</v>
      </c>
      <c r="AD23" s="326">
        <v>46257</v>
      </c>
      <c r="AE23" s="327" t="s">
        <v>40</v>
      </c>
      <c r="AF23" s="365" t="s">
        <v>40</v>
      </c>
      <c r="AG23" s="366">
        <v>0</v>
      </c>
      <c r="AH23" s="368">
        <v>46266</v>
      </c>
      <c r="AI23" s="368">
        <v>46269</v>
      </c>
      <c r="AJ23" s="369" t="s">
        <v>165</v>
      </c>
      <c r="AK23" s="373" t="s">
        <v>40</v>
      </c>
      <c r="AL23" s="370">
        <v>0</v>
      </c>
      <c r="AM23" s="169">
        <v>46332</v>
      </c>
      <c r="AN23" s="169">
        <v>46338</v>
      </c>
      <c r="AO23" s="168" t="s">
        <v>40</v>
      </c>
      <c r="AP23" s="170">
        <v>0</v>
      </c>
    </row>
    <row r="24" spans="1:43">
      <c r="A24" s="446" t="s">
        <v>1084</v>
      </c>
      <c r="B24" s="447">
        <v>9995</v>
      </c>
      <c r="C24" s="299">
        <v>1</v>
      </c>
      <c r="D24" s="149"/>
      <c r="E24" s="149"/>
      <c r="F24" s="341" t="s">
        <v>34</v>
      </c>
      <c r="G24" s="340" t="s">
        <v>34</v>
      </c>
      <c r="H24" s="372">
        <v>1</v>
      </c>
      <c r="I24" s="169"/>
      <c r="J24" s="342"/>
      <c r="K24" s="344" t="s">
        <v>681</v>
      </c>
      <c r="L24" s="345" t="s">
        <v>679</v>
      </c>
      <c r="M24" s="346">
        <v>0.8</v>
      </c>
      <c r="N24" s="347">
        <v>46219</v>
      </c>
      <c r="O24" s="347">
        <v>46231</v>
      </c>
      <c r="P24" s="374" t="s">
        <v>682</v>
      </c>
      <c r="Q24" s="374" t="s">
        <v>683</v>
      </c>
      <c r="R24" s="350">
        <v>0.8</v>
      </c>
      <c r="S24" s="352">
        <v>46232</v>
      </c>
      <c r="T24" s="352">
        <v>46238</v>
      </c>
      <c r="U24" s="354" t="s">
        <v>40</v>
      </c>
      <c r="V24" s="354" t="s">
        <v>480</v>
      </c>
      <c r="W24" s="355">
        <v>0</v>
      </c>
      <c r="X24" s="357">
        <v>46247</v>
      </c>
      <c r="Y24" s="357">
        <v>46249</v>
      </c>
      <c r="Z24" s="359" t="s">
        <v>40</v>
      </c>
      <c r="AA24" s="359" t="s">
        <v>480</v>
      </c>
      <c r="AB24" s="360">
        <v>0</v>
      </c>
      <c r="AC24" s="362">
        <v>46250</v>
      </c>
      <c r="AD24" s="326">
        <v>46257</v>
      </c>
      <c r="AE24" s="327" t="s">
        <v>40</v>
      </c>
      <c r="AF24" s="365" t="s">
        <v>40</v>
      </c>
      <c r="AG24" s="366">
        <v>0</v>
      </c>
      <c r="AH24" s="368">
        <v>46266</v>
      </c>
      <c r="AI24" s="368">
        <v>46269</v>
      </c>
      <c r="AJ24" s="369" t="s">
        <v>165</v>
      </c>
      <c r="AK24" s="373" t="s">
        <v>40</v>
      </c>
      <c r="AL24" s="370">
        <v>0</v>
      </c>
      <c r="AM24" s="169">
        <v>46332</v>
      </c>
      <c r="AN24" s="169">
        <v>46338</v>
      </c>
      <c r="AO24" s="168" t="s">
        <v>40</v>
      </c>
      <c r="AP24" s="170">
        <v>0</v>
      </c>
    </row>
    <row r="25" spans="1:43">
      <c r="A25" s="137" t="s">
        <v>10</v>
      </c>
      <c r="B25" s="298"/>
      <c r="C25" s="298">
        <f>SUM(C3:C24)</f>
        <v>22</v>
      </c>
      <c r="D25" s="150" t="s">
        <v>422</v>
      </c>
      <c r="E25" s="150" t="s">
        <v>422</v>
      </c>
      <c r="F25" s="341"/>
      <c r="G25" s="379" t="s">
        <v>422</v>
      </c>
      <c r="H25" s="372">
        <f>AVERAGE(H3:H24)</f>
        <v>0.54545454545454541</v>
      </c>
      <c r="I25" s="178" t="s">
        <v>422</v>
      </c>
      <c r="J25" s="343" t="s">
        <v>422</v>
      </c>
      <c r="K25" s="344"/>
      <c r="L25" s="344" t="s">
        <v>422</v>
      </c>
      <c r="M25" s="346">
        <f>AVERAGE(M3:M24)</f>
        <v>0.36818181818181817</v>
      </c>
      <c r="N25" s="348" t="s">
        <v>422</v>
      </c>
      <c r="O25" s="348" t="s">
        <v>422</v>
      </c>
      <c r="P25" s="349"/>
      <c r="Q25" s="349" t="s">
        <v>422</v>
      </c>
      <c r="R25" s="351">
        <f>AVERAGE(R3:R24)</f>
        <v>0.32727272727272722</v>
      </c>
      <c r="S25" s="353" t="s">
        <v>422</v>
      </c>
      <c r="T25" s="353" t="s">
        <v>422</v>
      </c>
      <c r="U25" s="354"/>
      <c r="V25" s="354"/>
      <c r="W25" s="356">
        <f>AVERAGE(W3:W24)</f>
        <v>0</v>
      </c>
      <c r="X25" s="358"/>
      <c r="Y25" s="358"/>
      <c r="Z25" s="359"/>
      <c r="AA25" s="359"/>
      <c r="AB25" s="361">
        <f>AVERAGE(AB3:AB24)</f>
        <v>0</v>
      </c>
      <c r="AC25" s="363"/>
      <c r="AD25" s="364"/>
      <c r="AE25" s="327"/>
      <c r="AF25" s="365"/>
      <c r="AG25" s="367">
        <f>AVERAGE(AG3:AG24)</f>
        <v>0</v>
      </c>
      <c r="AH25" s="369"/>
      <c r="AI25" s="369"/>
      <c r="AJ25" s="369"/>
      <c r="AK25" s="369"/>
      <c r="AL25" s="371">
        <f>AVERAGE(AL3:AL24)</f>
        <v>0</v>
      </c>
      <c r="AM25" s="2"/>
      <c r="AN25" s="2"/>
      <c r="AO25" s="2"/>
      <c r="AP25" s="2"/>
      <c r="AQ25" s="2"/>
    </row>
    <row r="26" spans="1:43">
      <c r="A26" s="2"/>
      <c r="B26" s="127"/>
      <c r="C26" s="127"/>
      <c r="D26" s="2"/>
      <c r="E26" s="2"/>
      <c r="F26" s="127"/>
      <c r="G26" s="127"/>
      <c r="H26" s="11"/>
      <c r="I26" s="2"/>
      <c r="J26" s="127"/>
      <c r="K26" s="127"/>
      <c r="L26" s="11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334"/>
      <c r="AL26" s="127"/>
      <c r="AM26" s="2"/>
      <c r="AN26" s="2"/>
      <c r="AO26" s="2"/>
      <c r="AP26" s="2"/>
      <c r="AQ26" s="2"/>
    </row>
    <row r="27" spans="1:43">
      <c r="A27" s="2"/>
      <c r="B27" s="127"/>
      <c r="C27" s="127"/>
      <c r="D27" s="2"/>
      <c r="E27" s="2"/>
      <c r="F27" s="127"/>
      <c r="G27" s="127"/>
      <c r="H27" s="11"/>
      <c r="I27" s="2"/>
      <c r="J27" s="127"/>
      <c r="K27" s="127"/>
      <c r="L27" s="11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334"/>
      <c r="AL27" s="127"/>
      <c r="AM27" s="2"/>
      <c r="AN27" s="2"/>
      <c r="AO27" s="2"/>
      <c r="AP27" s="2"/>
      <c r="AQ27" s="2"/>
    </row>
    <row r="28" spans="1:43" ht="18.75">
      <c r="A28" s="180" t="s">
        <v>228</v>
      </c>
      <c r="B28" s="301"/>
      <c r="C28" s="301"/>
      <c r="F28" s="127"/>
      <c r="G28" s="127"/>
      <c r="H28" s="11"/>
      <c r="I28" s="2"/>
      <c r="J28" s="127"/>
      <c r="K28" s="127"/>
      <c r="L28" s="11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334"/>
      <c r="AL28" s="127"/>
      <c r="AM28" s="2"/>
      <c r="AN28" s="2"/>
      <c r="AO28" s="2"/>
      <c r="AP28" s="2"/>
      <c r="AQ28" s="2"/>
    </row>
    <row r="29" spans="1:43">
      <c r="A29" s="181" t="s">
        <v>172</v>
      </c>
      <c r="B29" s="302" t="s">
        <v>173</v>
      </c>
      <c r="C29" s="302" t="s">
        <v>174</v>
      </c>
      <c r="D29" s="182" t="s">
        <v>34</v>
      </c>
      <c r="E29" s="182" t="s">
        <v>175</v>
      </c>
      <c r="F29" s="127"/>
      <c r="G29" s="127"/>
      <c r="H29" s="11"/>
      <c r="I29" s="2"/>
      <c r="J29" s="127"/>
      <c r="K29" s="127"/>
      <c r="L29" s="11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334"/>
      <c r="AL29" s="127" t="s">
        <v>1083</v>
      </c>
      <c r="AM29" s="2"/>
      <c r="AN29" s="2"/>
      <c r="AO29" s="2"/>
      <c r="AP29" s="2"/>
      <c r="AQ29" s="2"/>
    </row>
    <row r="30" spans="1:43">
      <c r="A30" s="146" t="s">
        <v>176</v>
      </c>
      <c r="B30" s="303">
        <v>0.01</v>
      </c>
      <c r="C30" s="305">
        <f>22*B30</f>
        <v>0.22</v>
      </c>
      <c r="D30" s="147">
        <f>SUM(H25:H25)*0.1</f>
        <v>5.4545454545454543E-2</v>
      </c>
      <c r="E30" s="183">
        <f>D30/C30</f>
        <v>0.24793388429752064</v>
      </c>
      <c r="F30" s="127"/>
      <c r="G30" s="127"/>
      <c r="H30" s="11"/>
      <c r="I30" s="2"/>
      <c r="J30" s="127"/>
      <c r="K30" s="127"/>
      <c r="L30" s="11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334"/>
      <c r="AL30" s="127"/>
      <c r="AM30" s="2"/>
      <c r="AN30" s="2"/>
      <c r="AO30" s="2"/>
      <c r="AP30" s="2"/>
      <c r="AQ30" s="2"/>
    </row>
    <row r="31" spans="1:43">
      <c r="A31" s="284" t="s">
        <v>177</v>
      </c>
      <c r="B31" s="303">
        <v>0.01</v>
      </c>
      <c r="C31" s="305">
        <f>22*B31</f>
        <v>0.22</v>
      </c>
      <c r="D31" s="147">
        <f>SUM(M25:M25)*0.3</f>
        <v>0.11045454545454544</v>
      </c>
      <c r="E31" s="183">
        <f t="shared" ref="E31:E36" si="0">D31/C31</f>
        <v>0.50206611570247928</v>
      </c>
      <c r="F31" s="127"/>
      <c r="G31" s="127"/>
      <c r="H31" s="11"/>
      <c r="I31" s="2"/>
      <c r="J31" s="127"/>
      <c r="K31" s="127"/>
      <c r="L31" s="11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334"/>
      <c r="AL31" s="127"/>
      <c r="AM31" s="2"/>
      <c r="AN31" s="2"/>
      <c r="AO31" s="2"/>
      <c r="AP31" s="2"/>
      <c r="AQ31" s="2"/>
    </row>
    <row r="32" spans="1:43">
      <c r="A32" s="146" t="s">
        <v>178</v>
      </c>
      <c r="B32" s="303">
        <v>0.01</v>
      </c>
      <c r="C32" s="305">
        <f>22*B32</f>
        <v>0.22</v>
      </c>
      <c r="D32" s="147">
        <f>SUM(R25:R25)*0.1</f>
        <v>3.2727272727272723E-2</v>
      </c>
      <c r="E32" s="183">
        <f t="shared" si="0"/>
        <v>0.14876033057851237</v>
      </c>
      <c r="F32" s="127"/>
      <c r="G32" s="127"/>
      <c r="H32" s="11"/>
      <c r="I32" s="2"/>
      <c r="J32" s="127"/>
      <c r="K32" s="127"/>
      <c r="L32" s="11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334"/>
      <c r="AL32" s="127"/>
      <c r="AM32" s="2"/>
      <c r="AN32" s="2"/>
      <c r="AO32" s="2"/>
      <c r="AP32" s="2"/>
      <c r="AQ32" s="2"/>
    </row>
    <row r="33" spans="1:43">
      <c r="A33" s="146" t="s">
        <v>161</v>
      </c>
      <c r="B33" s="303">
        <v>0.01</v>
      </c>
      <c r="C33" s="305">
        <f>22*B33</f>
        <v>0.22</v>
      </c>
      <c r="D33" s="147">
        <f>SUM(W25:W25)*0.2</f>
        <v>0</v>
      </c>
      <c r="E33" s="183">
        <f t="shared" si="0"/>
        <v>0</v>
      </c>
      <c r="F33" s="127"/>
      <c r="G33" s="127"/>
      <c r="H33" s="11"/>
      <c r="I33" s="2"/>
      <c r="J33" s="127"/>
      <c r="K33" s="127"/>
      <c r="L33" s="11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334"/>
      <c r="AL33" s="127"/>
      <c r="AM33" s="2"/>
      <c r="AN33" s="2"/>
      <c r="AO33" s="2"/>
      <c r="AP33" s="2"/>
      <c r="AQ33" s="2"/>
    </row>
    <row r="34" spans="1:43">
      <c r="A34" s="146" t="s">
        <v>162</v>
      </c>
      <c r="B34" s="303">
        <v>0.01</v>
      </c>
      <c r="C34" s="305">
        <f>22*B34</f>
        <v>0.22</v>
      </c>
      <c r="D34" s="147">
        <f>SUM(AB25:AB25)*0.05</f>
        <v>0</v>
      </c>
      <c r="E34" s="183">
        <f t="shared" si="0"/>
        <v>0</v>
      </c>
      <c r="F34" s="127"/>
      <c r="G34" s="127"/>
      <c r="H34" s="11"/>
      <c r="I34" s="2"/>
      <c r="J34" s="127"/>
      <c r="K34" s="127"/>
      <c r="L34" s="11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334"/>
      <c r="AL34" s="127"/>
      <c r="AM34" s="2"/>
      <c r="AN34" s="2"/>
      <c r="AO34" s="2"/>
      <c r="AP34" s="2"/>
      <c r="AQ34" s="2"/>
    </row>
    <row r="35" spans="1:43">
      <c r="A35" s="146" t="s">
        <v>163</v>
      </c>
      <c r="B35" s="303">
        <v>0.01</v>
      </c>
      <c r="C35" s="305">
        <f>22*B35</f>
        <v>0.22</v>
      </c>
      <c r="D35" s="147">
        <f>SUM(AG25:AG25)*0.2</f>
        <v>0</v>
      </c>
      <c r="E35" s="183">
        <f t="shared" si="0"/>
        <v>0</v>
      </c>
      <c r="F35" s="127"/>
      <c r="G35" s="127"/>
      <c r="H35" s="11"/>
      <c r="I35" s="2"/>
      <c r="J35" s="127"/>
      <c r="K35" s="127"/>
      <c r="L35" s="11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334"/>
      <c r="AL35" s="127"/>
      <c r="AM35" s="2"/>
      <c r="AN35" s="2"/>
      <c r="AO35" s="2"/>
      <c r="AP35" s="2"/>
      <c r="AQ35" s="2"/>
    </row>
    <row r="36" spans="1:43">
      <c r="A36" s="146" t="s">
        <v>164</v>
      </c>
      <c r="B36" s="303">
        <v>0.01</v>
      </c>
      <c r="C36" s="305">
        <f>22*B36</f>
        <v>0.22</v>
      </c>
      <c r="D36" s="147">
        <f>SUM(AL25:AL25)*0.05</f>
        <v>0</v>
      </c>
      <c r="E36" s="183">
        <f t="shared" si="0"/>
        <v>0</v>
      </c>
      <c r="F36" s="127"/>
      <c r="G36" s="127"/>
      <c r="H36" s="11"/>
      <c r="I36" s="2"/>
      <c r="J36" s="127"/>
      <c r="K36" s="127"/>
      <c r="L36" s="11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334"/>
      <c r="AL36" s="127"/>
      <c r="AM36" s="2"/>
      <c r="AN36" s="2"/>
      <c r="AO36" s="2"/>
      <c r="AP36" s="2"/>
      <c r="AQ36" s="2"/>
    </row>
    <row r="37" spans="1:43">
      <c r="A37" s="137" t="s">
        <v>179</v>
      </c>
      <c r="B37" s="304">
        <f>SUM(B30:B36)</f>
        <v>7.0000000000000007E-2</v>
      </c>
      <c r="C37" s="298">
        <f>SUM(C30:C36)</f>
        <v>1.54</v>
      </c>
      <c r="D37" s="138">
        <f>SUM(D30:D36)</f>
        <v>0.1977272727272727</v>
      </c>
      <c r="E37" s="184">
        <f>D37/C37</f>
        <v>0.12839433293978747</v>
      </c>
      <c r="F37" s="127"/>
      <c r="G37" s="127"/>
      <c r="H37" s="11"/>
      <c r="I37" s="2"/>
      <c r="J37" s="127"/>
      <c r="K37" s="127"/>
      <c r="L37" s="11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334"/>
      <c r="AL37" s="127"/>
      <c r="AM37" s="2"/>
      <c r="AN37" s="2"/>
      <c r="AO37" s="2"/>
      <c r="AP37" s="2"/>
      <c r="AQ37" s="2"/>
    </row>
  </sheetData>
  <mergeCells count="8">
    <mergeCell ref="AH1:AL1"/>
    <mergeCell ref="AM1:AP1"/>
    <mergeCell ref="D1:H1"/>
    <mergeCell ref="I1:M1"/>
    <mergeCell ref="N1:R1"/>
    <mergeCell ref="S1:W1"/>
    <mergeCell ref="X1:AB1"/>
    <mergeCell ref="AC1:AG1"/>
  </mergeCells>
  <hyperlinks>
    <hyperlink ref="B3" location="'B-24-04663_AMAZON_HOU3_FULL ISC'!A4680" display="9005" xr:uid="{8844AD0D-AC5C-478F-A79F-E561F6E808D6}"/>
    <hyperlink ref="B4" location="'B-24-04663_AMAZON_HOU3_FULL ISC'!A4727" display="9010" xr:uid="{ED76645D-62E2-4F4D-A705-5FD2201F1C59}"/>
    <hyperlink ref="B5" location="'B-24-04663_AMAZON_HOU3_FULL ISC'!A4765" display="9015" xr:uid="{C4A1AC89-0C30-4E87-82F3-B32ECC8FB0B8}"/>
    <hyperlink ref="B6" location="'B-24-04663_AMAZON_HOU3_FULL ISC'!A4835" display="9018" xr:uid="{FB052B7A-0B78-4392-89F2-A6045EEBAAE1}"/>
    <hyperlink ref="B7" location="'B-24-04663_AMAZON_HOU3_FULL ISC'!A4865" display="9020" xr:uid="{92B1FFD8-20EF-43C6-B54A-6A51D396B5FE}"/>
    <hyperlink ref="B8" location="'B-24-04663_AMAZON_HOU3_FULL ISC'!A4914" display="9025" xr:uid="{932985FA-4325-48B3-94DB-4AA80E91E056}"/>
    <hyperlink ref="B9" location="'B-24-04663_AMAZON_HOU3_FULL ISC'!A4949" display="9030" xr:uid="{8AC57D14-F115-441A-9A66-A945BDADE157}"/>
    <hyperlink ref="B10" location="'B-24-04663_AMAZON_HOU3_FULL ISC'!A4973" display="9035" xr:uid="{31BB0B25-A08E-4B88-8281-0CC0512004C6}"/>
    <hyperlink ref="B11" location="'B-24-04663_AMAZON_HOU3_FULL ISC'!A5003" display="9040" xr:uid="{146E5FF3-D665-400C-90B4-2947921426F8}"/>
    <hyperlink ref="B12" location="'B-24-04663_AMAZON_HOU3_FULL ISC'!A5035" display="9045" xr:uid="{15DA3FDA-4D5E-448B-AD1E-ACEFAB267B68}"/>
    <hyperlink ref="B13" location="'B-24-04663_AMAZON_HOU3_FULL ISC'!A5062" display="9815" xr:uid="{DA427920-BE99-499F-8E1C-60E273FDA75A}"/>
    <hyperlink ref="B14" location="'B-24-04663_AMAZON_HOU3_FULL ISC'!A5124" display="9825" xr:uid="{872BF18A-2F09-4487-9CD6-06C98D2AF853}"/>
    <hyperlink ref="B15" location="'B-24-04663_AMAZON_HOU3_FULL ISC'!A5183" display="9915" xr:uid="{23E0BAA0-60EC-4BC7-80E6-81A3FF4498AC}"/>
    <hyperlink ref="B16" location="'B-24-04663_AMAZON_HOU3_FULL ISC'!A5240" display="9925" xr:uid="{E18A5F60-8910-42AE-8FDE-8DCE1AA5F755}"/>
    <hyperlink ref="B17" location="'B-24-04663_AMAZON_HOU3_FULL ISC'!A5297" display="9935" xr:uid="{CA340019-7D4B-4BA5-80C5-2478FE347630}"/>
    <hyperlink ref="B18" location="'B-24-04663_AMAZON_HOU3_FULL ISC'!A5356" display="9945" xr:uid="{D1A6FAC7-F524-47AA-A209-90A205BEC3AE}"/>
    <hyperlink ref="B19" location="'B-24-04663_AMAZON_HOU3_FULL ISC'!A5413" display="9955" xr:uid="{5C372409-BF58-455A-A5B0-1FCEDD31B458}"/>
    <hyperlink ref="B20" location="'B-24-04663_AMAZON_HOU3_FULL ISC'!A5473" display="9965" xr:uid="{0D90288F-E73C-44DC-B2C6-3C2FC133E93D}"/>
    <hyperlink ref="B21" location="'B-24-04663_AMAZON_HOU3_FULL ISC'!A5533" display="9975" xr:uid="{1C1F09C4-500F-43EE-A942-735A6B0D5829}"/>
    <hyperlink ref="B22" location="'B-24-04663_AMAZON_HOU3_FULL ISC'!A5593" display="9985" xr:uid="{0468A6B0-EA18-429F-874D-DA174A0C1F2F}"/>
    <hyperlink ref="B23" location="'B-24-04663_AMAZON_HOU3_FULL ISC'!A5653" display="9992" xr:uid="{BE86A304-A6DA-45FB-8BC0-7D739A6EAB57}"/>
    <hyperlink ref="B24" location="'B-24-04663_AMAZON_HOU3_FULL ISC'!A5654" display="9995" xr:uid="{17794CEF-33DB-4ACE-AAD9-99AFA3B9770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D859-A87B-44B4-B254-5B47C0DC463C}">
  <dimension ref="A1:J46"/>
  <sheetViews>
    <sheetView topLeftCell="A6" workbookViewId="0">
      <selection activeCell="H11" sqref="H11"/>
    </sheetView>
  </sheetViews>
  <sheetFormatPr defaultColWidth="8.7109375" defaultRowHeight="14.45"/>
  <cols>
    <col min="1" max="1" width="21.5703125" style="289" customWidth="1"/>
    <col min="2" max="2" width="15.7109375" style="289" customWidth="1"/>
    <col min="3" max="3" width="12.85546875" style="289" customWidth="1"/>
    <col min="4" max="16384" width="8.7109375" style="289"/>
  </cols>
  <sheetData>
    <row r="1" spans="1:10">
      <c r="A1" s="288" t="s">
        <v>1085</v>
      </c>
      <c r="B1" s="288" t="s">
        <v>1086</v>
      </c>
      <c r="C1" s="288" t="s">
        <v>1087</v>
      </c>
      <c r="D1" s="288" t="s">
        <v>26</v>
      </c>
      <c r="E1" s="288" t="s">
        <v>1088</v>
      </c>
      <c r="F1" s="288" t="s">
        <v>1089</v>
      </c>
      <c r="G1" s="288" t="s">
        <v>1090</v>
      </c>
      <c r="H1" s="288" t="s">
        <v>1091</v>
      </c>
      <c r="I1" s="288" t="s">
        <v>1092</v>
      </c>
      <c r="J1" s="288" t="s">
        <v>1093</v>
      </c>
    </row>
    <row r="2" spans="1:10">
      <c r="A2" s="289" t="s">
        <v>1084</v>
      </c>
      <c r="B2" s="289" t="s">
        <v>1094</v>
      </c>
      <c r="C2" s="289" t="s">
        <v>1095</v>
      </c>
      <c r="D2" s="290">
        <v>1</v>
      </c>
    </row>
    <row r="3" spans="1:10">
      <c r="A3" s="289" t="s">
        <v>1084</v>
      </c>
      <c r="B3" s="289" t="s">
        <v>1094</v>
      </c>
      <c r="C3" s="289" t="s">
        <v>1096</v>
      </c>
      <c r="D3" s="290">
        <v>1</v>
      </c>
    </row>
    <row r="4" spans="1:10">
      <c r="A4" s="289" t="s">
        <v>1084</v>
      </c>
      <c r="B4" s="289" t="s">
        <v>1094</v>
      </c>
      <c r="C4" s="289" t="s">
        <v>1097</v>
      </c>
      <c r="D4" s="290">
        <v>1</v>
      </c>
    </row>
    <row r="5" spans="1:10">
      <c r="A5" s="289" t="s">
        <v>1084</v>
      </c>
      <c r="B5" s="289" t="s">
        <v>1094</v>
      </c>
      <c r="C5" s="289" t="s">
        <v>1098</v>
      </c>
      <c r="D5" s="290">
        <v>1</v>
      </c>
    </row>
    <row r="6" spans="1:10">
      <c r="A6" s="289" t="s">
        <v>1084</v>
      </c>
      <c r="B6" s="289" t="s">
        <v>1094</v>
      </c>
      <c r="C6" s="289" t="s">
        <v>1099</v>
      </c>
      <c r="D6" s="290">
        <v>1</v>
      </c>
    </row>
    <row r="7" spans="1:10">
      <c r="A7" s="289" t="s">
        <v>1084</v>
      </c>
      <c r="B7" s="289" t="s">
        <v>1094</v>
      </c>
      <c r="C7" s="289" t="s">
        <v>1100</v>
      </c>
      <c r="D7" s="290">
        <v>1</v>
      </c>
    </row>
    <row r="8" spans="1:10">
      <c r="A8" s="289" t="s">
        <v>1084</v>
      </c>
      <c r="B8" s="289" t="s">
        <v>1094</v>
      </c>
      <c r="C8" s="289" t="s">
        <v>1101</v>
      </c>
      <c r="D8" s="290">
        <v>1</v>
      </c>
    </row>
    <row r="9" spans="1:10">
      <c r="A9" s="289" t="s">
        <v>1084</v>
      </c>
      <c r="B9" s="289" t="s">
        <v>1094</v>
      </c>
      <c r="C9" s="289" t="s">
        <v>1102</v>
      </c>
      <c r="D9" s="290">
        <v>1</v>
      </c>
    </row>
    <row r="10" spans="1:10">
      <c r="A10" s="289" t="s">
        <v>1084</v>
      </c>
      <c r="B10" s="289" t="s">
        <v>1094</v>
      </c>
      <c r="C10" s="289" t="s">
        <v>1103</v>
      </c>
      <c r="D10" s="290">
        <v>1</v>
      </c>
    </row>
    <row r="11" spans="1:10">
      <c r="A11" s="289" t="s">
        <v>1084</v>
      </c>
      <c r="B11" s="289" t="s">
        <v>1094</v>
      </c>
      <c r="C11" s="289" t="s">
        <v>1104</v>
      </c>
      <c r="D11" s="290">
        <v>1</v>
      </c>
    </row>
    <row r="12" spans="1:10">
      <c r="A12" s="289" t="s">
        <v>1084</v>
      </c>
      <c r="B12" s="289" t="s">
        <v>1094</v>
      </c>
      <c r="C12" s="289" t="s">
        <v>1105</v>
      </c>
      <c r="D12" s="290">
        <v>1</v>
      </c>
    </row>
    <row r="13" spans="1:10">
      <c r="A13" s="289" t="s">
        <v>1084</v>
      </c>
      <c r="B13" s="289" t="s">
        <v>1094</v>
      </c>
      <c r="C13" s="289" t="s">
        <v>1106</v>
      </c>
      <c r="D13" s="290">
        <v>1</v>
      </c>
    </row>
    <row r="14" spans="1:10">
      <c r="A14" s="289" t="s">
        <v>1084</v>
      </c>
      <c r="B14" s="289" t="s">
        <v>1094</v>
      </c>
      <c r="C14" s="289" t="s">
        <v>1107</v>
      </c>
      <c r="D14" s="290">
        <v>1</v>
      </c>
    </row>
    <row r="15" spans="1:10">
      <c r="A15" s="289" t="s">
        <v>1084</v>
      </c>
      <c r="B15" s="289" t="s">
        <v>1094</v>
      </c>
      <c r="C15" s="289" t="s">
        <v>1108</v>
      </c>
      <c r="D15" s="290">
        <v>1</v>
      </c>
    </row>
    <row r="16" spans="1:10">
      <c r="A16" s="289" t="s">
        <v>1084</v>
      </c>
      <c r="B16" s="289" t="s">
        <v>1094</v>
      </c>
      <c r="C16" s="289" t="s">
        <v>1109</v>
      </c>
      <c r="D16" s="290">
        <v>1</v>
      </c>
    </row>
    <row r="17" spans="1:4">
      <c r="A17" s="289" t="s">
        <v>1084</v>
      </c>
      <c r="B17" s="289" t="s">
        <v>1094</v>
      </c>
      <c r="C17" s="289" t="s">
        <v>1110</v>
      </c>
      <c r="D17" s="290">
        <v>1</v>
      </c>
    </row>
    <row r="18" spans="1:4">
      <c r="A18" s="289" t="s">
        <v>1084</v>
      </c>
      <c r="B18" s="289" t="s">
        <v>1094</v>
      </c>
      <c r="C18" s="289" t="s">
        <v>1111</v>
      </c>
      <c r="D18" s="290">
        <v>1</v>
      </c>
    </row>
    <row r="19" spans="1:4">
      <c r="A19" s="289" t="s">
        <v>1084</v>
      </c>
      <c r="B19" s="289" t="s">
        <v>1094</v>
      </c>
      <c r="C19" s="289" t="s">
        <v>1112</v>
      </c>
      <c r="D19" s="290">
        <v>1</v>
      </c>
    </row>
    <row r="20" spans="1:4">
      <c r="A20" s="289" t="s">
        <v>1084</v>
      </c>
      <c r="B20" s="289" t="s">
        <v>1094</v>
      </c>
      <c r="C20" s="289" t="s">
        <v>1113</v>
      </c>
      <c r="D20" s="290">
        <v>1</v>
      </c>
    </row>
    <row r="21" spans="1:4">
      <c r="A21" s="289" t="s">
        <v>1084</v>
      </c>
      <c r="B21" s="289" t="s">
        <v>1094</v>
      </c>
      <c r="C21" s="289" t="s">
        <v>1114</v>
      </c>
      <c r="D21" s="290">
        <v>1</v>
      </c>
    </row>
    <row r="22" spans="1:4">
      <c r="A22" s="289" t="s">
        <v>1084</v>
      </c>
      <c r="B22" s="289" t="s">
        <v>1094</v>
      </c>
      <c r="C22" s="289" t="s">
        <v>1115</v>
      </c>
      <c r="D22" s="290">
        <v>1</v>
      </c>
    </row>
    <row r="23" spans="1:4">
      <c r="A23" s="289" t="s">
        <v>1084</v>
      </c>
      <c r="B23" s="289" t="s">
        <v>1116</v>
      </c>
      <c r="C23" s="289" t="s">
        <v>1117</v>
      </c>
      <c r="D23" s="290">
        <v>1</v>
      </c>
    </row>
    <row r="24" spans="1:4">
      <c r="A24" s="289" t="s">
        <v>1084</v>
      </c>
      <c r="B24" s="289" t="s">
        <v>1116</v>
      </c>
      <c r="C24" s="289" t="s">
        <v>1118</v>
      </c>
      <c r="D24" s="290">
        <v>1</v>
      </c>
    </row>
    <row r="25" spans="1:4">
      <c r="A25" s="289" t="s">
        <v>1084</v>
      </c>
      <c r="B25" s="289" t="s">
        <v>1116</v>
      </c>
      <c r="C25" s="289" t="s">
        <v>1119</v>
      </c>
      <c r="D25" s="290">
        <v>1</v>
      </c>
    </row>
    <row r="26" spans="1:4">
      <c r="A26" s="289" t="s">
        <v>1084</v>
      </c>
      <c r="B26" s="289" t="s">
        <v>1116</v>
      </c>
      <c r="C26" s="289" t="s">
        <v>1120</v>
      </c>
      <c r="D26" s="290">
        <v>1</v>
      </c>
    </row>
    <row r="27" spans="1:4">
      <c r="A27" s="289" t="s">
        <v>1084</v>
      </c>
      <c r="B27" s="289" t="s">
        <v>1116</v>
      </c>
      <c r="C27" s="289" t="s">
        <v>1121</v>
      </c>
      <c r="D27" s="290">
        <v>1</v>
      </c>
    </row>
    <row r="28" spans="1:4">
      <c r="A28" s="289" t="s">
        <v>1084</v>
      </c>
      <c r="B28" s="289" t="s">
        <v>1116</v>
      </c>
      <c r="C28" s="289" t="s">
        <v>1122</v>
      </c>
      <c r="D28" s="290">
        <v>1</v>
      </c>
    </row>
    <row r="29" spans="1:4">
      <c r="A29" s="289" t="s">
        <v>1084</v>
      </c>
      <c r="B29" s="289" t="s">
        <v>1116</v>
      </c>
      <c r="C29" s="289" t="s">
        <v>1123</v>
      </c>
      <c r="D29" s="290">
        <v>1</v>
      </c>
    </row>
    <row r="30" spans="1:4">
      <c r="A30" s="289" t="s">
        <v>1084</v>
      </c>
      <c r="B30" s="289" t="s">
        <v>1116</v>
      </c>
      <c r="C30" s="289" t="s">
        <v>1124</v>
      </c>
      <c r="D30" s="290">
        <v>1</v>
      </c>
    </row>
    <row r="31" spans="1:4">
      <c r="A31" s="289" t="s">
        <v>1084</v>
      </c>
      <c r="B31" s="289" t="s">
        <v>1116</v>
      </c>
      <c r="C31" s="289" t="s">
        <v>1125</v>
      </c>
      <c r="D31" s="290">
        <v>1</v>
      </c>
    </row>
    <row r="32" spans="1:4">
      <c r="A32" s="289" t="s">
        <v>1084</v>
      </c>
      <c r="B32" s="289" t="s">
        <v>1116</v>
      </c>
      <c r="C32" s="289" t="s">
        <v>1126</v>
      </c>
      <c r="D32" s="290">
        <v>1</v>
      </c>
    </row>
    <row r="33" spans="1:10">
      <c r="A33" s="289" t="s">
        <v>1084</v>
      </c>
      <c r="B33" s="289" t="s">
        <v>1116</v>
      </c>
      <c r="C33" s="289" t="s">
        <v>1127</v>
      </c>
      <c r="D33" s="290">
        <v>1</v>
      </c>
    </row>
    <row r="34" spans="1:10">
      <c r="A34" s="289" t="s">
        <v>1084</v>
      </c>
      <c r="B34" s="289" t="s">
        <v>1116</v>
      </c>
      <c r="C34" s="289" t="s">
        <v>1128</v>
      </c>
      <c r="D34" s="290">
        <v>1</v>
      </c>
    </row>
    <row r="35" spans="1:10">
      <c r="A35" s="289" t="s">
        <v>1084</v>
      </c>
      <c r="B35" s="289" t="s">
        <v>1116</v>
      </c>
      <c r="C35" s="289" t="s">
        <v>1129</v>
      </c>
      <c r="D35" s="290">
        <v>1</v>
      </c>
    </row>
    <row r="36" spans="1:10">
      <c r="A36" s="289" t="s">
        <v>1084</v>
      </c>
      <c r="B36" s="289" t="s">
        <v>1116</v>
      </c>
      <c r="C36" s="289" t="s">
        <v>1130</v>
      </c>
      <c r="D36" s="290">
        <v>1</v>
      </c>
    </row>
    <row r="37" spans="1:10">
      <c r="A37" s="289" t="s">
        <v>1084</v>
      </c>
      <c r="B37" s="289" t="s">
        <v>1116</v>
      </c>
      <c r="C37" s="289" t="s">
        <v>1131</v>
      </c>
      <c r="D37" s="290">
        <v>1</v>
      </c>
    </row>
    <row r="38" spans="1:10">
      <c r="A38" s="289" t="s">
        <v>1084</v>
      </c>
      <c r="B38" s="289" t="s">
        <v>1116</v>
      </c>
      <c r="C38" s="289" t="s">
        <v>1132</v>
      </c>
      <c r="D38" s="290">
        <v>1</v>
      </c>
    </row>
    <row r="39" spans="1:10">
      <c r="A39" s="289" t="s">
        <v>1084</v>
      </c>
      <c r="B39" s="289" t="s">
        <v>1116</v>
      </c>
      <c r="C39" s="289" t="s">
        <v>1133</v>
      </c>
      <c r="D39" s="290">
        <v>1</v>
      </c>
    </row>
    <row r="40" spans="1:10">
      <c r="A40" s="289" t="s">
        <v>1084</v>
      </c>
      <c r="B40" s="289" t="s">
        <v>1116</v>
      </c>
      <c r="C40" s="289" t="s">
        <v>1134</v>
      </c>
      <c r="D40" s="290">
        <v>1</v>
      </c>
    </row>
    <row r="41" spans="1:10">
      <c r="A41" s="289" t="s">
        <v>1084</v>
      </c>
      <c r="B41" s="289" t="s">
        <v>1116</v>
      </c>
      <c r="C41" s="289" t="s">
        <v>1135</v>
      </c>
      <c r="D41" s="290">
        <v>1</v>
      </c>
    </row>
    <row r="42" spans="1:10">
      <c r="A42" s="289" t="s">
        <v>1084</v>
      </c>
      <c r="B42" s="289" t="s">
        <v>1116</v>
      </c>
      <c r="C42" s="289" t="s">
        <v>1136</v>
      </c>
      <c r="D42" s="290">
        <v>1</v>
      </c>
    </row>
    <row r="43" spans="1:10">
      <c r="A43" s="289" t="s">
        <v>1084</v>
      </c>
      <c r="B43" s="289" t="s">
        <v>1116</v>
      </c>
      <c r="C43" s="289" t="s">
        <v>1137</v>
      </c>
      <c r="D43" s="290">
        <v>1</v>
      </c>
    </row>
    <row r="44" spans="1:10">
      <c r="A44" s="291" t="s">
        <v>10</v>
      </c>
      <c r="B44" s="291"/>
      <c r="C44" s="291"/>
      <c r="D44" s="290">
        <v>1</v>
      </c>
      <c r="E44" s="291"/>
      <c r="F44" s="291"/>
      <c r="G44" s="291"/>
      <c r="H44" s="291"/>
      <c r="I44" s="291"/>
      <c r="J44" s="291"/>
    </row>
    <row r="45" spans="1:10">
      <c r="D45" s="290">
        <f>SUM(D2:D44)</f>
        <v>43</v>
      </c>
    </row>
    <row r="46" spans="1:10">
      <c r="A46" s="289" t="s">
        <v>1138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E8DEEBAADBCA4883919F11452ADE23" ma:contentTypeVersion="3" ma:contentTypeDescription="Create a new document." ma:contentTypeScope="" ma:versionID="5f765acd3a9f74bfe24f63cacfbfb4d5">
  <xsd:schema xmlns:xsd="http://www.w3.org/2001/XMLSchema" xmlns:xs="http://www.w3.org/2001/XMLSchema" xmlns:p="http://schemas.microsoft.com/office/2006/metadata/properties" xmlns:ns2="cecdcf63-3ba9-4808-b96a-56e10cae60f1" targetNamespace="http://schemas.microsoft.com/office/2006/metadata/properties" ma:root="true" ma:fieldsID="1dd3acc4bcb0fdbeaa132dc842fdbf68" ns2:_="">
    <xsd:import namespace="cecdcf63-3ba9-4808-b96a-56e10cae60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dcf63-3ba9-4808-b96a-56e10cae6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12A999-86FC-4676-8979-2F86F772FB04}"/>
</file>

<file path=customXml/itemProps2.xml><?xml version="1.0" encoding="utf-8"?>
<ds:datastoreItem xmlns:ds="http://schemas.openxmlformats.org/officeDocument/2006/customXml" ds:itemID="{544F345A-245A-4043-BC11-75891187DB92}"/>
</file>

<file path=customXml/itemProps3.xml><?xml version="1.0" encoding="utf-8"?>
<ds:datastoreItem xmlns:ds="http://schemas.openxmlformats.org/officeDocument/2006/customXml" ds:itemID="{2285865D-D6BE-419D-BA56-C0137B6BE973}"/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2026-06-07T17:28:13Z</dcterms:created>
  <dcterms:modified xsi:type="dcterms:W3CDTF">2026-07-17T17:09:04Z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0x0101007BE8DEEBAADBCA4883919F11452ADE23</vt:lpwstr>
  </property>
  <property fmtid="{D5CDD505-2E9C-101B-9397-08002B2CF9AE}" pid="3" name="MediaServiceImageTags">
    <vt:lpwstr/>
  </property>
</Properties>
</file>